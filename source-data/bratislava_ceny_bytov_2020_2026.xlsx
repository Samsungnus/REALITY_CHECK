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6817b45ff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fy" sheetId="1" r:id="R3e894cf9f7064fce"/>
    <x:sheet xmlns:r="http://schemas.openxmlformats.org/officeDocument/2006/relationships" name="Data" sheetId="2" r:id="Rcdd6c2ca99844611"/>
    <x:sheet xmlns:r="http://schemas.openxmlformats.org/officeDocument/2006/relationships" name="Predpoklady" sheetId="3" r:id="R059aeaf93785484f"/>
    <x:sheet xmlns:r="http://schemas.openxmlformats.org/officeDocument/2006/relationships" name="Zdroje" sheetId="4" r:id="Rb6c7e9b3b4a8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yyyy-mm-dd"/>
    <x:numFmt numFmtId="202" formatCode="#,##0 &quot;€/m²&quot;"/>
    <x:numFmt numFmtId="203" formatCode="#,##0 &quot;€&quot;"/>
    <x:numFmt numFmtId="204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  <x:font>
      <x:b/>
      <x:sz val="15"/>
      <x:color rgb="FFFFFFFF"/>
      <x:name val="Carlito"/>
    </x:font>
    <x:font>
      <x:i/>
      <x:sz val="10"/>
      <x:color rgb="FF64748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12">
    <x:border/>
    <x:border>
      <x:left style="thin">
        <x:color rgb="FFCDD6E0"/>
      </x:left>
      <x:top style="thin">
        <x:color rgb="FFCDD6E0"/>
      </x:top>
    </x:border>
    <x:border>
      <x:top style="thin">
        <x:color rgb="FFCDD6E0"/>
      </x:top>
    </x:border>
    <x:border>
      <x:right style="thin">
        <x:color rgb="FFCDD6E0"/>
      </x:right>
      <x:top style="thin">
        <x:color rgb="FFCDD6E0"/>
      </x:top>
    </x:border>
    <x:border>
      <x:left style="thin">
        <x:color rgb="FFCDD6E0"/>
      </x:left>
    </x:border>
    <x:border>
      <x:right style="thin">
        <x:color rgb="FFCDD6E0"/>
      </x:right>
    </x:border>
    <x:border>
      <x:left style="thin">
        <x:color rgb="FFCDD6E0"/>
      </x:left>
      <x:bottom style="thin">
        <x:color rgb="FFCDD6E0"/>
      </x:bottom>
    </x:border>
    <x:border>
      <x:bottom style="thin">
        <x:color rgb="FFCDD6E0"/>
      </x:bottom>
    </x:border>
    <x:border>
      <x:right style="thin">
        <x:color rgb="FFCDD6E0"/>
      </x:right>
      <x:bottom style="thin">
        <x:color rgb="FFCDD6E0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4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200" fontId="5" fillId="4" borderId="7" xfId="0" applyNumberFormat="1" applyFont="1" applyFill="1" applyBorder="1"/>
    <x:xf numFmtId="0" fontId="5" fillId="0" borderId="8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1" fontId="5" fillId="0" borderId="9" xfId="0" applyNumberFormat="1" applyFont="1" applyFill="1" applyBorder="1"/>
    <x:xf numFmtId="0" fontId="5" fillId="0" borderId="9" xfId="0" applyNumberFormat="1" applyFont="1" applyFill="1" applyBorder="1"/>
    <x:xf numFmtId="202" fontId="5" fillId="0" borderId="9" xfId="0" applyNumberFormat="1" applyFont="1" applyFill="1" applyBorder="1"/>
    <x:xf numFmtId="203" fontId="5" fillId="0" borderId="9" xfId="0" applyNumberFormat="1" applyFont="1" applyFill="1" applyBorder="1"/>
    <x:xf numFmtId="201" fontId="5" fillId="0" borderId="10" xfId="0" applyNumberFormat="1" applyFont="1" applyFill="1" applyBorder="1"/>
    <x:xf numFmtId="0" fontId="5" fillId="0" borderId="10" xfId="0" applyNumberFormat="1" applyFont="1" applyFill="1" applyBorder="1"/>
    <x:xf numFmtId="202" fontId="5" fillId="0" borderId="10" xfId="0" applyNumberFormat="1" applyFont="1" applyFill="1" applyBorder="1"/>
    <x:xf numFmtId="203" fontId="5" fillId="0" borderId="10" xfId="0" applyNumberFormat="1" applyFont="1" applyFill="1" applyBorder="1"/>
    <x:xf numFmtId="201" fontId="5" fillId="0" borderId="11" xfId="0" applyNumberFormat="1" applyFont="1" applyFill="1" applyBorder="1"/>
    <x:xf numFmtId="0" fontId="5" fillId="0" borderId="11" xfId="0" applyNumberFormat="1" applyFont="1" applyFill="1" applyBorder="1"/>
    <x:xf numFmtId="202" fontId="5" fillId="0" borderId="11" xfId="0" applyNumberFormat="1" applyFont="1" applyFill="1" applyBorder="1"/>
    <x:xf numFmtId="203" fontId="5" fillId="0" borderId="11" xfId="0" applyNumberFormat="1" applyFont="1" applyFill="1" applyBorder="1"/>
    <x:xf numFmtId="204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aee357e504c9c" /><Relationship Type="http://schemas.openxmlformats.org/officeDocument/2006/relationships/theme" Target="/xl/theme/theme1.xml" Id="Ra080152e22234236" /><Relationship Type="http://schemas.openxmlformats.org/officeDocument/2006/relationships/sharedStrings" Target="/xl/sharedStrings.xml" Id="R82949188f2e6402d" /><Relationship Type="http://schemas.openxmlformats.org/officeDocument/2006/relationships/worksheet" Target="/xl/worksheets/sheet1.xml" Id="R3e894cf9f7064fce" /><Relationship Type="http://schemas.openxmlformats.org/officeDocument/2006/relationships/worksheet" Target="/xl/worksheets/sheet2.xml" Id="Rcdd6c2ca99844611" /><Relationship Type="http://schemas.openxmlformats.org/officeDocument/2006/relationships/worksheet" Target="/xl/worksheets/sheet3.xml" Id="R059aeaf93785484f" /><Relationship Type="http://schemas.openxmlformats.org/officeDocument/2006/relationships/worksheet" Target="/xl/worksheets/sheet4.xml" Id="Rb6c7e9b3b4a84e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ac31bfba0041ae" /><Relationship Type="http://schemas.openxmlformats.org/officeDocument/2006/relationships/chart" Target="/xl/drawings/charts/chart2.xml" Id="Rc4eab0b79d0343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Priemerná cena za m²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Novostavby</c:v>
          </c:tx>
          <c:marker>
            <c:symbol val="none"/>
          </c:marker>
          <c:cat>
            <c:strRef>
              <c:f>'Grafy'!$N$3:$N$82</c:f>
              <c:strCache>
                <c:ptCount val="0"/>
              </c:strCache>
            </c:strRef>
          </c:cat>
          <c:val>
            <c:numRef>
              <c:f>'Grafy'!$O$3:$O$82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Pôvodný stav</c:v>
          </c:tx>
          <c:marker>
            <c:symbol val="none"/>
          </c:marker>
          <c:cat>
            <c:strRef>
              <c:f>'Grafy'!$N$3:$N$82</c:f>
              <c:strCache>
                <c:ptCount val="0"/>
              </c:strCache>
            </c:strRef>
          </c:cat>
          <c:val>
            <c:numRef>
              <c:f>'Grafy'!$P$3:$P$82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Prerobený stav</c:v>
          </c:tx>
          <c:marker>
            <c:symbol val="none"/>
          </c:marker>
          <c:cat>
            <c:strRef>
              <c:f>'Grafy'!$N$3:$N$82</c:f>
              <c:strCache>
                <c:ptCount val="0"/>
              </c:strCache>
            </c:strRef>
          </c:cat>
          <c:val>
            <c:numRef>
              <c:f>'Grafy'!$Q$3:$Q$82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6000"/>
          <c:min val="20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€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Priemerná celková cena 2-izbového bytu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2i novostavba</c:v>
          </c:tx>
          <c:marker>
            <c:symbol val="none"/>
          </c:marker>
          <c:cat>
            <c:strRef>
              <c:f>'Grafy'!$S$3:$S$82</c:f>
              <c:strCache>
                <c:ptCount val="0"/>
              </c:strCache>
            </c:strRef>
          </c:cat>
          <c:val>
            <c:numRef>
              <c:f>'Grafy'!$T$3:$T$82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2i pôvodný stav</c:v>
          </c:tx>
          <c:marker>
            <c:symbol val="none"/>
          </c:marker>
          <c:cat>
            <c:strRef>
              <c:f>'Grafy'!$S$3:$S$82</c:f>
              <c:strCache>
                <c:ptCount val="0"/>
              </c:strCache>
            </c:strRef>
          </c:cat>
          <c:val>
            <c:numRef>
              <c:f>'Grafy'!$U$3:$U$82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2i prerobený stav</c:v>
          </c:tx>
          <c:marker>
            <c:symbol val="none"/>
          </c:marker>
          <c:cat>
            <c:strRef>
              <c:f>'Grafy'!$S$3:$S$82</c:f>
              <c:strCache>
                <c:ptCount val="0"/>
              </c:strCache>
            </c:strRef>
          </c:cat>
          <c:val>
            <c:numRef>
              <c:f>'Grafy'!$V$3:$V$82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300000"/>
          <c:min val="1000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€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ac31bfba0041ae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eab0b79d03432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PricesTable" displayName="MonthlyPricesTable" ref="A2:K82" headerRowCount="1" totalsRowCount="0" totalsRowShown="0">
  <x:tableColumns count="11">
    <x:tableColumn id="1" name="Dátum"/>
    <x:tableColumn id="2" name="Mesiac"/>
    <x:tableColumn id="3" name="Novostavby €/m²"/>
    <x:tableColumn id="4" name="2i novostavba celkom"/>
    <x:tableColumn id="5" name="Sekundárny trh €/m² (podklad)"/>
    <x:tableColumn id="6" name="Pôvodný stav €/m²"/>
    <x:tableColumn id="7" name="2i pôvodný stav celkom"/>
    <x:tableColumn id="8" name="Prerobený byt €/m²"/>
    <x:tableColumn id="9" name="2i prerobený byt celkom"/>
    <x:tableColumn id="10" name="Kvalita – novostavby"/>
    <x:tableColumn id="11" name="Kvalita – staršie by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3:E20" headerRowCount="1" totalsRowCount="0" totalsRowShown="0">
  <x:tableColumns count="5">
    <x:tableColumn id="1" name="Segment"/>
    <x:tableColumn id="2" name="Obdobie"/>
    <x:tableColumn id="3" name="Hodnota / informácia"/>
    <x:tableColumn id="4" name="Použitie"/>
    <x:tableColumn id="5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04938194664c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539e96261d4f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59c7fef0a2147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2" t="str">
        <x:v>Vývoj cien 2-izbových bytov v Bratislave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N2" s="9" t="str">
        <x:v>Mesiac</x:v>
      </x:c>
      <x:c r="O2" s="9" t="str">
        <x:v>Novostavby</x:v>
      </x:c>
      <x:c r="P2" s="9" t="str">
        <x:v>Pôvodný stav</x:v>
      </x:c>
      <x:c r="Q2" s="9" t="str">
        <x:v>Prerobený stav</x:v>
      </x:c>
      <x:c r="S2" s="9" t="str">
        <x:v>Mesiac</x:v>
      </x:c>
      <x:c r="T2" s="9" t="str">
        <x:v>2i novostavba</x:v>
      </x:c>
      <x:c r="U2" s="9" t="str">
        <x:v>2i pôvodný stav</x:v>
      </x:c>
      <x:c r="V2" s="9" t="str">
        <x:v>2i prerobený stav</x:v>
      </x:c>
    </x:row>
    <x:row r="3">
      <x:c r="N3" t="str">
        <x:f>'Data'!B3</x:f>
        <x:v>2020-01</x:v>
      </x:c>
      <x:c r="O3" s="54" t="n">
        <x:f>'Data'!C3</x:f>
        <x:v>3267.32</x:v>
      </x:c>
      <x:c r="P3" s="54" t="n">
        <x:f>'Data'!F3</x:f>
        <x:v>2442.654</x:v>
      </x:c>
      <x:c r="Q3" s="54" t="n">
        <x:f>'Data'!H3</x:f>
        <x:v>2822.6224</x:v>
      </x:c>
      <x:c r="S3" t="str">
        <x:f>'Data'!B3</x:f>
        <x:v>2020-01</x:v>
      </x:c>
      <x:c r="T3" s="54" t="n">
        <x:f>'Data'!D3</x:f>
        <x:v>152910.576</x:v>
      </x:c>
      <x:c r="U3" s="54" t="n">
        <x:f>'Data'!G3</x:f>
        <x:v>134345.97</x:v>
      </x:c>
      <x:c r="V3" s="54" t="n">
        <x:f>'Data'!I3</x:f>
        <x:v>155244.23200000002</x:v>
      </x:c>
    </x:row>
    <x:row r="4">
      <x:c r="N4" t="str">
        <x:f>'Data'!B4</x:f>
        <x:v>2020-02</x:v>
      </x:c>
      <x:c r="O4" s="54" t="n">
        <x:f>'Data'!C4</x:f>
        <x:v>3297.64</x:v>
      </x:c>
      <x:c r="P4" s="54" t="n">
        <x:f>'Data'!F4</x:f>
        <x:v>2455.308</x:v>
      </x:c>
      <x:c r="Q4" s="54" t="n">
        <x:f>'Data'!H4</x:f>
        <x:v>2837.2448</x:v>
      </x:c>
      <x:c r="S4" t="str">
        <x:f>'Data'!B4</x:f>
        <x:v>2020-02</x:v>
      </x:c>
      <x:c r="T4" s="54" t="n">
        <x:f>'Data'!D4</x:f>
        <x:v>154329.552</x:v>
      </x:c>
      <x:c r="U4" s="54" t="n">
        <x:f>'Data'!G4</x:f>
        <x:v>135041.94</x:v>
      </x:c>
      <x:c r="V4" s="54" t="n">
        <x:f>'Data'!I4</x:f>
        <x:v>156048.464</x:v>
      </x:c>
    </x:row>
    <x:row r="5">
      <x:c r="N5" t="str">
        <x:f>'Data'!B5</x:f>
        <x:v>2020-03</x:v>
      </x:c>
      <x:c r="O5" s="54" t="n">
        <x:f>'Data'!C5</x:f>
        <x:v>3326.01</x:v>
      </x:c>
      <x:c r="P5" s="54" t="n">
        <x:f>'Data'!F5</x:f>
        <x:v>2467.143</x:v>
      </x:c>
      <x:c r="Q5" s="54" t="n">
        <x:f>'Data'!H5</x:f>
        <x:v>2850.9208</x:v>
      </x:c>
      <x:c r="S5" t="str">
        <x:f>'Data'!B5</x:f>
        <x:v>2020-03</x:v>
      </x:c>
      <x:c r="T5" s="54" t="n">
        <x:f>'Data'!D5</x:f>
        <x:v>155657.268</x:v>
      </x:c>
      <x:c r="U5" s="54" t="n">
        <x:f>'Data'!G5</x:f>
        <x:v>135692.865</x:v>
      </x:c>
      <x:c r="V5" s="54" t="n">
        <x:f>'Data'!I5</x:f>
        <x:v>156800.644</x:v>
      </x:c>
    </x:row>
    <x:row r="6">
      <x:c r="N6" t="str">
        <x:f>'Data'!B6</x:f>
        <x:v>2020-04</x:v>
      </x:c>
      <x:c r="O6" s="54" t="n">
        <x:f>'Data'!C6</x:f>
        <x:v>3356.33</x:v>
      </x:c>
      <x:c r="P6" s="54" t="n">
        <x:f>'Data'!F6</x:f>
        <x:v>2479.797</x:v>
      </x:c>
      <x:c r="Q6" s="54" t="n">
        <x:f>'Data'!H6</x:f>
        <x:v>2865.5432</x:v>
      </x:c>
      <x:c r="S6" t="str">
        <x:f>'Data'!B6</x:f>
        <x:v>2020-04</x:v>
      </x:c>
      <x:c r="T6" s="54" t="n">
        <x:f>'Data'!D6</x:f>
        <x:v>157076.244</x:v>
      </x:c>
      <x:c r="U6" s="54" t="n">
        <x:f>'Data'!G6</x:f>
        <x:v>136388.835</x:v>
      </x:c>
      <x:c r="V6" s="54" t="n">
        <x:f>'Data'!I6</x:f>
        <x:v>157604.876</x:v>
      </x:c>
    </x:row>
    <x:row r="7">
      <x:c r="N7" t="str">
        <x:f>'Data'!B7</x:f>
        <x:v>2020-05</x:v>
      </x:c>
      <x:c r="O7" s="54" t="n">
        <x:f>'Data'!C7</x:f>
        <x:v>3385.68</x:v>
      </x:c>
      <x:c r="P7" s="54" t="n">
        <x:f>'Data'!F7</x:f>
        <x:v>2492.0460000000003</x:v>
      </x:c>
      <x:c r="Q7" s="54" t="n">
        <x:f>'Data'!H7</x:f>
        <x:v>2879.6976</x:v>
      </x:c>
      <x:c r="S7" t="str">
        <x:f>'Data'!B7</x:f>
        <x:v>2020-05</x:v>
      </x:c>
      <x:c r="T7" s="54" t="n">
        <x:f>'Data'!D7</x:f>
        <x:v>158449.824</x:v>
      </x:c>
      <x:c r="U7" s="54" t="n">
        <x:f>'Data'!G7</x:f>
        <x:v>137062.53000000003</x:v>
      </x:c>
      <x:c r="V7" s="54" t="n">
        <x:f>'Data'!I7</x:f>
        <x:v>158383.368</x:v>
      </x:c>
    </x:row>
    <x:row r="8">
      <x:c r="N8" t="str">
        <x:f>'Data'!B8</x:f>
        <x:v>2020-06</x:v>
      </x:c>
      <x:c r="O8" s="54" t="n">
        <x:f>'Data'!C8</x:f>
        <x:v>3416</x:v>
      </x:c>
      <x:c r="P8" s="54" t="n">
        <x:f>'Data'!F8</x:f>
        <x:v>2504.7000000000003</x:v>
      </x:c>
      <x:c r="Q8" s="54" t="n">
        <x:f>'Data'!H8</x:f>
        <x:v>2894.32</x:v>
      </x:c>
      <x:c r="S8" t="str">
        <x:f>'Data'!B8</x:f>
        <x:v>2020-06</x:v>
      </x:c>
      <x:c r="T8" s="54" t="n">
        <x:f>'Data'!D8</x:f>
        <x:v>159868.80000000002</x:v>
      </x:c>
      <x:c r="U8" s="54" t="n">
        <x:f>'Data'!G8</x:f>
        <x:v>137758.50000000003</x:v>
      </x:c>
      <x:c r="V8" s="54" t="n">
        <x:f>'Data'!I8</x:f>
        <x:v>159187.6</x:v>
      </x:c>
    </x:row>
    <x:row r="9">
      <x:c r="N9" t="str">
        <x:f>'Data'!B9</x:f>
        <x:v>2020-07</x:v>
      </x:c>
      <x:c r="O9" s="54" t="n">
        <x:f>'Data'!C9</x:f>
        <x:v>3445.34</x:v>
      </x:c>
      <x:c r="P9" s="54" t="n">
        <x:f>'Data'!F9</x:f>
        <x:v>2516.058</x:v>
      </x:c>
      <x:c r="Q9" s="54" t="n">
        <x:f>'Data'!H9</x:f>
        <x:v>2907.4447999999998</x:v>
      </x:c>
      <x:c r="S9" t="str">
        <x:f>'Data'!B9</x:f>
        <x:v>2020-07</x:v>
      </x:c>
      <x:c r="T9" s="54" t="n">
        <x:f>'Data'!D9</x:f>
        <x:v>161241.912</x:v>
      </x:c>
      <x:c r="U9" s="54" t="n">
        <x:f>'Data'!G9</x:f>
        <x:v>138383.19</x:v>
      </x:c>
      <x:c r="V9" s="54" t="n">
        <x:f>'Data'!I9</x:f>
        <x:v>159909.46399999998</x:v>
      </x:c>
    </x:row>
    <x:row r="10">
      <x:c r="N10" t="str">
        <x:f>'Data'!B10</x:f>
        <x:v>2020-08</x:v>
      </x:c>
      <x:c r="O10" s="54" t="n">
        <x:f>'Data'!C10</x:f>
        <x:v>3475.67</x:v>
      </x:c>
      <x:c r="P10" s="54" t="n">
        <x:f>'Data'!F10</x:f>
        <x:v>2527.8030000000003</x:v>
      </x:c>
      <x:c r="Q10" s="54" t="n">
        <x:f>'Data'!H10</x:f>
        <x:v>2921.0168000000003</x:v>
      </x:c>
      <x:c r="S10" t="str">
        <x:f>'Data'!B10</x:f>
        <x:v>2020-08</x:v>
      </x:c>
      <x:c r="T10" s="54" t="n">
        <x:f>'Data'!D10</x:f>
        <x:v>162661.356</x:v>
      </x:c>
      <x:c r="U10" s="54" t="n">
        <x:f>'Data'!G10</x:f>
        <x:v>139029.165</x:v>
      </x:c>
      <x:c r="V10" s="54" t="n">
        <x:f>'Data'!I10</x:f>
        <x:v>160655.92400000003</x:v>
      </x:c>
    </x:row>
    <x:row r="11">
      <x:c r="N11" t="str">
        <x:f>'Data'!B11</x:f>
        <x:v>2020-09</x:v>
      </x:c>
      <x:c r="O11" s="54" t="n">
        <x:f>'Data'!C11</x:f>
        <x:v>3505.99</x:v>
      </x:c>
      <x:c r="P11" s="54" t="n">
        <x:f>'Data'!F11</x:f>
        <x:v>2539.539</x:v>
      </x:c>
      <x:c r="Q11" s="54" t="n">
        <x:f>'Data'!H11</x:f>
        <x:v>2934.5784000000003</x:v>
      </x:c>
      <x:c r="S11" t="str">
        <x:f>'Data'!B11</x:f>
        <x:v>2020-09</x:v>
      </x:c>
      <x:c r="T11" s="54" t="n">
        <x:f>'Data'!D11</x:f>
        <x:v>164080.332</x:v>
      </x:c>
      <x:c r="U11" s="54" t="n">
        <x:f>'Data'!G11</x:f>
        <x:v>139674.64500000002</x:v>
      </x:c>
      <x:c r="V11" s="54" t="n">
        <x:f>'Data'!I11</x:f>
        <x:v>161401.812</x:v>
      </x:c>
    </x:row>
    <x:row r="12">
      <x:c r="N12" t="str">
        <x:f>'Data'!B12</x:f>
        <x:v>2020-10</x:v>
      </x:c>
      <x:c r="O12" s="54" t="n">
        <x:f>'Data'!C12</x:f>
        <x:v>3535.33</x:v>
      </x:c>
      <x:c r="P12" s="54" t="n">
        <x:f>'Data'!F12</x:f>
        <x:v>2550.897</x:v>
      </x:c>
      <x:c r="Q12" s="54" t="n">
        <x:f>'Data'!H12</x:f>
        <x:v>2947.7032</x:v>
      </x:c>
      <x:c r="S12" t="str">
        <x:f>'Data'!B12</x:f>
        <x:v>2020-10</x:v>
      </x:c>
      <x:c r="T12" s="54" t="n">
        <x:f>'Data'!D12</x:f>
        <x:v>165453.444</x:v>
      </x:c>
      <x:c r="U12" s="54" t="n">
        <x:f>'Data'!G12</x:f>
        <x:v>140299.335</x:v>
      </x:c>
      <x:c r="V12" s="54" t="n">
        <x:f>'Data'!I12</x:f>
        <x:v>162123.676</x:v>
      </x:c>
    </x:row>
    <x:row r="13">
      <x:c r="N13" t="str">
        <x:f>'Data'!B13</x:f>
        <x:v>2020-11</x:v>
      </x:c>
      <x:c r="O13" s="54" t="n">
        <x:f>'Data'!C13</x:f>
        <x:v>3565.66</x:v>
      </x:c>
      <x:c r="P13" s="54" t="n">
        <x:f>'Data'!F13</x:f>
        <x:v>2562.6420000000003</x:v>
      </x:c>
      <x:c r="Q13" s="54" t="n">
        <x:f>'Data'!H13</x:f>
        <x:v>2961.2752</x:v>
      </x:c>
      <x:c r="S13" t="str">
        <x:f>'Data'!B13</x:f>
        <x:v>2020-11</x:v>
      </x:c>
      <x:c r="T13" s="54" t="n">
        <x:f>'Data'!D13</x:f>
        <x:v>166872.888</x:v>
      </x:c>
      <x:c r="U13" s="54" t="n">
        <x:f>'Data'!G13</x:f>
        <x:v>140945.31000000003</x:v>
      </x:c>
      <x:c r="V13" s="54" t="n">
        <x:f>'Data'!I13</x:f>
        <x:v>162870.136</x:v>
      </x:c>
    </x:row>
    <x:row r="14">
      <x:c r="N14" t="str">
        <x:f>'Data'!B14</x:f>
        <x:v>2020-12</x:v>
      </x:c>
      <x:c r="O14" s="54" t="n">
        <x:f>'Data'!C14</x:f>
        <x:v>3595</x:v>
      </x:c>
      <x:c r="P14" s="54" t="n">
        <x:f>'Data'!F14</x:f>
        <x:v>2574</x:v>
      </x:c>
      <x:c r="Q14" s="54" t="n">
        <x:f>'Data'!H14</x:f>
        <x:v>2974.4</x:v>
      </x:c>
      <x:c r="S14" t="str">
        <x:f>'Data'!B14</x:f>
        <x:v>2020-12</x:v>
      </x:c>
      <x:c r="T14" s="54" t="n">
        <x:f>'Data'!D14</x:f>
        <x:v>168246</x:v>
      </x:c>
      <x:c r="U14" s="54" t="n">
        <x:f>'Data'!G14</x:f>
        <x:v>141570</x:v>
      </x:c>
      <x:c r="V14" s="54" t="n">
        <x:f>'Data'!I14</x:f>
        <x:v>163592</x:v>
      </x:c>
    </x:row>
    <x:row r="15">
      <x:c r="N15" t="str">
        <x:f>'Data'!B15</x:f>
        <x:v>2021-01</x:v>
      </x:c>
      <x:c r="O15" s="54" t="n">
        <x:f>'Data'!C15</x:f>
        <x:v>3651.14</x:v>
      </x:c>
      <x:c r="P15" s="54" t="n">
        <x:f>'Data'!F15</x:f>
        <x:v>2606.643</x:v>
      </x:c>
      <x:c r="Q15" s="54" t="n">
        <x:f>'Data'!H15</x:f>
        <x:v>3012.1208</x:v>
      </x:c>
      <x:c r="S15" t="str">
        <x:f>'Data'!B15</x:f>
        <x:v>2021-01</x:v>
      </x:c>
      <x:c r="T15" s="54" t="n">
        <x:f>'Data'!D15</x:f>
        <x:v>170873.35199999998</x:v>
      </x:c>
      <x:c r="U15" s="54" t="n">
        <x:f>'Data'!G15</x:f>
        <x:v>143365.365</x:v>
      </x:c>
      <x:c r="V15" s="54" t="n">
        <x:f>'Data'!I15</x:f>
        <x:v>165666.644</x:v>
      </x:c>
    </x:row>
    <x:row r="16">
      <x:c r="N16" t="str">
        <x:f>'Data'!B16</x:f>
        <x:v>2021-02</x:v>
      </x:c>
      <x:c r="O16" s="54" t="n">
        <x:f>'Data'!C16</x:f>
        <x:v>3707.28</x:v>
      </x:c>
      <x:c r="P16" s="54" t="n">
        <x:f>'Data'!F16</x:f>
        <x:v>2639.277</x:v>
      </x:c>
      <x:c r="Q16" s="54" t="n">
        <x:f>'Data'!H16</x:f>
        <x:v>3049.8312000000005</x:v>
      </x:c>
      <x:c r="S16" t="str">
        <x:f>'Data'!B16</x:f>
        <x:v>2021-02</x:v>
      </x:c>
      <x:c r="T16" s="54" t="n">
        <x:f>'Data'!D16</x:f>
        <x:v>173500.704</x:v>
      </x:c>
      <x:c r="U16" s="54" t="n">
        <x:f>'Data'!G16</x:f>
        <x:v>145160.23500000002</x:v>
      </x:c>
      <x:c r="V16" s="54" t="n">
        <x:f>'Data'!I16</x:f>
        <x:v>167740.71600000001</x:v>
      </x:c>
    </x:row>
    <x:row r="17">
      <x:c r="N17" t="str">
        <x:f>'Data'!B17</x:f>
        <x:v>2021-03</x:v>
      </x:c>
      <x:c r="O17" s="54" t="n">
        <x:f>'Data'!C17</x:f>
        <x:v>3757.99</x:v>
      </x:c>
      <x:c r="P17" s="54" t="n">
        <x:f>'Data'!F17</x:f>
        <x:v>2668.761</x:v>
      </x:c>
      <x:c r="Q17" s="54" t="n">
        <x:f>'Data'!H17</x:f>
        <x:v>3083.9016</x:v>
      </x:c>
      <x:c r="S17" t="str">
        <x:f>'Data'!B17</x:f>
        <x:v>2021-03</x:v>
      </x:c>
      <x:c r="T17" s="54" t="n">
        <x:f>'Data'!D17</x:f>
        <x:v>175873.932</x:v>
      </x:c>
      <x:c r="U17" s="54" t="n">
        <x:f>'Data'!G17</x:f>
        <x:v>146781.855</x:v>
      </x:c>
      <x:c r="V17" s="54" t="n">
        <x:f>'Data'!I17</x:f>
        <x:v>169614.58800000002</x:v>
      </x:c>
    </x:row>
    <x:row r="18">
      <x:c r="N18" t="str">
        <x:f>'Data'!B18</x:f>
        <x:v>2021-04</x:v>
      </x:c>
      <x:c r="O18" s="54" t="n">
        <x:f>'Data'!C18</x:f>
        <x:v>3814.13</x:v>
      </x:c>
      <x:c r="P18" s="54" t="n">
        <x:f>'Data'!F18</x:f>
        <x:v>2701.3950000000004</x:v>
      </x:c>
      <x:c r="Q18" s="54" t="n">
        <x:f>'Data'!H18</x:f>
        <x:v>3121.612</x:v>
      </x:c>
      <x:c r="S18" t="str">
        <x:f>'Data'!B18</x:f>
        <x:v>2021-04</x:v>
      </x:c>
      <x:c r="T18" s="54" t="n">
        <x:f>'Data'!D18</x:f>
        <x:v>178501.284</x:v>
      </x:c>
      <x:c r="U18" s="54" t="n">
        <x:f>'Data'!G18</x:f>
        <x:v>148576.72500000003</x:v>
      </x:c>
      <x:c r="V18" s="54" t="n">
        <x:f>'Data'!I18</x:f>
        <x:v>171688.66</x:v>
      </x:c>
    </x:row>
    <x:row r="19">
      <x:c r="N19" t="str">
        <x:f>'Data'!B19</x:f>
        <x:v>2021-05</x:v>
      </x:c>
      <x:c r="O19" s="54" t="n">
        <x:f>'Data'!C19</x:f>
        <x:v>3868.45</x:v>
      </x:c>
      <x:c r="P19" s="54" t="n">
        <x:f>'Data'!F19</x:f>
        <x:v>2732.985</x:v>
      </x:c>
      <x:c r="Q19" s="54" t="n">
        <x:f>'Data'!H19</x:f>
        <x:v>3158.116</x:v>
      </x:c>
      <x:c r="S19" t="str">
        <x:f>'Data'!B19</x:f>
        <x:v>2021-05</x:v>
      </x:c>
      <x:c r="T19" s="54" t="n">
        <x:f>'Data'!D19</x:f>
        <x:v>181043.46</x:v>
      </x:c>
      <x:c r="U19" s="54" t="n">
        <x:f>'Data'!G19</x:f>
        <x:v>150314.17500000002</x:v>
      </x:c>
      <x:c r="V19" s="54" t="n">
        <x:f>'Data'!I19</x:f>
        <x:v>173696.38</x:v>
      </x:c>
    </x:row>
    <x:row r="20">
      <x:c r="N20" t="str">
        <x:f>'Data'!B20</x:f>
        <x:v>2021-06</x:v>
      </x:c>
      <x:c r="O20" s="54" t="n">
        <x:f>'Data'!C20</x:f>
        <x:v>3924.59</x:v>
      </x:c>
      <x:c r="P20" s="54" t="n">
        <x:f>'Data'!F20</x:f>
        <x:v>2765.628</x:v>
      </x:c>
      <x:c r="Q20" s="54" t="n">
        <x:f>'Data'!H20</x:f>
        <x:v>3195.8368</x:v>
      </x:c>
      <x:c r="S20" t="str">
        <x:f>'Data'!B20</x:f>
        <x:v>2021-06</x:v>
      </x:c>
      <x:c r="T20" s="54" t="n">
        <x:f>'Data'!D20</x:f>
        <x:v>183670.812</x:v>
      </x:c>
      <x:c r="U20" s="54" t="n">
        <x:f>'Data'!G20</x:f>
        <x:v>152109.54</x:v>
      </x:c>
      <x:c r="V20" s="54" t="n">
        <x:f>'Data'!I20</x:f>
        <x:v>175771.024</x:v>
      </x:c>
    </x:row>
    <x:row r="21">
      <x:c r="N21" t="str">
        <x:f>'Data'!B21</x:f>
        <x:v>2021-07</x:v>
      </x:c>
      <x:c r="O21" s="54" t="n">
        <x:f>'Data'!C21</x:f>
        <x:v>3978.92</x:v>
      </x:c>
      <x:c r="P21" s="54" t="n">
        <x:f>'Data'!F21</x:f>
        <x:v>2797.2090000000003</x:v>
      </x:c>
      <x:c r="Q21" s="54" t="n">
        <x:f>'Data'!H21</x:f>
        <x:v>3232.3304000000003</x:v>
      </x:c>
      <x:c r="S21" t="str">
        <x:f>'Data'!B21</x:f>
        <x:v>2021-07</x:v>
      </x:c>
      <x:c r="T21" s="54" t="n">
        <x:f>'Data'!D21</x:f>
        <x:v>186213.456</x:v>
      </x:c>
      <x:c r="U21" s="54" t="n">
        <x:f>'Data'!G21</x:f>
        <x:v>153846.49500000002</x:v>
      </x:c>
      <x:c r="V21" s="54" t="n">
        <x:f>'Data'!I21</x:f>
        <x:v>177778.17200000002</x:v>
      </x:c>
    </x:row>
    <x:row r="22">
      <x:c r="N22" t="str">
        <x:f>'Data'!B22</x:f>
        <x:v>2021-08</x:v>
      </x:c>
      <x:c r="O22" s="54" t="n">
        <x:f>'Data'!C22</x:f>
        <x:v>4035.06</x:v>
      </x:c>
      <x:c r="P22" s="54" t="n">
        <x:f>'Data'!F22</x:f>
        <x:v>2829.8520000000003</x:v>
      </x:c>
      <x:c r="Q22" s="54" t="n">
        <x:f>'Data'!H22</x:f>
        <x:v>3270.0512000000003</x:v>
      </x:c>
      <x:c r="S22" t="str">
        <x:f>'Data'!B22</x:f>
        <x:v>2021-08</x:v>
      </x:c>
      <x:c r="T22" s="54" t="n">
        <x:f>'Data'!D22</x:f>
        <x:v>188840.80800000002</x:v>
      </x:c>
      <x:c r="U22" s="54" t="n">
        <x:f>'Data'!G22</x:f>
        <x:v>155641.86000000002</x:v>
      </x:c>
      <x:c r="V22" s="54" t="n">
        <x:f>'Data'!I22</x:f>
        <x:v>179852.81600000002</x:v>
      </x:c>
    </x:row>
    <x:row r="23">
      <x:c r="N23" t="str">
        <x:f>'Data'!B23</x:f>
        <x:v>2021-09</x:v>
      </x:c>
      <x:c r="O23" s="54" t="n">
        <x:f>'Data'!C23</x:f>
        <x:v>4091.2</x:v>
      </x:c>
      <x:c r="P23" s="54" t="n">
        <x:f>'Data'!F23</x:f>
        <x:v>2862.486</x:v>
      </x:c>
      <x:c r="Q23" s="54" t="n">
        <x:f>'Data'!H23</x:f>
        <x:v>3307.7616000000003</x:v>
      </x:c>
      <x:c r="S23" t="str">
        <x:f>'Data'!B23</x:f>
        <x:v>2021-09</x:v>
      </x:c>
      <x:c r="T23" s="54" t="n">
        <x:f>'Data'!D23</x:f>
        <x:v>191468.16</x:v>
      </x:c>
      <x:c r="U23" s="54" t="n">
        <x:f>'Data'!G23</x:f>
        <x:v>157436.72999999998</x:v>
      </x:c>
      <x:c r="V23" s="54" t="n">
        <x:f>'Data'!I23</x:f>
        <x:v>181926.888</x:v>
      </x:c>
    </x:row>
    <x:row r="24">
      <x:c r="N24" t="str">
        <x:f>'Data'!B24</x:f>
        <x:v>2021-10</x:v>
      </x:c>
      <x:c r="O24" s="54" t="n">
        <x:f>'Data'!C24</x:f>
        <x:v>4145.53</x:v>
      </x:c>
      <x:c r="P24" s="54" t="n">
        <x:f>'Data'!F24</x:f>
        <x:v>2894.076</x:v>
      </x:c>
      <x:c r="Q24" s="54" t="n">
        <x:f>'Data'!H24</x:f>
        <x:v>3344.2656</x:v>
      </x:c>
      <x:c r="S24" t="str">
        <x:f>'Data'!B24</x:f>
        <x:v>2021-10</x:v>
      </x:c>
      <x:c r="T24" s="54" t="n">
        <x:f>'Data'!D24</x:f>
        <x:v>194010.804</x:v>
      </x:c>
      <x:c r="U24" s="54" t="n">
        <x:f>'Data'!G24</x:f>
        <x:v>159174.18</x:v>
      </x:c>
      <x:c r="V24" s="54" t="n">
        <x:f>'Data'!I24</x:f>
        <x:v>183934.608</x:v>
      </x:c>
    </x:row>
    <x:row r="25">
      <x:c r="N25" t="str">
        <x:f>'Data'!B25</x:f>
        <x:v>2021-11</x:v>
      </x:c>
      <x:c r="O25" s="54" t="n">
        <x:f>'Data'!C25</x:f>
        <x:v>4201.67</x:v>
      </x:c>
      <x:c r="P25" s="54" t="n">
        <x:f>'Data'!F25</x:f>
        <x:v>2926.71</x:v>
      </x:c>
      <x:c r="Q25" s="54" t="n">
        <x:f>'Data'!H25</x:f>
        <x:v>3381.976</x:v>
      </x:c>
      <x:c r="S25" t="str">
        <x:f>'Data'!B25</x:f>
        <x:v>2021-11</x:v>
      </x:c>
      <x:c r="T25" s="54" t="n">
        <x:f>'Data'!D25</x:f>
        <x:v>196638.15600000002</x:v>
      </x:c>
      <x:c r="U25" s="54" t="n">
        <x:f>'Data'!G25</x:f>
        <x:v>160969.05</x:v>
      </x:c>
      <x:c r="V25" s="54" t="n">
        <x:f>'Data'!I25</x:f>
        <x:v>186008.68</x:v>
      </x:c>
    </x:row>
    <x:row r="26">
      <x:c r="N26" t="str">
        <x:f>'Data'!B26</x:f>
        <x:v>2021-12</x:v>
      </x:c>
      <x:c r="O26" s="54" t="n">
        <x:f>'Data'!C26</x:f>
        <x:v>4256</x:v>
      </x:c>
      <x:c r="P26" s="54" t="n">
        <x:f>'Data'!F26</x:f>
        <x:v>2958.3</x:v>
      </x:c>
      <x:c r="Q26" s="54" t="n">
        <x:f>'Data'!H26</x:f>
        <x:v>3418.48</x:v>
      </x:c>
      <x:c r="S26" t="str">
        <x:f>'Data'!B26</x:f>
        <x:v>2021-12</x:v>
      </x:c>
      <x:c r="T26" s="54" t="n">
        <x:f>'Data'!D26</x:f>
        <x:v>199180.80000000002</x:v>
      </x:c>
      <x:c r="U26" s="54" t="n">
        <x:f>'Data'!G26</x:f>
        <x:v>162706.5</x:v>
      </x:c>
      <x:c r="V26" s="54" t="n">
        <x:f>'Data'!I26</x:f>
        <x:v>188016.4</x:v>
      </x:c>
    </x:row>
    <x:row r="27">
      <x:c r="N27" t="str">
        <x:f>'Data'!B27</x:f>
        <x:v>2022-01</x:v>
      </x:c>
      <x:c r="O27" s="54" t="n">
        <x:f>'Data'!C27</x:f>
        <x:v>4365.69</x:v>
      </x:c>
      <x:c r="P27" s="54" t="n">
        <x:f>'Data'!F27</x:f>
        <x:v>3048.741</x:v>
      </x:c>
      <x:c r="Q27" s="54" t="n">
        <x:f>'Data'!H27</x:f>
        <x:v>3522.9896</x:v>
      </x:c>
      <x:c r="S27" t="str">
        <x:f>'Data'!B27</x:f>
        <x:v>2022-01</x:v>
      </x:c>
      <x:c r="T27" s="54" t="n">
        <x:f>'Data'!D27</x:f>
        <x:v>204314.292</x:v>
      </x:c>
      <x:c r="U27" s="54" t="n">
        <x:f>'Data'!G27</x:f>
        <x:v>167680.755</x:v>
      </x:c>
      <x:c r="V27" s="54" t="n">
        <x:f>'Data'!I27</x:f>
        <x:v>193764.42799999999</x:v>
      </x:c>
    </x:row>
    <x:row r="28">
      <x:c r="N28" t="str">
        <x:f>'Data'!B28</x:f>
        <x:v>2022-02</x:v>
      </x:c>
      <x:c r="O28" s="54" t="n">
        <x:f>'Data'!C28</x:f>
        <x:v>4475.38</x:v>
      </x:c>
      <x:c r="P28" s="54" t="n">
        <x:f>'Data'!F28</x:f>
        <x:v>3139.191</x:v>
      </x:c>
      <x:c r="Q28" s="54" t="n">
        <x:f>'Data'!H28</x:f>
        <x:v>3627.5096</x:v>
      </x:c>
      <x:c r="S28" t="str">
        <x:f>'Data'!B28</x:f>
        <x:v>2022-02</x:v>
      </x:c>
      <x:c r="T28" s="54" t="n">
        <x:f>'Data'!D28</x:f>
        <x:v>209447.784</x:v>
      </x:c>
      <x:c r="U28" s="54" t="n">
        <x:f>'Data'!G28</x:f>
        <x:v>172655.50499999998</x:v>
      </x:c>
      <x:c r="V28" s="54" t="n">
        <x:f>'Data'!I28</x:f>
        <x:v>199513.028</x:v>
      </x:c>
    </x:row>
    <x:row r="29">
      <x:c r="N29" t="str">
        <x:f>'Data'!B29</x:f>
        <x:v>2022-03</x:v>
      </x:c>
      <x:c r="O29" s="54" t="n">
        <x:f>'Data'!C29</x:f>
        <x:v>4574.46</x:v>
      </x:c>
      <x:c r="P29" s="54" t="n">
        <x:f>'Data'!F29</x:f>
        <x:v>3220.8840000000005</x:v>
      </x:c>
      <x:c r="Q29" s="54" t="n">
        <x:f>'Data'!H29</x:f>
        <x:v>3721.9104</x:v>
      </x:c>
      <x:c r="S29" t="str">
        <x:f>'Data'!B29</x:f>
        <x:v>2022-03</x:v>
      </x:c>
      <x:c r="T29" s="54" t="n">
        <x:f>'Data'!D29</x:f>
        <x:v>214084.728</x:v>
      </x:c>
      <x:c r="U29" s="54" t="n">
        <x:f>'Data'!G29</x:f>
        <x:v>177148.62000000002</x:v>
      </x:c>
      <x:c r="V29" s="54" t="n">
        <x:f>'Data'!I29</x:f>
        <x:v>204705.07200000001</x:v>
      </x:c>
    </x:row>
    <x:row r="30">
      <x:c r="N30" t="str">
        <x:f>'Data'!B30</x:f>
        <x:v>2022-04</x:v>
      </x:c>
      <x:c r="O30" s="54" t="n">
        <x:f>'Data'!C30</x:f>
        <x:v>4684.15</x:v>
      </x:c>
      <x:c r="P30" s="54" t="n">
        <x:f>'Data'!F30</x:f>
        <x:v>3311.3250000000003</x:v>
      </x:c>
      <x:c r="Q30" s="54" t="n">
        <x:f>'Data'!H30</x:f>
        <x:v>3826.42</x:v>
      </x:c>
      <x:c r="S30" t="str">
        <x:f>'Data'!B30</x:f>
        <x:v>2022-04</x:v>
      </x:c>
      <x:c r="T30" s="54" t="n">
        <x:f>'Data'!D30</x:f>
        <x:v>219218.21999999997</x:v>
      </x:c>
      <x:c r="U30" s="54" t="n">
        <x:f>'Data'!G30</x:f>
        <x:v>182122.87500000003</x:v>
      </x:c>
      <x:c r="V30" s="54" t="n">
        <x:f>'Data'!I30</x:f>
        <x:v>210453.1</x:v>
      </x:c>
    </x:row>
    <x:row r="31">
      <x:c r="N31" t="str">
        <x:f>'Data'!B31</x:f>
        <x:v>2022-05</x:v>
      </x:c>
      <x:c r="O31" s="54" t="n">
        <x:f>'Data'!C31</x:f>
        <x:v>4790.31</x:v>
      </x:c>
      <x:c r="P31" s="54" t="n">
        <x:f>'Data'!F31</x:f>
        <x:v>3398.8590000000004</x:v>
      </x:c>
      <x:c r="Q31" s="54" t="n">
        <x:f>'Data'!H31</x:f>
        <x:v>3927.5704000000005</x:v>
      </x:c>
      <x:c r="S31" t="str">
        <x:f>'Data'!B31</x:f>
        <x:v>2022-05</x:v>
      </x:c>
      <x:c r="T31" s="54" t="n">
        <x:f>'Data'!D31</x:f>
        <x:v>224186.50800000003</x:v>
      </x:c>
      <x:c r="U31" s="54" t="n">
        <x:f>'Data'!G31</x:f>
        <x:v>186937.24500000002</x:v>
      </x:c>
      <x:c r="V31" s="54" t="n">
        <x:f>'Data'!I31</x:f>
        <x:v>216016.37200000003</x:v>
      </x:c>
    </x:row>
    <x:row r="32">
      <x:c r="N32" t="str">
        <x:f>'Data'!B32</x:f>
        <x:v>2022-06</x:v>
      </x:c>
      <x:c r="O32" s="54" t="n">
        <x:f>'Data'!C32</x:f>
        <x:v>4900</x:v>
      </x:c>
      <x:c r="P32" s="54" t="n">
        <x:f>'Data'!F32</x:f>
        <x:v>3489.3</x:v>
      </x:c>
      <x:c r="Q32" s="54" t="n">
        <x:f>'Data'!H32</x:f>
        <x:v>4032.08</x:v>
      </x:c>
      <x:c r="S32" t="str">
        <x:f>'Data'!B32</x:f>
        <x:v>2022-06</x:v>
      </x:c>
      <x:c r="T32" s="54" t="n">
        <x:f>'Data'!D32</x:f>
        <x:v>229320</x:v>
      </x:c>
      <x:c r="U32" s="54" t="n">
        <x:f>'Data'!G32</x:f>
        <x:v>191911.5</x:v>
      </x:c>
      <x:c r="V32" s="54" t="n">
        <x:f>'Data'!I32</x:f>
        <x:v>221764.4</x:v>
      </x:c>
    </x:row>
    <x:row r="33">
      <x:c r="N33" t="str">
        <x:f>'Data'!B33</x:f>
        <x:v>2022-07</x:v>
      </x:c>
      <x:c r="O33" s="54" t="n">
        <x:f>'Data'!C33</x:f>
        <x:v>4900</x:v>
      </x:c>
      <x:c r="P33" s="54" t="n">
        <x:f>'Data'!F33</x:f>
        <x:v>3489.3</x:v>
      </x:c>
      <x:c r="Q33" s="54" t="n">
        <x:f>'Data'!H33</x:f>
        <x:v>4032.08</x:v>
      </x:c>
      <x:c r="S33" t="str">
        <x:f>'Data'!B33</x:f>
        <x:v>2022-07</x:v>
      </x:c>
      <x:c r="T33" s="54" t="n">
        <x:f>'Data'!D33</x:f>
        <x:v>229320</x:v>
      </x:c>
      <x:c r="U33" s="54" t="n">
        <x:f>'Data'!G33</x:f>
        <x:v>191911.5</x:v>
      </x:c>
      <x:c r="V33" s="54" t="n">
        <x:f>'Data'!I33</x:f>
        <x:v>221764.4</x:v>
      </x:c>
    </x:row>
    <x:row r="34">
      <x:c r="N34" t="str">
        <x:f>'Data'!B34</x:f>
        <x:v>2022-08</x:v>
      </x:c>
      <x:c r="O34" s="54" t="n">
        <x:f>'Data'!C34</x:f>
        <x:v>4900</x:v>
      </x:c>
      <x:c r="P34" s="54" t="n">
        <x:f>'Data'!F34</x:f>
        <x:v>3489.3</x:v>
      </x:c>
      <x:c r="Q34" s="54" t="n">
        <x:f>'Data'!H34</x:f>
        <x:v>4032.08</x:v>
      </x:c>
      <x:c r="S34" t="str">
        <x:f>'Data'!B34</x:f>
        <x:v>2022-08</x:v>
      </x:c>
      <x:c r="T34" s="54" t="n">
        <x:f>'Data'!D34</x:f>
        <x:v>229320</x:v>
      </x:c>
      <x:c r="U34" s="54" t="n">
        <x:f>'Data'!G34</x:f>
        <x:v>191911.5</x:v>
      </x:c>
      <x:c r="V34" s="54" t="n">
        <x:f>'Data'!I34</x:f>
        <x:v>221764.4</x:v>
      </x:c>
    </x:row>
    <x:row r="35">
      <x:c r="N35" t="str">
        <x:f>'Data'!B35</x:f>
        <x:v>2022-09</x:v>
      </x:c>
      <x:c r="O35" s="54" t="n">
        <x:f>'Data'!C35</x:f>
        <x:v>4900</x:v>
      </x:c>
      <x:c r="P35" s="54" t="n">
        <x:f>'Data'!F35</x:f>
        <x:v>3489.3</x:v>
      </x:c>
      <x:c r="Q35" s="54" t="n">
        <x:f>'Data'!H35</x:f>
        <x:v>4032.08</x:v>
      </x:c>
      <x:c r="S35" t="str">
        <x:f>'Data'!B35</x:f>
        <x:v>2022-09</x:v>
      </x:c>
      <x:c r="T35" s="54" t="n">
        <x:f>'Data'!D35</x:f>
        <x:v>229320</x:v>
      </x:c>
      <x:c r="U35" s="54" t="n">
        <x:f>'Data'!G35</x:f>
        <x:v>191911.5</x:v>
      </x:c>
      <x:c r="V35" s="54" t="n">
        <x:f>'Data'!I35</x:f>
        <x:v>221764.4</x:v>
      </x:c>
    </x:row>
    <x:row r="36">
      <x:c r="N36" t="str">
        <x:f>'Data'!B36</x:f>
        <x:v>2022-10</x:v>
      </x:c>
      <x:c r="O36" s="54" t="n">
        <x:f>'Data'!C36</x:f>
        <x:v>4900</x:v>
      </x:c>
      <x:c r="P36" s="54" t="n">
        <x:f>'Data'!F36</x:f>
        <x:v>3456.963</x:v>
      </x:c>
      <x:c r="Q36" s="54" t="n">
        <x:f>'Data'!H36</x:f>
        <x:v>3994.7128000000002</x:v>
      </x:c>
      <x:c r="S36" t="str">
        <x:f>'Data'!B36</x:f>
        <x:v>2022-10</x:v>
      </x:c>
      <x:c r="T36" s="54" t="n">
        <x:f>'Data'!D36</x:f>
        <x:v>229320</x:v>
      </x:c>
      <x:c r="U36" s="54" t="n">
        <x:f>'Data'!G36</x:f>
        <x:v>190132.965</x:v>
      </x:c>
      <x:c r="V36" s="54" t="n">
        <x:f>'Data'!I36</x:f>
        <x:v>219709.20400000003</x:v>
      </x:c>
    </x:row>
    <x:row r="37">
      <x:c r="N37" t="str">
        <x:f>'Data'!B37</x:f>
        <x:v>2022-11</x:v>
      </x:c>
      <x:c r="O37" s="54" t="n">
        <x:f>'Data'!C37</x:f>
        <x:v>4900</x:v>
      </x:c>
      <x:c r="P37" s="54" t="n">
        <x:f>'Data'!F37</x:f>
        <x:v>3423.537</x:v>
      </x:c>
      <x:c r="Q37" s="54" t="n">
        <x:f>'Data'!H37</x:f>
        <x:v>3956.0872</x:v>
      </x:c>
      <x:c r="S37" t="str">
        <x:f>'Data'!B37</x:f>
        <x:v>2022-11</x:v>
      </x:c>
      <x:c r="T37" s="54" t="n">
        <x:f>'Data'!D37</x:f>
        <x:v>229320</x:v>
      </x:c>
      <x:c r="U37" s="54" t="n">
        <x:f>'Data'!G37</x:f>
        <x:v>188294.535</x:v>
      </x:c>
      <x:c r="V37" s="54" t="n">
        <x:f>'Data'!I37</x:f>
        <x:v>217584.796</x:v>
      </x:c>
    </x:row>
    <x:row r="38">
      <x:c r="N38" t="str">
        <x:f>'Data'!B38</x:f>
        <x:v>2022-12</x:v>
      </x:c>
      <x:c r="O38" s="54" t="n">
        <x:f>'Data'!C38</x:f>
        <x:v>4900</x:v>
      </x:c>
      <x:c r="P38" s="54" t="n">
        <x:f>'Data'!F38</x:f>
        <x:v>3391.2000000000003</x:v>
      </x:c>
      <x:c r="Q38" s="54" t="n">
        <x:f>'Data'!H38</x:f>
        <x:v>3918.7200000000003</x:v>
      </x:c>
      <x:c r="S38" t="str">
        <x:f>'Data'!B38</x:f>
        <x:v>2022-12</x:v>
      </x:c>
      <x:c r="T38" s="54" t="n">
        <x:f>'Data'!D38</x:f>
        <x:v>229320</x:v>
      </x:c>
      <x:c r="U38" s="54" t="n">
        <x:f>'Data'!G38</x:f>
        <x:v>186516.00000000003</x:v>
      </x:c>
      <x:c r="V38" s="54" t="n">
        <x:f>'Data'!I38</x:f>
        <x:v>215529.6</x:v>
      </x:c>
    </x:row>
    <x:row r="39">
      <x:c r="N39" t="str">
        <x:f>'Data'!B39</x:f>
        <x:v>2023-01</x:v>
      </x:c>
      <x:c r="O39" s="54" t="n">
        <x:f>'Data'!C39</x:f>
        <x:v>4920.04</x:v>
      </x:c>
      <x:c r="P39" s="54" t="n">
        <x:f>'Data'!F39</x:f>
        <x:v>3333.537</x:v>
      </x:c>
      <x:c r="Q39" s="54" t="n">
        <x:f>'Data'!H39</x:f>
        <x:v>3852.0872</x:v>
      </x:c>
      <x:c r="S39" t="str">
        <x:f>'Data'!B39</x:f>
        <x:v>2023-01</x:v>
      </x:c>
      <x:c r="T39" s="54" t="n">
        <x:f>'Data'!D39</x:f>
        <x:v>230257.872</x:v>
      </x:c>
      <x:c r="U39" s="54" t="n">
        <x:f>'Data'!G39</x:f>
        <x:v>183344.535</x:v>
      </x:c>
      <x:c r="V39" s="54" t="n">
        <x:f>'Data'!I39</x:f>
        <x:v>211864.796</x:v>
      </x:c>
    </x:row>
    <x:row r="40">
      <x:c r="N40" t="str">
        <x:f>'Data'!B40</x:f>
        <x:v>2023-02</x:v>
      </x:c>
      <x:c r="O40" s="54" t="n">
        <x:f>'Data'!C40</x:f>
        <x:v>4940.09</x:v>
      </x:c>
      <x:c r="P40" s="54" t="n">
        <x:f>'Data'!F40</x:f>
        <x:v>3275.883</x:v>
      </x:c>
      <x:c r="Q40" s="54" t="n">
        <x:f>'Data'!H40</x:f>
        <x:v>3785.4648</x:v>
      </x:c>
      <x:c r="S40" t="str">
        <x:f>'Data'!B40</x:f>
        <x:v>2023-02</x:v>
      </x:c>
      <x:c r="T40" s="54" t="n">
        <x:f>'Data'!D40</x:f>
        <x:v>231196.212</x:v>
      </x:c>
      <x:c r="U40" s="54" t="n">
        <x:f>'Data'!G40</x:f>
        <x:v>180173.565</x:v>
      </x:c>
      <x:c r="V40" s="54" t="n">
        <x:f>'Data'!I40</x:f>
        <x:v>208200.564</x:v>
      </x:c>
    </x:row>
    <x:row r="41">
      <x:c r="A41" s="58" t="str">
        <x:v>Poznámka: plné mesačné série sú modelované z verejne dostupných kvartálnych a ročných bodov. Presné zdrojové mesiace a extrapolácie sú označené v liste Data; koeficienty a výmery možno meniť v liste Predpoklady.</x:v>
      </x:c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N41" t="str">
        <x:f>'Data'!B41</x:f>
        <x:v>2023-03</x:v>
      </x:c>
      <x:c r="O41" s="54" t="n">
        <x:f>'Data'!C41</x:f>
        <x:v>4958.19</x:v>
      </x:c>
      <x:c r="P41" s="54" t="n">
        <x:f>'Data'!F41</x:f>
        <x:v>3223.8</x:v>
      </x:c>
      <x:c r="Q41" s="54" t="n">
        <x:f>'Data'!H41</x:f>
        <x:v>3725.28</x:v>
      </x:c>
      <x:c r="S41" t="str">
        <x:f>'Data'!B41</x:f>
        <x:v>2023-03</x:v>
      </x:c>
      <x:c r="T41" s="54" t="n">
        <x:f>'Data'!D41</x:f>
        <x:v>232043.29200000002</x:v>
      </x:c>
      <x:c r="U41" s="54" t="n">
        <x:f>'Data'!G41</x:f>
        <x:v>177309</x:v>
      </x:c>
      <x:c r="V41" s="54" t="n">
        <x:f>'Data'!I41</x:f>
        <x:v>204890.40000000002</x:v>
      </x:c>
    </x:row>
    <x:row r="42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N42" t="str">
        <x:f>'Data'!B42</x:f>
        <x:v>2023-04</x:v>
      </x:c>
      <x:c r="O42" s="54" t="n">
        <x:f>'Data'!C42</x:f>
        <x:v>4978.24</x:v>
      </x:c>
      <x:c r="P42" s="54" t="n">
        <x:f>'Data'!F42</x:f>
        <x:v>3194.082</x:v>
      </x:c>
      <x:c r="Q42" s="54" t="n">
        <x:f>'Data'!H42</x:f>
        <x:v>3690.9392000000003</x:v>
      </x:c>
      <x:c r="S42" t="str">
        <x:f>'Data'!B42</x:f>
        <x:v>2023-04</x:v>
      </x:c>
      <x:c r="T42" s="54" t="n">
        <x:f>'Data'!D42</x:f>
        <x:v>232981.632</x:v>
      </x:c>
      <x:c r="U42" s="54" t="n">
        <x:f>'Data'!G42</x:f>
        <x:v>175674.50999999998</x:v>
      </x:c>
      <x:c r="V42" s="54" t="n">
        <x:f>'Data'!I42</x:f>
        <x:v>203001.65600000002</x:v>
      </x:c>
    </x:row>
    <x:row r="43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N43" t="str">
        <x:f>'Data'!B43</x:f>
        <x:v>2023-05</x:v>
      </x:c>
      <x:c r="O43" s="54" t="n">
        <x:f>'Data'!C43</x:f>
        <x:v>4997.63</x:v>
      </x:c>
      <x:c r="P43" s="54" t="n">
        <x:f>'Data'!F43</x:f>
        <x:v>3165.318</x:v>
      </x:c>
      <x:c r="Q43" s="54" t="n">
        <x:f>'Data'!H43</x:f>
        <x:v>3657.7008</x:v>
      </x:c>
      <x:c r="S43" t="str">
        <x:f>'Data'!B43</x:f>
        <x:v>2023-05</x:v>
      </x:c>
      <x:c r="T43" s="54" t="n">
        <x:f>'Data'!D43</x:f>
        <x:v>233889.084</x:v>
      </x:c>
      <x:c r="U43" s="54" t="n">
        <x:f>'Data'!G43</x:f>
        <x:v>174092.49000000002</x:v>
      </x:c>
      <x:c r="V43" s="54" t="n">
        <x:f>'Data'!I43</x:f>
        <x:v>201173.544</x:v>
      </x:c>
    </x:row>
    <x:row r="44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N44" t="str">
        <x:f>'Data'!B44</x:f>
        <x:v>2023-06</x:v>
      </x:c>
      <x:c r="O44" s="54" t="n">
        <x:f>'Data'!C44</x:f>
        <x:v>5017.68</x:v>
      </x:c>
      <x:c r="P44" s="54" t="n">
        <x:f>'Data'!F44</x:f>
        <x:v>3135.6</x:v>
      </x:c>
      <x:c r="Q44" s="54" t="n">
        <x:f>'Data'!H44</x:f>
        <x:v>3623.36</x:v>
      </x:c>
      <x:c r="S44" t="str">
        <x:f>'Data'!B44</x:f>
        <x:v>2023-06</x:v>
      </x:c>
      <x:c r="T44" s="54" t="n">
        <x:f>'Data'!D44</x:f>
        <x:v>234827.424</x:v>
      </x:c>
      <x:c r="U44" s="54" t="n">
        <x:f>'Data'!G44</x:f>
        <x:v>172458</x:v>
      </x:c>
      <x:c r="V44" s="54" t="n">
        <x:f>'Data'!I44</x:f>
        <x:v>199284.80000000002</x:v>
      </x:c>
    </x:row>
    <x:row r="45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N45" t="str">
        <x:f>'Data'!B45</x:f>
        <x:v>2023-07</x:v>
      </x:c>
      <x:c r="O45" s="54" t="n">
        <x:f>'Data'!C45</x:f>
        <x:v>5037.07</x:v>
      </x:c>
      <x:c r="P45" s="54" t="n">
        <x:f>'Data'!F45</x:f>
        <x:v>3113.883</x:v>
      </x:c>
      <x:c r="Q45" s="54" t="n">
        <x:f>'Data'!H45</x:f>
        <x:v>3598.2648</x:v>
      </x:c>
      <x:c r="S45" t="str">
        <x:f>'Data'!B45</x:f>
        <x:v>2023-07</x:v>
      </x:c>
      <x:c r="T45" s="54" t="n">
        <x:f>'Data'!D45</x:f>
        <x:v>235734.87600000002</x:v>
      </x:c>
      <x:c r="U45" s="54" t="n">
        <x:f>'Data'!G45</x:f>
        <x:v>171263.565</x:v>
      </x:c>
      <x:c r="V45" s="54" t="n">
        <x:f>'Data'!I45</x:f>
        <x:v>197904.56399999998</x:v>
      </x:c>
    </x:row>
    <x:row r="46">
      <x:c r="N46" t="str">
        <x:f>'Data'!B46</x:f>
        <x:v>2023-08</x:v>
      </x:c>
      <x:c r="O46" s="54" t="n">
        <x:f>'Data'!C46</x:f>
        <x:v>5057.12</x:v>
      </x:c>
      <x:c r="P46" s="54" t="n">
        <x:f>'Data'!F46</x:f>
        <x:v>3091.437</x:v>
      </x:c>
      <x:c r="Q46" s="54" t="n">
        <x:f>'Data'!H46</x:f>
        <x:v>3572.3272</x:v>
      </x:c>
      <x:c r="S46" t="str">
        <x:f>'Data'!B46</x:f>
        <x:v>2023-08</x:v>
      </x:c>
      <x:c r="T46" s="54" t="n">
        <x:f>'Data'!D46</x:f>
        <x:v>236673.21600000001</x:v>
      </x:c>
      <x:c r="U46" s="54" t="n">
        <x:f>'Data'!G46</x:f>
        <x:v>170029.035</x:v>
      </x:c>
      <x:c r="V46" s="54" t="n">
        <x:f>'Data'!I46</x:f>
        <x:v>196477.996</x:v>
      </x:c>
    </x:row>
    <x:row r="47">
      <x:c r="N47" t="str">
        <x:f>'Data'!B47</x:f>
        <x:v>2023-09</x:v>
      </x:c>
      <x:c r="O47" s="54" t="n">
        <x:f>'Data'!C47</x:f>
        <x:v>5077.16</x:v>
      </x:c>
      <x:c r="P47" s="54" t="n">
        <x:f>'Data'!F47</x:f>
        <x:v>3069</x:v>
      </x:c>
      <x:c r="Q47" s="54" t="n">
        <x:f>'Data'!H47</x:f>
        <x:v>3546.4</x:v>
      </x:c>
      <x:c r="S47" t="str">
        <x:f>'Data'!B47</x:f>
        <x:v>2023-09</x:v>
      </x:c>
      <x:c r="T47" s="54" t="n">
        <x:f>'Data'!D47</x:f>
        <x:v>237611.08800000002</x:v>
      </x:c>
      <x:c r="U47" s="54" t="n">
        <x:f>'Data'!G47</x:f>
        <x:v>168795</x:v>
      </x:c>
      <x:c r="V47" s="54" t="n">
        <x:f>'Data'!I47</x:f>
        <x:v>195052</x:v>
      </x:c>
    </x:row>
    <x:row r="48">
      <x:c r="N48" t="str">
        <x:f>'Data'!B48</x:f>
        <x:v>2023-10</x:v>
      </x:c>
      <x:c r="O48" s="54" t="n">
        <x:f>'Data'!C48</x:f>
        <x:v>5096.56</x:v>
      </x:c>
      <x:c r="P48" s="54" t="n">
        <x:f>'Data'!F48</x:f>
        <x:v>3099.2670000000003</x:v>
      </x:c>
      <x:c r="Q48" s="54" t="n">
        <x:f>'Data'!H48</x:f>
        <x:v>3581.3752000000004</x:v>
      </x:c>
      <x:c r="S48" t="str">
        <x:f>'Data'!B48</x:f>
        <x:v>2023-10</x:v>
      </x:c>
      <x:c r="T48" s="54" t="n">
        <x:f>'Data'!D48</x:f>
        <x:v>238519.00800000003</x:v>
      </x:c>
      <x:c r="U48" s="54" t="n">
        <x:f>'Data'!G48</x:f>
        <x:v>170459.68500000003</x:v>
      </x:c>
      <x:c r="V48" s="54" t="n">
        <x:f>'Data'!I48</x:f>
        <x:v>196975.63600000003</x:v>
      </x:c>
    </x:row>
    <x:row r="49">
      <x:c r="N49" t="str">
        <x:f>'Data'!B49</x:f>
        <x:v>2023-11</x:v>
      </x:c>
      <x:c r="O49" s="54" t="n">
        <x:f>'Data'!C49</x:f>
        <x:v>5116.6</x:v>
      </x:c>
      <x:c r="P49" s="54" t="n">
        <x:f>'Data'!F49</x:f>
        <x:v>3130.533</x:v>
      </x:c>
      <x:c r="Q49" s="54" t="n">
        <x:f>'Data'!H49</x:f>
        <x:v>3617.5048</x:v>
      </x:c>
      <x:c r="S49" t="str">
        <x:f>'Data'!B49</x:f>
        <x:v>2023-11</x:v>
      </x:c>
      <x:c r="T49" s="54" t="n">
        <x:f>'Data'!D49</x:f>
        <x:v>239456.88000000003</x:v>
      </x:c>
      <x:c r="U49" s="54" t="n">
        <x:f>'Data'!G49</x:f>
        <x:v>172179.315</x:v>
      </x:c>
      <x:c r="V49" s="54" t="n">
        <x:f>'Data'!I49</x:f>
        <x:v>198962.764</x:v>
      </x:c>
    </x:row>
    <x:row r="50">
      <x:c r="N50" t="str">
        <x:f>'Data'!B50</x:f>
        <x:v>2023-12</x:v>
      </x:c>
      <x:c r="O50" s="54" t="n">
        <x:f>'Data'!C50</x:f>
        <x:v>5136</x:v>
      </x:c>
      <x:c r="P50" s="54" t="n">
        <x:f>'Data'!F50</x:f>
        <x:v>3160.8</x:v>
      </x:c>
      <x:c r="Q50" s="54" t="n">
        <x:f>'Data'!H50</x:f>
        <x:v>3652.48</x:v>
      </x:c>
      <x:c r="S50" t="str">
        <x:f>'Data'!B50</x:f>
        <x:v>2023-12</x:v>
      </x:c>
      <x:c r="T50" s="54" t="n">
        <x:f>'Data'!D50</x:f>
        <x:v>240364.80000000002</x:v>
      </x:c>
      <x:c r="U50" s="54" t="n">
        <x:f>'Data'!G50</x:f>
        <x:v>173844</x:v>
      </x:c>
      <x:c r="V50" s="54" t="n">
        <x:f>'Data'!I50</x:f>
        <x:v>200886.4</x:v>
      </x:c>
    </x:row>
    <x:row r="51">
      <x:c r="N51" t="str">
        <x:f>'Data'!B51</x:f>
        <x:v>2024-01</x:v>
      </x:c>
      <x:c r="O51" s="54" t="n">
        <x:f>'Data'!C51</x:f>
        <x:v>5046.41</x:v>
      </x:c>
      <x:c r="P51" s="54" t="n">
        <x:f>'Data'!F51</x:f>
        <x:v>3163.257</x:v>
      </x:c>
      <x:c r="Q51" s="54" t="n">
        <x:f>'Data'!H51</x:f>
        <x:v>3655.3192000000004</x:v>
      </x:c>
      <x:c r="S51" t="str">
        <x:f>'Data'!B51</x:f>
        <x:v>2024-01</x:v>
      </x:c>
      <x:c r="T51" s="54" t="n">
        <x:f>'Data'!D51</x:f>
        <x:v>236171.988</x:v>
      </x:c>
      <x:c r="U51" s="54" t="n">
        <x:f>'Data'!G51</x:f>
        <x:v>173979.135</x:v>
      </x:c>
      <x:c r="V51" s="54" t="n">
        <x:f>'Data'!I51</x:f>
        <x:v>201042.556</x:v>
      </x:c>
    </x:row>
    <x:row r="52">
      <x:c r="N52" t="str">
        <x:f>'Data'!B52</x:f>
        <x:v>2024-02</x:v>
      </x:c>
      <x:c r="O52" s="54" t="n">
        <x:f>'Data'!C52</x:f>
        <x:v>4956.81</x:v>
      </x:c>
      <x:c r="P52" s="54" t="n">
        <x:f>'Data'!F52</x:f>
        <x:v>3165.705</x:v>
      </x:c>
      <x:c r="Q52" s="54" t="n">
        <x:f>'Data'!H52</x:f>
        <x:v>3658.148</x:v>
      </x:c>
      <x:c r="S52" t="str">
        <x:f>'Data'!B52</x:f>
        <x:v>2024-02</x:v>
      </x:c>
      <x:c r="T52" s="54" t="n">
        <x:f>'Data'!D52</x:f>
        <x:v>231978.70800000004</x:v>
      </x:c>
      <x:c r="U52" s="54" t="n">
        <x:f>'Data'!G52</x:f>
        <x:v>174113.775</x:v>
      </x:c>
      <x:c r="V52" s="54" t="n">
        <x:f>'Data'!I52</x:f>
        <x:v>201198.14</x:v>
      </x:c>
    </x:row>
    <x:row r="53">
      <x:c r="N53" t="str">
        <x:f>'Data'!B53</x:f>
        <x:v>2024-03</x:v>
      </x:c>
      <x:c r="O53" s="54" t="n">
        <x:f>'Data'!C53</x:f>
        <x:v>4873</x:v>
      </x:c>
      <x:c r="P53" s="54" t="n">
        <x:f>'Data'!F53</x:f>
        <x:v>3168</x:v>
      </x:c>
      <x:c r="Q53" s="54" t="n">
        <x:f>'Data'!H53</x:f>
        <x:v>3660.8</x:v>
      </x:c>
      <x:c r="S53" t="str">
        <x:f>'Data'!B53</x:f>
        <x:v>2024-03</x:v>
      </x:c>
      <x:c r="T53" s="54" t="n">
        <x:f>'Data'!D53</x:f>
        <x:v>228056.4</x:v>
      </x:c>
      <x:c r="U53" s="54" t="n">
        <x:f>'Data'!G53</x:f>
        <x:v>174240</x:v>
      </x:c>
      <x:c r="V53" s="54" t="n">
        <x:f>'Data'!I53</x:f>
        <x:v>201344</x:v>
      </x:c>
    </x:row>
    <x:row r="54">
      <x:c r="N54" t="str">
        <x:f>'Data'!B54</x:f>
        <x:v>2024-04</x:v>
      </x:c>
      <x:c r="O54" s="54" t="n">
        <x:f>'Data'!C54</x:f>
        <x:v>4920.17</x:v>
      </x:c>
      <x:c r="P54" s="54" t="n">
        <x:f>'Data'!F54</x:f>
        <x:v>3178.9170000000004</x:v>
      </x:c>
      <x:c r="Q54" s="54" t="n">
        <x:f>'Data'!H54</x:f>
        <x:v>3673.4152000000004</x:v>
      </x:c>
      <x:c r="S54" t="str">
        <x:f>'Data'!B54</x:f>
        <x:v>2024-04</x:v>
      </x:c>
      <x:c r="T54" s="54" t="n">
        <x:f>'Data'!D54</x:f>
        <x:v>230263.956</x:v>
      </x:c>
      <x:c r="U54" s="54" t="n">
        <x:f>'Data'!G54</x:f>
        <x:v>174840.43500000003</x:v>
      </x:c>
      <x:c r="V54" s="54" t="n">
        <x:f>'Data'!I54</x:f>
        <x:v>202037.836</x:v>
      </x:c>
    </x:row>
    <x:row r="55">
      <x:c r="N55" t="str">
        <x:f>'Data'!B55</x:f>
        <x:v>2024-05</x:v>
      </x:c>
      <x:c r="O55" s="54" t="n">
        <x:f>'Data'!C55</x:f>
        <x:v>4965.83</x:v>
      </x:c>
      <x:c r="P55" s="54" t="n">
        <x:f>'Data'!F55</x:f>
        <x:v>3189.483</x:v>
      </x:c>
      <x:c r="Q55" s="54" t="n">
        <x:f>'Data'!H55</x:f>
        <x:v>3685.6248</x:v>
      </x:c>
      <x:c r="S55" t="str">
        <x:f>'Data'!B55</x:f>
        <x:v>2024-05</x:v>
      </x:c>
      <x:c r="T55" s="54" t="n">
        <x:f>'Data'!D55</x:f>
        <x:v>232400.844</x:v>
      </x:c>
      <x:c r="U55" s="54" t="n">
        <x:f>'Data'!G55</x:f>
        <x:v>175421.565</x:v>
      </x:c>
      <x:c r="V55" s="54" t="n">
        <x:f>'Data'!I55</x:f>
        <x:v>202709.364</x:v>
      </x:c>
    </x:row>
    <x:row r="56">
      <x:c r="N56" t="str">
        <x:f>'Data'!B56</x:f>
        <x:v>2024-06</x:v>
      </x:c>
      <x:c r="O56" s="54" t="n">
        <x:f>'Data'!C56</x:f>
        <x:v>5013</x:v>
      </x:c>
      <x:c r="P56" s="54" t="n">
        <x:f>'Data'!F56</x:f>
        <x:v>3200.4</x:v>
      </x:c>
      <x:c r="Q56" s="54" t="n">
        <x:f>'Data'!H56</x:f>
        <x:v>3698.2400000000002</x:v>
      </x:c>
      <x:c r="S56" t="str">
        <x:f>'Data'!B56</x:f>
        <x:v>2024-06</x:v>
      </x:c>
      <x:c r="T56" s="54" t="n">
        <x:f>'Data'!D56</x:f>
        <x:v>234608.4</x:v>
      </x:c>
      <x:c r="U56" s="54" t="n">
        <x:f>'Data'!G56</x:f>
        <x:v>176022</x:v>
      </x:c>
      <x:c r="V56" s="54" t="n">
        <x:f>'Data'!I56</x:f>
        <x:v>203403.2</x:v>
      </x:c>
    </x:row>
    <x:row r="57">
      <x:c r="N57" t="str">
        <x:f>'Data'!B57</x:f>
        <x:v>2024-07</x:v>
      </x:c>
      <x:c r="O57" s="54" t="n">
        <x:f>'Data'!C57</x:f>
        <x:v>5018.54</x:v>
      </x:c>
      <x:c r="P57" s="54" t="n">
        <x:f>'Data'!F57</x:f>
        <x:v>3256.7490000000003</x:v>
      </x:c>
      <x:c r="Q57" s="54" t="n">
        <x:f>'Data'!H57</x:f>
        <x:v>3763.3544</x:v>
      </x:c>
      <x:c r="S57" t="str">
        <x:f>'Data'!B57</x:f>
        <x:v>2024-07</x:v>
      </x:c>
      <x:c r="T57" s="54" t="n">
        <x:f>'Data'!D57</x:f>
        <x:v>234867.672</x:v>
      </x:c>
      <x:c r="U57" s="54" t="n">
        <x:f>'Data'!G57</x:f>
        <x:v>179121.195</x:v>
      </x:c>
      <x:c r="V57" s="54" t="n">
        <x:f>'Data'!I57</x:f>
        <x:v>206984.492</x:v>
      </x:c>
    </x:row>
    <x:row r="58">
      <x:c r="N58" t="str">
        <x:f>'Data'!B58</x:f>
        <x:v>2024-08</x:v>
      </x:c>
      <x:c r="O58" s="54" t="n">
        <x:f>'Data'!C58</x:f>
        <x:v>5024.27</x:v>
      </x:c>
      <x:c r="P58" s="54" t="n">
        <x:f>'Data'!F58</x:f>
        <x:v>3314.9700000000003</x:v>
      </x:c>
      <x:c r="Q58" s="54" t="n">
        <x:f>'Data'!H58</x:f>
        <x:v>3830.6320000000005</x:v>
      </x:c>
      <x:c r="S58" t="str">
        <x:f>'Data'!B58</x:f>
        <x:v>2024-08</x:v>
      </x:c>
      <x:c r="T58" s="54" t="n">
        <x:f>'Data'!D58</x:f>
        <x:v>235135.83600000004</x:v>
      </x:c>
      <x:c r="U58" s="54" t="n">
        <x:f>'Data'!G58</x:f>
        <x:v>182323.35</x:v>
      </x:c>
      <x:c r="V58" s="54" t="n">
        <x:f>'Data'!I58</x:f>
        <x:v>210684.76000000004</x:v>
      </x:c>
    </x:row>
    <x:row r="59">
      <x:c r="N59" t="str">
        <x:f>'Data'!B59</x:f>
        <x:v>2024-09</x:v>
      </x:c>
      <x:c r="O59" s="54" t="n">
        <x:f>'Data'!C59</x:f>
        <x:v>5030</x:v>
      </x:c>
      <x:c r="P59" s="54" t="n">
        <x:f>'Data'!F59</x:f>
        <x:v>3373.2000000000003</x:v>
      </x:c>
      <x:c r="Q59" s="54" t="n">
        <x:f>'Data'!H59</x:f>
        <x:v>3897.92</x:v>
      </x:c>
      <x:c r="S59" t="str">
        <x:f>'Data'!B59</x:f>
        <x:v>2024-09</x:v>
      </x:c>
      <x:c r="T59" s="54" t="n">
        <x:f>'Data'!D59</x:f>
        <x:v>235404</x:v>
      </x:c>
      <x:c r="U59" s="54" t="n">
        <x:f>'Data'!G59</x:f>
        <x:v>185526.00000000003</x:v>
      </x:c>
      <x:c r="V59" s="54" t="n">
        <x:f>'Data'!I59</x:f>
        <x:v>214385.6</x:v>
      </x:c>
    </x:row>
    <x:row r="60">
      <x:c r="N60" t="str">
        <x:f>'Data'!B60</x:f>
        <x:v>2024-10</x:v>
      </x:c>
      <x:c r="O60" s="54" t="n">
        <x:f>'Data'!C60</x:f>
        <x:v>5024.4</x:v>
      </x:c>
      <x:c r="P60" s="54" t="n">
        <x:f>'Data'!F60</x:f>
        <x:v>3395.061</x:v>
      </x:c>
      <x:c r="Q60" s="54" t="n">
        <x:f>'Data'!H60</x:f>
        <x:v>3923.1816</x:v>
      </x:c>
      <x:c r="S60" t="str">
        <x:f>'Data'!B60</x:f>
        <x:v>2024-10</x:v>
      </x:c>
      <x:c r="T60" s="54" t="n">
        <x:f>'Data'!D60</x:f>
        <x:v>235141.92</x:v>
      </x:c>
      <x:c r="U60" s="54" t="n">
        <x:f>'Data'!G60</x:f>
        <x:v>186728.355</x:v>
      </x:c>
      <x:c r="V60" s="54" t="n">
        <x:f>'Data'!I60</x:f>
        <x:v>215774.98799999998</x:v>
      </x:c>
    </x:row>
    <x:row r="61">
      <x:c r="N61" t="str">
        <x:f>'Data'!B61</x:f>
        <x:v>2024-11</x:v>
      </x:c>
      <x:c r="O61" s="54" t="n">
        <x:f>'Data'!C61</x:f>
        <x:v>5018.6</x:v>
      </x:c>
      <x:c r="P61" s="54" t="n">
        <x:f>'Data'!F61</x:f>
        <x:v>3417.6420000000003</x:v>
      </x:c>
      <x:c r="Q61" s="54" t="n">
        <x:f>'Data'!H61</x:f>
        <x:v>3949.2752</x:v>
      </x:c>
      <x:c r="S61" t="str">
        <x:f>'Data'!B61</x:f>
        <x:v>2024-11</x:v>
      </x:c>
      <x:c r="T61" s="54" t="n">
        <x:f>'Data'!D61</x:f>
        <x:v>234870.48000000004</x:v>
      </x:c>
      <x:c r="U61" s="54" t="n">
        <x:f>'Data'!G61</x:f>
        <x:v>187970.31000000003</x:v>
      </x:c>
      <x:c r="V61" s="54" t="n">
        <x:f>'Data'!I61</x:f>
        <x:v>217210.136</x:v>
      </x:c>
    </x:row>
    <x:row r="62">
      <x:c r="N62" t="str">
        <x:f>'Data'!B62</x:f>
        <x:v>2024-12</x:v>
      </x:c>
      <x:c r="O62" s="54" t="n">
        <x:f>'Data'!C62</x:f>
        <x:v>5013</x:v>
      </x:c>
      <x:c r="P62" s="54" t="n">
        <x:f>'Data'!F62</x:f>
        <x:v>3439.503</x:v>
      </x:c>
      <x:c r="Q62" s="54" t="n">
        <x:f>'Data'!H62</x:f>
        <x:v>3974.5368000000003</x:v>
      </x:c>
      <x:c r="S62" t="str">
        <x:f>'Data'!B62</x:f>
        <x:v>2024-12</x:v>
      </x:c>
      <x:c r="T62" s="54" t="n">
        <x:f>'Data'!D62</x:f>
        <x:v>234608.4</x:v>
      </x:c>
      <x:c r="U62" s="54" t="n">
        <x:f>'Data'!G62</x:f>
        <x:v>189172.665</x:v>
      </x:c>
      <x:c r="V62" s="54" t="n">
        <x:f>'Data'!I62</x:f>
        <x:v>218599.524</x:v>
      </x:c>
    </x:row>
    <x:row r="63">
      <x:c r="N63" t="str">
        <x:f>'Data'!B63</x:f>
        <x:v>2025-01</x:v>
      </x:c>
      <x:c r="O63" s="54" t="n">
        <x:f>'Data'!C63</x:f>
        <x:v>5081.89</x:v>
      </x:c>
      <x:c r="P63" s="54" t="n">
        <x:f>'Data'!F63</x:f>
        <x:v>3460.293</x:v>
      </x:c>
      <x:c r="Q63" s="54" t="n">
        <x:f>'Data'!H63</x:f>
        <x:v>3998.5608</x:v>
      </x:c>
      <x:c r="S63" t="str">
        <x:f>'Data'!B63</x:f>
        <x:v>2025-01</x:v>
      </x:c>
      <x:c r="T63" s="54" t="n">
        <x:f>'Data'!D63</x:f>
        <x:v>237832.452</x:v>
      </x:c>
      <x:c r="U63" s="54" t="n">
        <x:f>'Data'!G63</x:f>
        <x:v>190316.11500000002</x:v>
      </x:c>
      <x:c r="V63" s="54" t="n">
        <x:f>'Data'!I63</x:f>
        <x:v>219920.844</x:v>
      </x:c>
    </x:row>
    <x:row r="64">
      <x:c r="N64" t="str">
        <x:f>'Data'!B64</x:f>
        <x:v>2025-02</x:v>
      </x:c>
      <x:c r="O64" s="54" t="n">
        <x:f>'Data'!C64</x:f>
        <x:v>5150.78</x:v>
      </x:c>
      <x:c r="P64" s="54" t="n">
        <x:f>'Data'!F64</x:f>
        <x:v>3481.083</x:v>
      </x:c>
      <x:c r="Q64" s="54" t="n">
        <x:f>'Data'!H64</x:f>
        <x:v>4022.5848</x:v>
      </x:c>
      <x:c r="S64" t="str">
        <x:f>'Data'!B64</x:f>
        <x:v>2025-02</x:v>
      </x:c>
      <x:c r="T64" s="54" t="n">
        <x:f>'Data'!D64</x:f>
        <x:v>241056.50400000002</x:v>
      </x:c>
      <x:c r="U64" s="54" t="n">
        <x:f>'Data'!G64</x:f>
        <x:v>191459.565</x:v>
      </x:c>
      <x:c r="V64" s="54" t="n">
        <x:f>'Data'!I64</x:f>
        <x:v>221242.16400000002</x:v>
      </x:c>
    </x:row>
    <x:row r="65">
      <x:c r="N65" t="str">
        <x:f>'Data'!B65</x:f>
        <x:v>2025-03</x:v>
      </x:c>
      <x:c r="O65" s="54" t="n">
        <x:f>'Data'!C65</x:f>
        <x:v>5213</x:v>
      </x:c>
      <x:c r="P65" s="54" t="n">
        <x:f>'Data'!F65</x:f>
        <x:v>3499.857</x:v>
      </x:c>
      <x:c r="Q65" s="54" t="n">
        <x:f>'Data'!H65</x:f>
        <x:v>4044.2792</x:v>
      </x:c>
      <x:c r="S65" t="str">
        <x:f>'Data'!B65</x:f>
        <x:v>2025-03</x:v>
      </x:c>
      <x:c r="T65" s="54" t="n">
        <x:f>'Data'!D65</x:f>
        <x:v>243968.4</x:v>
      </x:c>
      <x:c r="U65" s="54" t="n">
        <x:f>'Data'!G65</x:f>
        <x:v>192492.135</x:v>
      </x:c>
      <x:c r="V65" s="54" t="n">
        <x:f>'Data'!I65</x:f>
        <x:v>222435.356</x:v>
      </x:c>
    </x:row>
    <x:row r="66">
      <x:c r="N66" t="str">
        <x:f>'Data'!B66</x:f>
        <x:v>2025-04</x:v>
      </x:c>
      <x:c r="O66" s="54" t="n">
        <x:f>'Data'!C66</x:f>
        <x:v>5225.99</x:v>
      </x:c>
      <x:c r="P66" s="54" t="n">
        <x:f>'Data'!F66</x:f>
        <x:v>3547.2509999999997</x:v>
      </x:c>
      <x:c r="Q66" s="54" t="n">
        <x:f>'Data'!H66</x:f>
        <x:v>4099.0456</x:v>
      </x:c>
      <x:c r="S66" t="str">
        <x:f>'Data'!B66</x:f>
        <x:v>2025-04</x:v>
      </x:c>
      <x:c r="T66" s="54" t="n">
        <x:f>'Data'!D66</x:f>
        <x:v>244576.332</x:v>
      </x:c>
      <x:c r="U66" s="54" t="n">
        <x:f>'Data'!G66</x:f>
        <x:v>195098.805</x:v>
      </x:c>
      <x:c r="V66" s="54" t="n">
        <x:f>'Data'!I66</x:f>
        <x:v>225447.50800000003</x:v>
      </x:c>
    </x:row>
    <x:row r="67">
      <x:c r="N67" t="str">
        <x:f>'Data'!B67</x:f>
        <x:v>2025-05</x:v>
      </x:c>
      <x:c r="O67" s="54" t="n">
        <x:f>'Data'!C67</x:f>
        <x:v>5238.55</x:v>
      </x:c>
      <x:c r="P67" s="54" t="n">
        <x:f>'Data'!F67</x:f>
        <x:v>3593.106</x:v>
      </x:c>
      <x:c r="Q67" s="54" t="n">
        <x:f>'Data'!H67</x:f>
        <x:v>4152.033600000001</x:v>
      </x:c>
      <x:c r="S67" t="str">
        <x:f>'Data'!B67</x:f>
        <x:v>2025-05</x:v>
      </x:c>
      <x:c r="T67" s="54" t="n">
        <x:f>'Data'!D67</x:f>
        <x:v>245164.14000000004</x:v>
      </x:c>
      <x:c r="U67" s="54" t="n">
        <x:f>'Data'!G67</x:f>
        <x:v>197620.83000000002</x:v>
      </x:c>
      <x:c r="V67" s="54" t="n">
        <x:f>'Data'!I67</x:f>
        <x:v>228361.84800000003</x:v>
      </x:c>
    </x:row>
    <x:row r="68">
      <x:c r="N68" t="str">
        <x:f>'Data'!B68</x:f>
        <x:v>2025-06</x:v>
      </x:c>
      <x:c r="O68" s="54" t="n">
        <x:f>'Data'!C68</x:f>
        <x:v>5251.54</x:v>
      </x:c>
      <x:c r="P68" s="54" t="n">
        <x:f>'Data'!F68</x:f>
        <x:v>3640.5</x:v>
      </x:c>
      <x:c r="Q68" s="54" t="n">
        <x:f>'Data'!H68</x:f>
        <x:v>4206.8</x:v>
      </x:c>
      <x:c r="S68" t="str">
        <x:f>'Data'!B68</x:f>
        <x:v>2025-06</x:v>
      </x:c>
      <x:c r="T68" s="54" t="n">
        <x:f>'Data'!D68</x:f>
        <x:v>245772.07200000001</x:v>
      </x:c>
      <x:c r="U68" s="54" t="n">
        <x:f>'Data'!G68</x:f>
        <x:v>200227.5</x:v>
      </x:c>
      <x:c r="V68" s="54" t="n">
        <x:f>'Data'!I68</x:f>
        <x:v>231374</x:v>
      </x:c>
    </x:row>
    <x:row r="69">
      <x:c r="N69" t="str">
        <x:f>'Data'!B69</x:f>
        <x:v>2025-07</x:v>
      </x:c>
      <x:c r="O69" s="54" t="n">
        <x:f>'Data'!C69</x:f>
        <x:v>5290.15</x:v>
      </x:c>
      <x:c r="P69" s="54" t="n">
        <x:f>'Data'!F69</x:f>
        <x:v>3665.88</x:v>
      </x:c>
      <x:c r="Q69" s="54" t="n">
        <x:f>'Data'!H69</x:f>
        <x:v>4236.128</x:v>
      </x:c>
      <x:c r="S69" t="str">
        <x:f>'Data'!B69</x:f>
        <x:v>2025-07</x:v>
      </x:c>
      <x:c r="T69" s="54" t="n">
        <x:f>'Data'!D69</x:f>
        <x:v>247579.02000000002</x:v>
      </x:c>
      <x:c r="U69" s="54" t="n">
        <x:f>'Data'!G69</x:f>
        <x:v>201623.4</x:v>
      </x:c>
      <x:c r="V69" s="54" t="n">
        <x:f>'Data'!I69</x:f>
        <x:v>232987.03999999998</x:v>
      </x:c>
    </x:row>
    <x:row r="70">
      <x:c r="N70" t="str">
        <x:f>'Data'!B70</x:f>
        <x:v>2025-08</x:v>
      </x:c>
      <x:c r="O70" s="54" t="n">
        <x:f>'Data'!C70</x:f>
        <x:v>5330.04</x:v>
      </x:c>
      <x:c r="P70" s="54" t="n">
        <x:f>'Data'!F70</x:f>
        <x:v>3692.1150000000002</x:v>
      </x:c>
      <x:c r="Q70" s="54" t="n">
        <x:f>'Data'!H70</x:f>
        <x:v>4266.444</x:v>
      </x:c>
      <x:c r="S70" t="str">
        <x:f>'Data'!B70</x:f>
        <x:v>2025-08</x:v>
      </x:c>
      <x:c r="T70" s="54" t="n">
        <x:f>'Data'!D70</x:f>
        <x:v>249445.872</x:v>
      </x:c>
      <x:c r="U70" s="54" t="n">
        <x:f>'Data'!G70</x:f>
        <x:v>203066.325</x:v>
      </x:c>
      <x:c r="V70" s="54" t="n">
        <x:f>'Data'!I70</x:f>
        <x:v>234654.42</x:v>
      </x:c>
    </x:row>
    <x:row r="71">
      <x:c r="N71" t="str">
        <x:f>'Data'!B71</x:f>
        <x:v>2025-09</x:v>
      </x:c>
      <x:c r="O71" s="54" t="n">
        <x:f>'Data'!C71</x:f>
        <x:v>5369.94</x:v>
      </x:c>
      <x:c r="P71" s="54" t="n">
        <x:f>'Data'!F71</x:f>
        <x:v>3718.341</x:v>
      </x:c>
      <x:c r="Q71" s="54" t="n">
        <x:f>'Data'!H71</x:f>
        <x:v>4296.7496</x:v>
      </x:c>
      <x:c r="S71" t="str">
        <x:f>'Data'!B71</x:f>
        <x:v>2025-09</x:v>
      </x:c>
      <x:c r="T71" s="54" t="n">
        <x:f>'Data'!D71</x:f>
        <x:v>251313.19199999998</x:v>
      </x:c>
      <x:c r="U71" s="54" t="n">
        <x:f>'Data'!G71</x:f>
        <x:v>204508.755</x:v>
      </x:c>
      <x:c r="V71" s="54" t="n">
        <x:f>'Data'!I71</x:f>
        <x:v>236321.228</x:v>
      </x:c>
    </x:row>
    <x:row r="72">
      <x:c r="N72" t="str">
        <x:f>'Data'!B72</x:f>
        <x:v>2025-10</x:v>
      </x:c>
      <x:c r="O72" s="54" t="n">
        <x:f>'Data'!C72</x:f>
        <x:v>5347.4</x:v>
      </x:c>
      <x:c r="P72" s="54" t="n">
        <x:f>'Data'!F72</x:f>
        <x:v>3745.2780000000002</x:v>
      </x:c>
      <x:c r="Q72" s="54" t="n">
        <x:f>'Data'!H72</x:f>
        <x:v>4327.8768</x:v>
      </x:c>
      <x:c r="S72" t="str">
        <x:f>'Data'!B72</x:f>
        <x:v>2025-10</x:v>
      </x:c>
      <x:c r="T72" s="54" t="n">
        <x:f>'Data'!D72</x:f>
        <x:v>250258.32</x:v>
      </x:c>
      <x:c r="U72" s="54" t="n">
        <x:f>'Data'!G72</x:f>
        <x:v>205990.29</x:v>
      </x:c>
      <x:c r="V72" s="54" t="n">
        <x:f>'Data'!I72</x:f>
        <x:v>238033.224</x:v>
      </x:c>
    </x:row>
    <x:row r="73">
      <x:c r="N73" t="str">
        <x:f>'Data'!B73</x:f>
        <x:v>2025-11</x:v>
      </x:c>
      <x:c r="O73" s="54" t="n">
        <x:f>'Data'!C73</x:f>
        <x:v>5324.1</x:v>
      </x:c>
      <x:c r="P73" s="54" t="n">
        <x:f>'Data'!F73</x:f>
        <x:v>3773.106</x:v>
      </x:c>
      <x:c r="Q73" s="54" t="n">
        <x:f>'Data'!H73</x:f>
        <x:v>4360.033600000001</x:v>
      </x:c>
      <x:c r="S73" t="str">
        <x:f>'Data'!B73</x:f>
        <x:v>2025-11</x:v>
      </x:c>
      <x:c r="T73" s="54" t="n">
        <x:f>'Data'!D73</x:f>
        <x:v>249167.88000000003</x:v>
      </x:c>
      <x:c r="U73" s="54" t="n">
        <x:f>'Data'!G73</x:f>
        <x:v>207520.83000000002</x:v>
      </x:c>
      <x:c r="V73" s="54" t="n">
        <x:f>'Data'!I73</x:f>
        <x:v>239801.84800000003</x:v>
      </x:c>
    </x:row>
    <x:row r="74">
      <x:c r="N74" t="str">
        <x:f>'Data'!B74</x:f>
        <x:v>2025-12</x:v>
      </x:c>
      <x:c r="O74" s="54" t="n">
        <x:f>'Data'!C74</x:f>
        <x:v>5301.56</x:v>
      </x:c>
      <x:c r="P74" s="54" t="n">
        <x:f>'Data'!F74</x:f>
        <x:v>3800.0430000000006</x:v>
      </x:c>
      <x:c r="Q74" s="54" t="n">
        <x:f>'Data'!H74</x:f>
        <x:v>4391.160800000001</x:v>
      </x:c>
      <x:c r="S74" t="str">
        <x:f>'Data'!B74</x:f>
        <x:v>2025-12</x:v>
      </x:c>
      <x:c r="T74" s="54" t="n">
        <x:f>'Data'!D74</x:f>
        <x:v>248113.00800000003</x:v>
      </x:c>
      <x:c r="U74" s="54" t="n">
        <x:f>'Data'!G74</x:f>
        <x:v>209002.36500000002</x:v>
      </x:c>
      <x:c r="V74" s="54" t="n">
        <x:f>'Data'!I74</x:f>
        <x:v>241513.84400000004</x:v>
      </x:c>
    </x:row>
    <x:row r="75">
      <x:c r="N75" t="str">
        <x:f>'Data'!B75</x:f>
        <x:v>2026-01</x:v>
      </x:c>
      <x:c r="O75" s="54" t="n">
        <x:f>'Data'!C75</x:f>
        <x:v>5330.07</x:v>
      </x:c>
      <x:c r="P75" s="54" t="n">
        <x:f>'Data'!F75</x:f>
        <x:v>3839.9040000000005</x:v>
      </x:c>
      <x:c r="Q75" s="54" t="n">
        <x:f>'Data'!H75</x:f>
        <x:v>4437.222400000001</x:v>
      </x:c>
      <x:c r="S75" t="str">
        <x:f>'Data'!B75</x:f>
        <x:v>2026-01</x:v>
      </x:c>
      <x:c r="T75" s="54" t="n">
        <x:f>'Data'!D75</x:f>
        <x:v>249447.276</x:v>
      </x:c>
      <x:c r="U75" s="54" t="n">
        <x:f>'Data'!G75</x:f>
        <x:v>211194.72000000003</x:v>
      </x:c>
      <x:c r="V75" s="54" t="n">
        <x:f>'Data'!I75</x:f>
        <x:v>244047.23200000002</x:v>
      </x:c>
    </x:row>
    <x:row r="76">
      <x:c r="N76" t="str">
        <x:f>'Data'!B76</x:f>
        <x:v>2026-02</x:v>
      </x:c>
      <x:c r="O76" s="54" t="n">
        <x:f>'Data'!C76</x:f>
        <x:v>5358.57</x:v>
      </x:c>
      <x:c r="P76" s="54" t="n">
        <x:f>'Data'!F76</x:f>
        <x:v>3879.7650000000003</x:v>
      </x:c>
      <x:c r="Q76" s="54" t="n">
        <x:f>'Data'!H76</x:f>
        <x:v>4483.284000000001</x:v>
      </x:c>
      <x:c r="S76" t="str">
        <x:f>'Data'!B76</x:f>
        <x:v>2026-02</x:v>
      </x:c>
      <x:c r="T76" s="54" t="n">
        <x:f>'Data'!D76</x:f>
        <x:v>250781.076</x:v>
      </x:c>
      <x:c r="U76" s="54" t="n">
        <x:f>'Data'!G76</x:f>
        <x:v>213387.075</x:v>
      </x:c>
      <x:c r="V76" s="54" t="n">
        <x:f>'Data'!I76</x:f>
        <x:v>246580.62000000002</x:v>
      </x:c>
    </x:row>
    <x:row r="77">
      <x:c r="N77" t="str">
        <x:f>'Data'!B77</x:f>
        <x:v>2026-03</x:v>
      </x:c>
      <x:c r="O77" s="54" t="n">
        <x:f>'Data'!C77</x:f>
        <x:v>5384.32</x:v>
      </x:c>
      <x:c r="P77" s="54" t="n">
        <x:f>'Data'!F77</x:f>
        <x:v>3915.774</x:v>
      </x:c>
      <x:c r="Q77" s="54" t="n">
        <x:f>'Data'!H77</x:f>
        <x:v>4524.8944</x:v>
      </x:c>
      <x:c r="S77" t="str">
        <x:f>'Data'!B77</x:f>
        <x:v>2026-03</x:v>
      </x:c>
      <x:c r="T77" s="54" t="n">
        <x:f>'Data'!D77</x:f>
        <x:v>251986.176</x:v>
      </x:c>
      <x:c r="U77" s="54" t="n">
        <x:f>'Data'!G77</x:f>
        <x:v>215367.57</x:v>
      </x:c>
      <x:c r="V77" s="54" t="n">
        <x:f>'Data'!I77</x:f>
        <x:v>248869.192</x:v>
      </x:c>
    </x:row>
    <x:row r="78">
      <x:c r="N78" t="str">
        <x:f>'Data'!B78</x:f>
        <x:v>2026-04</x:v>
      </x:c>
      <x:c r="O78" s="54" t="n">
        <x:f>'Data'!C78</x:f>
        <x:v>5369.72</x:v>
      </x:c>
      <x:c r="P78" s="54" t="n">
        <x:f>'Data'!F78</x:f>
        <x:v>3924.6120000000005</x:v>
      </x:c>
      <x:c r="Q78" s="54" t="n">
        <x:f>'Data'!H78</x:f>
        <x:v>4535.1072</x:v>
      </x:c>
      <x:c r="S78" t="str">
        <x:f>'Data'!B78</x:f>
        <x:v>2026-04</x:v>
      </x:c>
      <x:c r="T78" s="54" t="n">
        <x:f>'Data'!D78</x:f>
        <x:v>251302.89600000004</x:v>
      </x:c>
      <x:c r="U78" s="54" t="n">
        <x:f>'Data'!G78</x:f>
        <x:v>215853.66000000003</x:v>
      </x:c>
      <x:c r="V78" s="54" t="n">
        <x:f>'Data'!I78</x:f>
        <x:v>249430.896</x:v>
      </x:c>
    </x:row>
    <x:row r="79">
      <x:c r="N79" t="str">
        <x:f>'Data'!B79</x:f>
        <x:v>2026-05</x:v>
      </x:c>
      <x:c r="O79" s="54" t="n">
        <x:f>'Data'!C79</x:f>
        <x:v>5355.6</x:v>
      </x:c>
      <x:c r="P79" s="54" t="n">
        <x:f>'Data'!F79</x:f>
        <x:v>3933.1620000000003</x:v>
      </x:c>
      <x:c r="Q79" s="54" t="n">
        <x:f>'Data'!H79</x:f>
        <x:v>4544.9872000000005</x:v>
      </x:c>
      <x:c r="S79" t="str">
        <x:f>'Data'!B79</x:f>
        <x:v>2026-05</x:v>
      </x:c>
      <x:c r="T79" s="54" t="n">
        <x:f>'Data'!D79</x:f>
        <x:v>250642.08000000005</x:v>
      </x:c>
      <x:c r="U79" s="54" t="n">
        <x:f>'Data'!G79</x:f>
        <x:v>216323.91</x:v>
      </x:c>
      <x:c r="V79" s="54" t="n">
        <x:f>'Data'!I79</x:f>
        <x:v>249974.29600000003</x:v>
      </x:c>
    </x:row>
    <x:row r="80">
      <x:c r="N80" t="str">
        <x:f>'Data'!B80</x:f>
        <x:v>2026-06</x:v>
      </x:c>
      <x:c r="O80" s="54" t="n">
        <x:f>'Data'!C80</x:f>
        <x:v>5341</x:v>
      </x:c>
      <x:c r="P80" s="54" t="n">
        <x:f>'Data'!F80</x:f>
        <x:v>3942</x:v>
      </x:c>
      <x:c r="Q80" s="54" t="n">
        <x:f>'Data'!H80</x:f>
        <x:v>4555.2</x:v>
      </x:c>
      <x:c r="S80" t="str">
        <x:f>'Data'!B80</x:f>
        <x:v>2026-06</x:v>
      </x:c>
      <x:c r="T80" s="54" t="n">
        <x:f>'Data'!D80</x:f>
        <x:v>249958.80000000002</x:v>
      </x:c>
      <x:c r="U80" s="54" t="n">
        <x:f>'Data'!G80</x:f>
        <x:v>216810</x:v>
      </x:c>
      <x:c r="V80" s="54" t="n">
        <x:f>'Data'!I80</x:f>
        <x:v>250536</x:v>
      </x:c>
    </x:row>
    <x:row r="81">
      <x:c r="N81" t="str">
        <x:f>'Data'!B81</x:f>
        <x:v>2026-07</x:v>
      </x:c>
      <x:c r="O81" s="54" t="n">
        <x:f>'Data'!C81</x:f>
        <x:v>5341</x:v>
      </x:c>
      <x:c r="P81" s="54" t="n">
        <x:f>'Data'!F81</x:f>
        <x:v>3946.4280000000003</x:v>
      </x:c>
      <x:c r="Q81" s="54" t="n">
        <x:f>'Data'!H81</x:f>
        <x:v>4560.3168000000005</x:v>
      </x:c>
      <x:c r="S81" t="str">
        <x:f>'Data'!B81</x:f>
        <x:v>2026-07</x:v>
      </x:c>
      <x:c r="T81" s="54" t="n">
        <x:f>'Data'!D81</x:f>
        <x:v>249958.80000000002</x:v>
      </x:c>
      <x:c r="U81" s="54" t="n">
        <x:f>'Data'!G81</x:f>
        <x:v>217053.54</x:v>
      </x:c>
      <x:c r="V81" s="54" t="n">
        <x:f>'Data'!I81</x:f>
        <x:v>250817.42400000003</x:v>
      </x:c>
    </x:row>
    <x:row r="82">
      <x:c r="N82" t="str">
        <x:f>'Data'!B82</x:f>
        <x:v>2026-08</x:v>
      </x:c>
      <x:c r="O82" s="54" t="n">
        <x:f>'Data'!C82</x:f>
        <x:v>5341</x:v>
      </x:c>
      <x:c r="P82" s="54" t="n">
        <x:f>'Data'!F82</x:f>
        <x:v>3951</x:v>
      </x:c>
      <x:c r="Q82" s="54" t="n">
        <x:f>'Data'!H82</x:f>
        <x:v>4565.6</x:v>
      </x:c>
      <x:c r="S82" t="str">
        <x:f>'Data'!B82</x:f>
        <x:v>2026-08</x:v>
      </x:c>
      <x:c r="T82" s="54" t="n">
        <x:f>'Data'!D82</x:f>
        <x:v>249958.80000000002</x:v>
      </x:c>
      <x:c r="U82" s="54" t="n">
        <x:f>'Data'!G82</x:f>
        <x:v>217305</x:v>
      </x:c>
      <x:c r="V82" s="54" t="n">
        <x:f>'Data'!I82</x:f>
        <x:v>251108.00000000003</x:v>
      </x:c>
    </x:row>
  </x:sheetData>
  <x:mergeCells>
    <x:mergeCell ref="A1:L1"/>
    <x:mergeCell ref="A41:L45"/>
  </x:mergeCells>
  <x:pageMargins left="0.7" right="0.7" top="0.75" bottom="0.75" header="0.3" footer="0.3"/>
  <x:drawing xmlns:r="http://schemas.openxmlformats.org/officeDocument/2006/relationships" r:id="R7e04938194664cf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3" hidden="0" customWidth="1"/>
    <x:col min="11" max="11" width="23" hidden="0" customWidth="1"/>
  </x:cols>
  <x:sheetData>
    <x:row r="1">
      <x:c r="A1" s="33" t="str">
        <x:v>Bratislava – mesačný model cien 2-izbových bytov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35" t="str">
        <x:v>Dátum</x:v>
      </x:c>
      <x:c r="B2" s="35" t="str">
        <x:v>Mesiac</x:v>
      </x:c>
      <x:c r="C2" s="35" t="str">
        <x:v>Novostavby €/m²</x:v>
      </x:c>
      <x:c r="D2" s="35" t="str">
        <x:v>2i novostavba celkom</x:v>
      </x:c>
      <x:c r="E2" s="35" t="str">
        <x:v>Sekundárny trh €/m² (podklad)</x:v>
      </x:c>
      <x:c r="F2" s="35" t="str">
        <x:v>Pôvodný stav €/m²</x:v>
      </x:c>
      <x:c r="G2" s="35" t="str">
        <x:v>2i pôvodný stav celkom</x:v>
      </x:c>
      <x:c r="H2" s="35" t="str">
        <x:v>Prerobený byt €/m²</x:v>
      </x:c>
      <x:c r="I2" s="35" t="str">
        <x:v>2i prerobený byt celkom</x:v>
      </x:c>
      <x:c r="J2" s="35" t="str">
        <x:v>Kvalita – novostavby</x:v>
      </x:c>
      <x:c r="K2" s="35" t="str">
        <x:v>Kvalita – staršie byty</x:v>
      </x:c>
    </x:row>
    <x:row r="3">
      <x:c r="A3" s="42" t="n">
        <x:v>43831</x:v>
      </x:c>
      <x:c r="B3" s="43" t="str">
        <x:v>2020-01</x:v>
      </x:c>
      <x:c r="C3" s="44" t="n">
        <x:v>3267.32</x:v>
      </x:c>
      <x:c r="D3" s="45" t="n">
        <x:f>C3*'Predpoklady'!$B$5*'Predpoklady'!$B$4</x:f>
        <x:v>152910.576</x:v>
      </x:c>
      <x:c r="E3" s="44" t="n">
        <x:v>2714.06</x:v>
      </x:c>
      <x:c r="F3" s="44" t="n">
        <x:f>E3*'Predpoklady'!$B$6</x:f>
        <x:v>2442.654</x:v>
      </x:c>
      <x:c r="G3" s="45" t="n">
        <x:f>F3*'Predpoklady'!$B$7</x:f>
        <x:v>134345.97</x:v>
      </x:c>
      <x:c r="H3" s="44" t="n">
        <x:f>E3*'Predpoklady'!$B$8</x:f>
        <x:v>2822.6224</x:v>
      </x:c>
      <x:c r="I3" s="45" t="n">
        <x:f>H3*'Predpoklady'!$B$9</x:f>
        <x:v>155244.23200000002</x:v>
      </x:c>
      <x:c r="J3" s="43" t="str">
        <x:v>Interpolácia / odhad</x:v>
      </x:c>
      <x:c r="K3" s="43" t="str">
        <x:v>Interpolácia / odhad</x:v>
      </x:c>
    </x:row>
    <x:row r="4">
      <x:c r="A4" s="46" t="n">
        <x:v>43862</x:v>
      </x:c>
      <x:c r="B4" s="47" t="str">
        <x:v>2020-02</x:v>
      </x:c>
      <x:c r="C4" s="48" t="n">
        <x:v>3297.64</x:v>
      </x:c>
      <x:c r="D4" s="49" t="n">
        <x:f>C4*'Predpoklady'!$B$5*'Predpoklady'!$B$4</x:f>
        <x:v>154329.552</x:v>
      </x:c>
      <x:c r="E4" s="48" t="n">
        <x:v>2728.12</x:v>
      </x:c>
      <x:c r="F4" s="48" t="n">
        <x:f>E4*'Predpoklady'!$B$6</x:f>
        <x:v>2455.308</x:v>
      </x:c>
      <x:c r="G4" s="49" t="n">
        <x:f>F4*'Predpoklady'!$B$7</x:f>
        <x:v>135041.94</x:v>
      </x:c>
      <x:c r="H4" s="48" t="n">
        <x:f>E4*'Predpoklady'!$B$8</x:f>
        <x:v>2837.2448</x:v>
      </x:c>
      <x:c r="I4" s="49" t="n">
        <x:f>H4*'Predpoklady'!$B$9</x:f>
        <x:v>156048.464</x:v>
      </x:c>
      <x:c r="J4" s="47" t="str">
        <x:v>Interpolácia / odhad</x:v>
      </x:c>
      <x:c r="K4" s="47" t="str">
        <x:v>Interpolácia / odhad</x:v>
      </x:c>
    </x:row>
    <x:row r="5">
      <x:c r="A5" s="46" t="n">
        <x:v>43891</x:v>
      </x:c>
      <x:c r="B5" s="47" t="str">
        <x:v>2020-03</x:v>
      </x:c>
      <x:c r="C5" s="48" t="n">
        <x:v>3326.01</x:v>
      </x:c>
      <x:c r="D5" s="49" t="n">
        <x:f>C5*'Predpoklady'!$B$5*'Predpoklady'!$B$4</x:f>
        <x:v>155657.268</x:v>
      </x:c>
      <x:c r="E5" s="48" t="n">
        <x:v>2741.27</x:v>
      </x:c>
      <x:c r="F5" s="48" t="n">
        <x:f>E5*'Predpoklady'!$B$6</x:f>
        <x:v>2467.143</x:v>
      </x:c>
      <x:c r="G5" s="49" t="n">
        <x:f>F5*'Predpoklady'!$B$7</x:f>
        <x:v>135692.865</x:v>
      </x:c>
      <x:c r="H5" s="48" t="n">
        <x:f>E5*'Predpoklady'!$B$8</x:f>
        <x:v>2850.9208</x:v>
      </x:c>
      <x:c r="I5" s="49" t="n">
        <x:f>H5*'Predpoklady'!$B$9</x:f>
        <x:v>156800.644</x:v>
      </x:c>
      <x:c r="J5" s="47" t="str">
        <x:v>Interpolácia / odhad</x:v>
      </x:c>
      <x:c r="K5" s="47" t="str">
        <x:v>Interpolácia / odhad</x:v>
      </x:c>
    </x:row>
    <x:row r="6">
      <x:c r="A6" s="46" t="n">
        <x:v>43922</x:v>
      </x:c>
      <x:c r="B6" s="47" t="str">
        <x:v>2020-04</x:v>
      </x:c>
      <x:c r="C6" s="48" t="n">
        <x:v>3356.33</x:v>
      </x:c>
      <x:c r="D6" s="49" t="n">
        <x:f>C6*'Predpoklady'!$B$5*'Predpoklady'!$B$4</x:f>
        <x:v>157076.244</x:v>
      </x:c>
      <x:c r="E6" s="48" t="n">
        <x:v>2755.33</x:v>
      </x:c>
      <x:c r="F6" s="48" t="n">
        <x:f>E6*'Predpoklady'!$B$6</x:f>
        <x:v>2479.797</x:v>
      </x:c>
      <x:c r="G6" s="49" t="n">
        <x:f>F6*'Predpoklady'!$B$7</x:f>
        <x:v>136388.835</x:v>
      </x:c>
      <x:c r="H6" s="48" t="n">
        <x:f>E6*'Predpoklady'!$B$8</x:f>
        <x:v>2865.5432</x:v>
      </x:c>
      <x:c r="I6" s="49" t="n">
        <x:f>H6*'Predpoklady'!$B$9</x:f>
        <x:v>157604.876</x:v>
      </x:c>
      <x:c r="J6" s="47" t="str">
        <x:v>Interpolácia / odhad</x:v>
      </x:c>
      <x:c r="K6" s="47" t="str">
        <x:v>Interpolácia / odhad</x:v>
      </x:c>
    </x:row>
    <x:row r="7">
      <x:c r="A7" s="46" t="n">
        <x:v>43952</x:v>
      </x:c>
      <x:c r="B7" s="47" t="str">
        <x:v>2020-05</x:v>
      </x:c>
      <x:c r="C7" s="48" t="n">
        <x:v>3385.68</x:v>
      </x:c>
      <x:c r="D7" s="49" t="n">
        <x:f>C7*'Predpoklady'!$B$5*'Predpoklady'!$B$4</x:f>
        <x:v>158449.824</x:v>
      </x:c>
      <x:c r="E7" s="48" t="n">
        <x:v>2768.94</x:v>
      </x:c>
      <x:c r="F7" s="48" t="n">
        <x:f>E7*'Predpoklady'!$B$6</x:f>
        <x:v>2492.0460000000003</x:v>
      </x:c>
      <x:c r="G7" s="49" t="n">
        <x:f>F7*'Predpoklady'!$B$7</x:f>
        <x:v>137062.53000000003</x:v>
      </x:c>
      <x:c r="H7" s="48" t="n">
        <x:f>E7*'Predpoklady'!$B$8</x:f>
        <x:v>2879.6976</x:v>
      </x:c>
      <x:c r="I7" s="49" t="n">
        <x:f>H7*'Predpoklady'!$B$9</x:f>
        <x:v>158383.368</x:v>
      </x:c>
      <x:c r="J7" s="47" t="str">
        <x:v>Interpolácia / odhad</x:v>
      </x:c>
      <x:c r="K7" s="47" t="str">
        <x:v>Interpolácia / odhad</x:v>
      </x:c>
    </x:row>
    <x:row r="8">
      <x:c r="A8" s="46" t="n">
        <x:v>43983</x:v>
      </x:c>
      <x:c r="B8" s="47" t="str">
        <x:v>2020-06</x:v>
      </x:c>
      <x:c r="C8" s="48" t="n">
        <x:v>3416</x:v>
      </x:c>
      <x:c r="D8" s="49" t="n">
        <x:f>C8*'Predpoklady'!$B$5*'Predpoklady'!$B$4</x:f>
        <x:v>159868.80000000002</x:v>
      </x:c>
      <x:c r="E8" s="48" t="n">
        <x:v>2783</x:v>
      </x:c>
      <x:c r="F8" s="48" t="n">
        <x:f>E8*'Predpoklady'!$B$6</x:f>
        <x:v>2504.7000000000003</x:v>
      </x:c>
      <x:c r="G8" s="49" t="n">
        <x:f>F8*'Predpoklady'!$B$7</x:f>
        <x:v>137758.50000000003</x:v>
      </x:c>
      <x:c r="H8" s="48" t="n">
        <x:f>E8*'Predpoklady'!$B$8</x:f>
        <x:v>2894.32</x:v>
      </x:c>
      <x:c r="I8" s="49" t="n">
        <x:f>H8*'Predpoklady'!$B$9</x:f>
        <x:v>159187.6</x:v>
      </x:c>
      <x:c r="J8" s="47" t="str">
        <x:v>Interpolácia / odhad</x:v>
      </x:c>
      <x:c r="K8" s="47" t="str">
        <x:v>Zdrojový bod</x:v>
      </x:c>
    </x:row>
    <x:row r="9">
      <x:c r="A9" s="46" t="n">
        <x:v>44013</x:v>
      </x:c>
      <x:c r="B9" s="47" t="str">
        <x:v>2020-07</x:v>
      </x:c>
      <x:c r="C9" s="48" t="n">
        <x:v>3445.34</x:v>
      </x:c>
      <x:c r="D9" s="49" t="n">
        <x:f>C9*'Predpoklady'!$B$5*'Predpoklady'!$B$4</x:f>
        <x:v>161241.912</x:v>
      </x:c>
      <x:c r="E9" s="48" t="n">
        <x:v>2795.62</x:v>
      </x:c>
      <x:c r="F9" s="48" t="n">
        <x:f>E9*'Predpoklady'!$B$6</x:f>
        <x:v>2516.058</x:v>
      </x:c>
      <x:c r="G9" s="49" t="n">
        <x:f>F9*'Predpoklady'!$B$7</x:f>
        <x:v>138383.19</x:v>
      </x:c>
      <x:c r="H9" s="48" t="n">
        <x:f>E9*'Predpoklady'!$B$8</x:f>
        <x:v>2907.4447999999998</x:v>
      </x:c>
      <x:c r="I9" s="49" t="n">
        <x:f>H9*'Predpoklady'!$B$9</x:f>
        <x:v>159909.46399999998</x:v>
      </x:c>
      <x:c r="J9" s="47" t="str">
        <x:v>Interpolácia / odhad</x:v>
      </x:c>
      <x:c r="K9" s="47" t="str">
        <x:v>Interpolácia / odhad</x:v>
      </x:c>
    </x:row>
    <x:row r="10">
      <x:c r="A10" s="46" t="n">
        <x:v>44044</x:v>
      </x:c>
      <x:c r="B10" s="47" t="str">
        <x:v>2020-08</x:v>
      </x:c>
      <x:c r="C10" s="48" t="n">
        <x:v>3475.67</x:v>
      </x:c>
      <x:c r="D10" s="49" t="n">
        <x:f>C10*'Predpoklady'!$B$5*'Predpoklady'!$B$4</x:f>
        <x:v>162661.356</x:v>
      </x:c>
      <x:c r="E10" s="48" t="n">
        <x:v>2808.67</x:v>
      </x:c>
      <x:c r="F10" s="48" t="n">
        <x:f>E10*'Predpoklady'!$B$6</x:f>
        <x:v>2527.8030000000003</x:v>
      </x:c>
      <x:c r="G10" s="49" t="n">
        <x:f>F10*'Predpoklady'!$B$7</x:f>
        <x:v>139029.165</x:v>
      </x:c>
      <x:c r="H10" s="48" t="n">
        <x:f>E10*'Predpoklady'!$B$8</x:f>
        <x:v>2921.0168000000003</x:v>
      </x:c>
      <x:c r="I10" s="49" t="n">
        <x:f>H10*'Predpoklady'!$B$9</x:f>
        <x:v>160655.92400000003</x:v>
      </x:c>
      <x:c r="J10" s="47" t="str">
        <x:v>Interpolácia / odhad</x:v>
      </x:c>
      <x:c r="K10" s="47" t="str">
        <x:v>Interpolácia / odhad</x:v>
      </x:c>
    </x:row>
    <x:row r="11">
      <x:c r="A11" s="46" t="n">
        <x:v>44075</x:v>
      </x:c>
      <x:c r="B11" s="47" t="str">
        <x:v>2020-09</x:v>
      </x:c>
      <x:c r="C11" s="48" t="n">
        <x:v>3505.99</x:v>
      </x:c>
      <x:c r="D11" s="49" t="n">
        <x:f>C11*'Predpoklady'!$B$5*'Predpoklady'!$B$4</x:f>
        <x:v>164080.332</x:v>
      </x:c>
      <x:c r="E11" s="48" t="n">
        <x:v>2821.71</x:v>
      </x:c>
      <x:c r="F11" s="48" t="n">
        <x:f>E11*'Predpoklady'!$B$6</x:f>
        <x:v>2539.539</x:v>
      </x:c>
      <x:c r="G11" s="49" t="n">
        <x:f>F11*'Predpoklady'!$B$7</x:f>
        <x:v>139674.64500000002</x:v>
      </x:c>
      <x:c r="H11" s="48" t="n">
        <x:f>E11*'Predpoklady'!$B$8</x:f>
        <x:v>2934.5784000000003</x:v>
      </x:c>
      <x:c r="I11" s="49" t="n">
        <x:f>H11*'Predpoklady'!$B$9</x:f>
        <x:v>161401.812</x:v>
      </x:c>
      <x:c r="J11" s="47" t="str">
        <x:v>Interpolácia / odhad</x:v>
      </x:c>
      <x:c r="K11" s="47" t="str">
        <x:v>Interpolácia / odhad</x:v>
      </x:c>
    </x:row>
    <x:row r="12">
      <x:c r="A12" s="46" t="n">
        <x:v>44105</x:v>
      </x:c>
      <x:c r="B12" s="47" t="str">
        <x:v>2020-10</x:v>
      </x:c>
      <x:c r="C12" s="48" t="n">
        <x:v>3535.33</x:v>
      </x:c>
      <x:c r="D12" s="49" t="n">
        <x:f>C12*'Predpoklady'!$B$5*'Predpoklady'!$B$4</x:f>
        <x:v>165453.444</x:v>
      </x:c>
      <x:c r="E12" s="48" t="n">
        <x:v>2834.33</x:v>
      </x:c>
      <x:c r="F12" s="48" t="n">
        <x:f>E12*'Predpoklady'!$B$6</x:f>
        <x:v>2550.897</x:v>
      </x:c>
      <x:c r="G12" s="49" t="n">
        <x:f>F12*'Predpoklady'!$B$7</x:f>
        <x:v>140299.335</x:v>
      </x:c>
      <x:c r="H12" s="48" t="n">
        <x:f>E12*'Predpoklady'!$B$8</x:f>
        <x:v>2947.7032</x:v>
      </x:c>
      <x:c r="I12" s="49" t="n">
        <x:f>H12*'Predpoklady'!$B$9</x:f>
        <x:v>162123.676</x:v>
      </x:c>
      <x:c r="J12" s="47" t="str">
        <x:v>Interpolácia / odhad</x:v>
      </x:c>
      <x:c r="K12" s="47" t="str">
        <x:v>Interpolácia / odhad</x:v>
      </x:c>
    </x:row>
    <x:row r="13">
      <x:c r="A13" s="46" t="n">
        <x:v>44136</x:v>
      </x:c>
      <x:c r="B13" s="47" t="str">
        <x:v>2020-11</x:v>
      </x:c>
      <x:c r="C13" s="48" t="n">
        <x:v>3565.66</x:v>
      </x:c>
      <x:c r="D13" s="49" t="n">
        <x:f>C13*'Predpoklady'!$B$5*'Predpoklady'!$B$4</x:f>
        <x:v>166872.888</x:v>
      </x:c>
      <x:c r="E13" s="48" t="n">
        <x:v>2847.38</x:v>
      </x:c>
      <x:c r="F13" s="48" t="n">
        <x:f>E13*'Predpoklady'!$B$6</x:f>
        <x:v>2562.6420000000003</x:v>
      </x:c>
      <x:c r="G13" s="49" t="n">
        <x:f>F13*'Predpoklady'!$B$7</x:f>
        <x:v>140945.31000000003</x:v>
      </x:c>
      <x:c r="H13" s="48" t="n">
        <x:f>E13*'Predpoklady'!$B$8</x:f>
        <x:v>2961.2752</x:v>
      </x:c>
      <x:c r="I13" s="49" t="n">
        <x:f>H13*'Predpoklady'!$B$9</x:f>
        <x:v>162870.136</x:v>
      </x:c>
      <x:c r="J13" s="47" t="str">
        <x:v>Interpolácia / odhad</x:v>
      </x:c>
      <x:c r="K13" s="47" t="str">
        <x:v>Interpolácia / odhad</x:v>
      </x:c>
    </x:row>
    <x:row r="14">
      <x:c r="A14" s="46" t="n">
        <x:v>44166</x:v>
      </x:c>
      <x:c r="B14" s="47" t="str">
        <x:v>2020-12</x:v>
      </x:c>
      <x:c r="C14" s="48" t="n">
        <x:v>3595</x:v>
      </x:c>
      <x:c r="D14" s="49" t="n">
        <x:f>C14*'Predpoklady'!$B$5*'Predpoklady'!$B$4</x:f>
        <x:v>168246</x:v>
      </x:c>
      <x:c r="E14" s="48" t="n">
        <x:v>2860</x:v>
      </x:c>
      <x:c r="F14" s="48" t="n">
        <x:f>E14*'Predpoklady'!$B$6</x:f>
        <x:v>2574</x:v>
      </x:c>
      <x:c r="G14" s="49" t="n">
        <x:f>F14*'Predpoklady'!$B$7</x:f>
        <x:v>141570</x:v>
      </x:c>
      <x:c r="H14" s="48" t="n">
        <x:f>E14*'Predpoklady'!$B$8</x:f>
        <x:v>2974.4</x:v>
      </x:c>
      <x:c r="I14" s="49" t="n">
        <x:f>H14*'Predpoklady'!$B$9</x:f>
        <x:v>163592</x:v>
      </x:c>
      <x:c r="J14" s="47" t="str">
        <x:v>Zdrojový bod</x:v>
      </x:c>
      <x:c r="K14" s="47" t="str">
        <x:v>Interpolácia / odhad</x:v>
      </x:c>
    </x:row>
    <x:row r="15">
      <x:c r="A15" s="46" t="n">
        <x:v>44197</x:v>
      </x:c>
      <x:c r="B15" s="47" t="str">
        <x:v>2021-01</x:v>
      </x:c>
      <x:c r="C15" s="48" t="n">
        <x:v>3651.14</x:v>
      </x:c>
      <x:c r="D15" s="49" t="n">
        <x:f>C15*'Predpoklady'!$B$5*'Predpoklady'!$B$4</x:f>
        <x:v>170873.35199999998</x:v>
      </x:c>
      <x:c r="E15" s="48" t="n">
        <x:v>2896.27</x:v>
      </x:c>
      <x:c r="F15" s="48" t="n">
        <x:f>E15*'Predpoklady'!$B$6</x:f>
        <x:v>2606.643</x:v>
      </x:c>
      <x:c r="G15" s="49" t="n">
        <x:f>F15*'Predpoklady'!$B$7</x:f>
        <x:v>143365.365</x:v>
      </x:c>
      <x:c r="H15" s="48" t="n">
        <x:f>E15*'Predpoklady'!$B$8</x:f>
        <x:v>3012.1208</x:v>
      </x:c>
      <x:c r="I15" s="49" t="n">
        <x:f>H15*'Predpoklady'!$B$9</x:f>
        <x:v>165666.644</x:v>
      </x:c>
      <x:c r="J15" s="47" t="str">
        <x:v>Interpolácia / odhad</x:v>
      </x:c>
      <x:c r="K15" s="47" t="str">
        <x:v>Interpolácia / odhad</x:v>
      </x:c>
    </x:row>
    <x:row r="16">
      <x:c r="A16" s="46" t="n">
        <x:v>44228</x:v>
      </x:c>
      <x:c r="B16" s="47" t="str">
        <x:v>2021-02</x:v>
      </x:c>
      <x:c r="C16" s="48" t="n">
        <x:v>3707.28</x:v>
      </x:c>
      <x:c r="D16" s="49" t="n">
        <x:f>C16*'Predpoklady'!$B$5*'Predpoklady'!$B$4</x:f>
        <x:v>173500.704</x:v>
      </x:c>
      <x:c r="E16" s="48" t="n">
        <x:v>2932.53</x:v>
      </x:c>
      <x:c r="F16" s="48" t="n">
        <x:f>E16*'Predpoklady'!$B$6</x:f>
        <x:v>2639.277</x:v>
      </x:c>
      <x:c r="G16" s="49" t="n">
        <x:f>F16*'Predpoklady'!$B$7</x:f>
        <x:v>145160.23500000002</x:v>
      </x:c>
      <x:c r="H16" s="48" t="n">
        <x:f>E16*'Predpoklady'!$B$8</x:f>
        <x:v>3049.8312000000005</x:v>
      </x:c>
      <x:c r="I16" s="49" t="n">
        <x:f>H16*'Predpoklady'!$B$9</x:f>
        <x:v>167740.71600000001</x:v>
      </x:c>
      <x:c r="J16" s="47" t="str">
        <x:v>Interpolácia / odhad</x:v>
      </x:c>
      <x:c r="K16" s="47" t="str">
        <x:v>Interpolácia / odhad</x:v>
      </x:c>
    </x:row>
    <x:row r="17">
      <x:c r="A17" s="46" t="n">
        <x:v>44256</x:v>
      </x:c>
      <x:c r="B17" s="47" t="str">
        <x:v>2021-03</x:v>
      </x:c>
      <x:c r="C17" s="48" t="n">
        <x:v>3757.99</x:v>
      </x:c>
      <x:c r="D17" s="49" t="n">
        <x:f>C17*'Predpoklady'!$B$5*'Predpoklady'!$B$4</x:f>
        <x:v>175873.932</x:v>
      </x:c>
      <x:c r="E17" s="48" t="n">
        <x:v>2965.29</x:v>
      </x:c>
      <x:c r="F17" s="48" t="n">
        <x:f>E17*'Predpoklady'!$B$6</x:f>
        <x:v>2668.761</x:v>
      </x:c>
      <x:c r="G17" s="49" t="n">
        <x:f>F17*'Predpoklady'!$B$7</x:f>
        <x:v>146781.855</x:v>
      </x:c>
      <x:c r="H17" s="48" t="n">
        <x:f>E17*'Predpoklady'!$B$8</x:f>
        <x:v>3083.9016</x:v>
      </x:c>
      <x:c r="I17" s="49" t="n">
        <x:f>H17*'Predpoklady'!$B$9</x:f>
        <x:v>169614.58800000002</x:v>
      </x:c>
      <x:c r="J17" s="47" t="str">
        <x:v>Interpolácia / odhad</x:v>
      </x:c>
      <x:c r="K17" s="47" t="str">
        <x:v>Interpolácia / odhad</x:v>
      </x:c>
    </x:row>
    <x:row r="18">
      <x:c r="A18" s="46" t="n">
        <x:v>44287</x:v>
      </x:c>
      <x:c r="B18" s="47" t="str">
        <x:v>2021-04</x:v>
      </x:c>
      <x:c r="C18" s="48" t="n">
        <x:v>3814.13</x:v>
      </x:c>
      <x:c r="D18" s="49" t="n">
        <x:f>C18*'Predpoklady'!$B$5*'Predpoklady'!$B$4</x:f>
        <x:v>178501.284</x:v>
      </x:c>
      <x:c r="E18" s="48" t="n">
        <x:v>3001.55</x:v>
      </x:c>
      <x:c r="F18" s="48" t="n">
        <x:f>E18*'Predpoklady'!$B$6</x:f>
        <x:v>2701.3950000000004</x:v>
      </x:c>
      <x:c r="G18" s="49" t="n">
        <x:f>F18*'Predpoklady'!$B$7</x:f>
        <x:v>148576.72500000003</x:v>
      </x:c>
      <x:c r="H18" s="48" t="n">
        <x:f>E18*'Predpoklady'!$B$8</x:f>
        <x:v>3121.612</x:v>
      </x:c>
      <x:c r="I18" s="49" t="n">
        <x:f>H18*'Predpoklady'!$B$9</x:f>
        <x:v>171688.66</x:v>
      </x:c>
      <x:c r="J18" s="47" t="str">
        <x:v>Interpolácia / odhad</x:v>
      </x:c>
      <x:c r="K18" s="47" t="str">
        <x:v>Interpolácia / odhad</x:v>
      </x:c>
    </x:row>
    <x:row r="19">
      <x:c r="A19" s="46" t="n">
        <x:v>44317</x:v>
      </x:c>
      <x:c r="B19" s="47" t="str">
        <x:v>2021-05</x:v>
      </x:c>
      <x:c r="C19" s="48" t="n">
        <x:v>3868.45</x:v>
      </x:c>
      <x:c r="D19" s="49" t="n">
        <x:f>C19*'Predpoklady'!$B$5*'Predpoklady'!$B$4</x:f>
        <x:v>181043.46</x:v>
      </x:c>
      <x:c r="E19" s="48" t="n">
        <x:v>3036.65</x:v>
      </x:c>
      <x:c r="F19" s="48" t="n">
        <x:f>E19*'Predpoklady'!$B$6</x:f>
        <x:v>2732.985</x:v>
      </x:c>
      <x:c r="G19" s="49" t="n">
        <x:f>F19*'Predpoklady'!$B$7</x:f>
        <x:v>150314.17500000002</x:v>
      </x:c>
      <x:c r="H19" s="48" t="n">
        <x:f>E19*'Predpoklady'!$B$8</x:f>
        <x:v>3158.116</x:v>
      </x:c>
      <x:c r="I19" s="49" t="n">
        <x:f>H19*'Predpoklady'!$B$9</x:f>
        <x:v>173696.38</x:v>
      </x:c>
      <x:c r="J19" s="47" t="str">
        <x:v>Interpolácia / odhad</x:v>
      </x:c>
      <x:c r="K19" s="47" t="str">
        <x:v>Interpolácia / odhad</x:v>
      </x:c>
    </x:row>
    <x:row r="20">
      <x:c r="A20" s="46" t="n">
        <x:v>44348</x:v>
      </x:c>
      <x:c r="B20" s="47" t="str">
        <x:v>2021-06</x:v>
      </x:c>
      <x:c r="C20" s="48" t="n">
        <x:v>3924.59</x:v>
      </x:c>
      <x:c r="D20" s="49" t="n">
        <x:f>C20*'Predpoklady'!$B$5*'Predpoklady'!$B$4</x:f>
        <x:v>183670.812</x:v>
      </x:c>
      <x:c r="E20" s="48" t="n">
        <x:v>3072.92</x:v>
      </x:c>
      <x:c r="F20" s="48" t="n">
        <x:f>E20*'Predpoklady'!$B$6</x:f>
        <x:v>2765.628</x:v>
      </x:c>
      <x:c r="G20" s="49" t="n">
        <x:f>F20*'Predpoklady'!$B$7</x:f>
        <x:v>152109.54</x:v>
      </x:c>
      <x:c r="H20" s="48" t="n">
        <x:f>E20*'Predpoklady'!$B$8</x:f>
        <x:v>3195.8368</x:v>
      </x:c>
      <x:c r="I20" s="49" t="n">
        <x:f>H20*'Predpoklady'!$B$9</x:f>
        <x:v>175771.024</x:v>
      </x:c>
      <x:c r="J20" s="47" t="str">
        <x:v>Interpolácia / odhad</x:v>
      </x:c>
      <x:c r="K20" s="47" t="str">
        <x:v>Interpolácia / odhad</x:v>
      </x:c>
    </x:row>
    <x:row r="21">
      <x:c r="A21" s="46" t="n">
        <x:v>44378</x:v>
      </x:c>
      <x:c r="B21" s="47" t="str">
        <x:v>2021-07</x:v>
      </x:c>
      <x:c r="C21" s="48" t="n">
        <x:v>3978.92</x:v>
      </x:c>
      <x:c r="D21" s="49" t="n">
        <x:f>C21*'Predpoklady'!$B$5*'Predpoklady'!$B$4</x:f>
        <x:v>186213.456</x:v>
      </x:c>
      <x:c r="E21" s="48" t="n">
        <x:v>3108.01</x:v>
      </x:c>
      <x:c r="F21" s="48" t="n">
        <x:f>E21*'Predpoklady'!$B$6</x:f>
        <x:v>2797.2090000000003</x:v>
      </x:c>
      <x:c r="G21" s="49" t="n">
        <x:f>F21*'Predpoklady'!$B$7</x:f>
        <x:v>153846.49500000002</x:v>
      </x:c>
      <x:c r="H21" s="48" t="n">
        <x:f>E21*'Predpoklady'!$B$8</x:f>
        <x:v>3232.3304000000003</x:v>
      </x:c>
      <x:c r="I21" s="49" t="n">
        <x:f>H21*'Predpoklady'!$B$9</x:f>
        <x:v>177778.17200000002</x:v>
      </x:c>
      <x:c r="J21" s="47" t="str">
        <x:v>Interpolácia / odhad</x:v>
      </x:c>
      <x:c r="K21" s="47" t="str">
        <x:v>Interpolácia / odhad</x:v>
      </x:c>
    </x:row>
    <x:row r="22">
      <x:c r="A22" s="46" t="n">
        <x:v>44409</x:v>
      </x:c>
      <x:c r="B22" s="47" t="str">
        <x:v>2021-08</x:v>
      </x:c>
      <x:c r="C22" s="48" t="n">
        <x:v>4035.06</x:v>
      </x:c>
      <x:c r="D22" s="49" t="n">
        <x:f>C22*'Predpoklady'!$B$5*'Predpoklady'!$B$4</x:f>
        <x:v>188840.80800000002</x:v>
      </x:c>
      <x:c r="E22" s="48" t="n">
        <x:v>3144.28</x:v>
      </x:c>
      <x:c r="F22" s="48" t="n">
        <x:f>E22*'Predpoklady'!$B$6</x:f>
        <x:v>2829.8520000000003</x:v>
      </x:c>
      <x:c r="G22" s="49" t="n">
        <x:f>F22*'Predpoklady'!$B$7</x:f>
        <x:v>155641.86000000002</x:v>
      </x:c>
      <x:c r="H22" s="48" t="n">
        <x:f>E22*'Predpoklady'!$B$8</x:f>
        <x:v>3270.0512000000003</x:v>
      </x:c>
      <x:c r="I22" s="49" t="n">
        <x:f>H22*'Predpoklady'!$B$9</x:f>
        <x:v>179852.81600000002</x:v>
      </x:c>
      <x:c r="J22" s="47" t="str">
        <x:v>Interpolácia / odhad</x:v>
      </x:c>
      <x:c r="K22" s="47" t="str">
        <x:v>Interpolácia / odhad</x:v>
      </x:c>
    </x:row>
    <x:row r="23">
      <x:c r="A23" s="46" t="n">
        <x:v>44440</x:v>
      </x:c>
      <x:c r="B23" s="47" t="str">
        <x:v>2021-09</x:v>
      </x:c>
      <x:c r="C23" s="48" t="n">
        <x:v>4091.2</x:v>
      </x:c>
      <x:c r="D23" s="49" t="n">
        <x:f>C23*'Predpoklady'!$B$5*'Predpoklady'!$B$4</x:f>
        <x:v>191468.16</x:v>
      </x:c>
      <x:c r="E23" s="48" t="n">
        <x:v>3180.54</x:v>
      </x:c>
      <x:c r="F23" s="48" t="n">
        <x:f>E23*'Predpoklady'!$B$6</x:f>
        <x:v>2862.486</x:v>
      </x:c>
      <x:c r="G23" s="49" t="n">
        <x:f>F23*'Predpoklady'!$B$7</x:f>
        <x:v>157436.72999999998</x:v>
      </x:c>
      <x:c r="H23" s="48" t="n">
        <x:f>E23*'Predpoklady'!$B$8</x:f>
        <x:v>3307.7616000000003</x:v>
      </x:c>
      <x:c r="I23" s="49" t="n">
        <x:f>H23*'Predpoklady'!$B$9</x:f>
        <x:v>181926.888</x:v>
      </x:c>
      <x:c r="J23" s="47" t="str">
        <x:v>Interpolácia / odhad</x:v>
      </x:c>
      <x:c r="K23" s="47" t="str">
        <x:v>Interpolácia / odhad</x:v>
      </x:c>
    </x:row>
    <x:row r="24">
      <x:c r="A24" s="46" t="n">
        <x:v>44470</x:v>
      </x:c>
      <x:c r="B24" s="47" t="str">
        <x:v>2021-10</x:v>
      </x:c>
      <x:c r="C24" s="48" t="n">
        <x:v>4145.53</x:v>
      </x:c>
      <x:c r="D24" s="49" t="n">
        <x:f>C24*'Predpoklady'!$B$5*'Predpoklady'!$B$4</x:f>
        <x:v>194010.804</x:v>
      </x:c>
      <x:c r="E24" s="48" t="n">
        <x:v>3215.64</x:v>
      </x:c>
      <x:c r="F24" s="48" t="n">
        <x:f>E24*'Predpoklady'!$B$6</x:f>
        <x:v>2894.076</x:v>
      </x:c>
      <x:c r="G24" s="49" t="n">
        <x:f>F24*'Predpoklady'!$B$7</x:f>
        <x:v>159174.18</x:v>
      </x:c>
      <x:c r="H24" s="48" t="n">
        <x:f>E24*'Predpoklady'!$B$8</x:f>
        <x:v>3344.2656</x:v>
      </x:c>
      <x:c r="I24" s="49" t="n">
        <x:f>H24*'Predpoklady'!$B$9</x:f>
        <x:v>183934.608</x:v>
      </x:c>
      <x:c r="J24" s="47" t="str">
        <x:v>Interpolácia / odhad</x:v>
      </x:c>
      <x:c r="K24" s="47" t="str">
        <x:v>Interpolácia / odhad</x:v>
      </x:c>
    </x:row>
    <x:row r="25">
      <x:c r="A25" s="46" t="n">
        <x:v>44501</x:v>
      </x:c>
      <x:c r="B25" s="47" t="str">
        <x:v>2021-11</x:v>
      </x:c>
      <x:c r="C25" s="48" t="n">
        <x:v>4201.67</x:v>
      </x:c>
      <x:c r="D25" s="49" t="n">
        <x:f>C25*'Predpoklady'!$B$5*'Predpoklady'!$B$4</x:f>
        <x:v>196638.15600000002</x:v>
      </x:c>
      <x:c r="E25" s="48" t="n">
        <x:v>3251.9</x:v>
      </x:c>
      <x:c r="F25" s="48" t="n">
        <x:f>E25*'Predpoklady'!$B$6</x:f>
        <x:v>2926.71</x:v>
      </x:c>
      <x:c r="G25" s="49" t="n">
        <x:f>F25*'Predpoklady'!$B$7</x:f>
        <x:v>160969.05</x:v>
      </x:c>
      <x:c r="H25" s="48" t="n">
        <x:f>E25*'Predpoklady'!$B$8</x:f>
        <x:v>3381.976</x:v>
      </x:c>
      <x:c r="I25" s="49" t="n">
        <x:f>H25*'Predpoklady'!$B$9</x:f>
        <x:v>186008.68</x:v>
      </x:c>
      <x:c r="J25" s="47" t="str">
        <x:v>Interpolácia / odhad</x:v>
      </x:c>
      <x:c r="K25" s="47" t="str">
        <x:v>Interpolácia / odhad</x:v>
      </x:c>
    </x:row>
    <x:row r="26">
      <x:c r="A26" s="46" t="n">
        <x:v>44531</x:v>
      </x:c>
      <x:c r="B26" s="47" t="str">
        <x:v>2021-12</x:v>
      </x:c>
      <x:c r="C26" s="48" t="n">
        <x:v>4256</x:v>
      </x:c>
      <x:c r="D26" s="49" t="n">
        <x:f>C26*'Predpoklady'!$B$5*'Predpoklady'!$B$4</x:f>
        <x:v>199180.80000000002</x:v>
      </x:c>
      <x:c r="E26" s="48" t="n">
        <x:v>3287</x:v>
      </x:c>
      <x:c r="F26" s="48" t="n">
        <x:f>E26*'Predpoklady'!$B$6</x:f>
        <x:v>2958.3</x:v>
      </x:c>
      <x:c r="G26" s="49" t="n">
        <x:f>F26*'Predpoklady'!$B$7</x:f>
        <x:v>162706.5</x:v>
      </x:c>
      <x:c r="H26" s="48" t="n">
        <x:f>E26*'Predpoklady'!$B$8</x:f>
        <x:v>3418.48</x:v>
      </x:c>
      <x:c r="I26" s="49" t="n">
        <x:f>H26*'Predpoklady'!$B$9</x:f>
        <x:v>188016.4</x:v>
      </x:c>
      <x:c r="J26" s="47" t="str">
        <x:v>Zdrojový bod</x:v>
      </x:c>
      <x:c r="K26" s="47" t="str">
        <x:v>Zdrojový bod</x:v>
      </x:c>
    </x:row>
    <x:row r="27">
      <x:c r="A27" s="46" t="n">
        <x:v>44562</x:v>
      </x:c>
      <x:c r="B27" s="47" t="str">
        <x:v>2022-01</x:v>
      </x:c>
      <x:c r="C27" s="48" t="n">
        <x:v>4365.69</x:v>
      </x:c>
      <x:c r="D27" s="49" t="n">
        <x:f>C27*'Predpoklady'!$B$5*'Predpoklady'!$B$4</x:f>
        <x:v>204314.292</x:v>
      </x:c>
      <x:c r="E27" s="48" t="n">
        <x:v>3387.49</x:v>
      </x:c>
      <x:c r="F27" s="48" t="n">
        <x:f>E27*'Predpoklady'!$B$6</x:f>
        <x:v>3048.741</x:v>
      </x:c>
      <x:c r="G27" s="49" t="n">
        <x:f>F27*'Predpoklady'!$B$7</x:f>
        <x:v>167680.755</x:v>
      </x:c>
      <x:c r="H27" s="48" t="n">
        <x:f>E27*'Predpoklady'!$B$8</x:f>
        <x:v>3522.9896</x:v>
      </x:c>
      <x:c r="I27" s="49" t="n">
        <x:f>H27*'Predpoklady'!$B$9</x:f>
        <x:v>193764.42799999999</x:v>
      </x:c>
      <x:c r="J27" s="47" t="str">
        <x:v>Interpolácia / odhad</x:v>
      </x:c>
      <x:c r="K27" s="47" t="str">
        <x:v>Interpolácia / odhad</x:v>
      </x:c>
    </x:row>
    <x:row r="28">
      <x:c r="A28" s="46" t="n">
        <x:v>44593</x:v>
      </x:c>
      <x:c r="B28" s="47" t="str">
        <x:v>2022-02</x:v>
      </x:c>
      <x:c r="C28" s="48" t="n">
        <x:v>4475.38</x:v>
      </x:c>
      <x:c r="D28" s="49" t="n">
        <x:f>C28*'Predpoklady'!$B$5*'Predpoklady'!$B$4</x:f>
        <x:v>209447.784</x:v>
      </x:c>
      <x:c r="E28" s="48" t="n">
        <x:v>3487.99</x:v>
      </x:c>
      <x:c r="F28" s="48" t="n">
        <x:f>E28*'Predpoklady'!$B$6</x:f>
        <x:v>3139.191</x:v>
      </x:c>
      <x:c r="G28" s="49" t="n">
        <x:f>F28*'Predpoklady'!$B$7</x:f>
        <x:v>172655.50499999998</x:v>
      </x:c>
      <x:c r="H28" s="48" t="n">
        <x:f>E28*'Predpoklady'!$B$8</x:f>
        <x:v>3627.5096</x:v>
      </x:c>
      <x:c r="I28" s="49" t="n">
        <x:f>H28*'Predpoklady'!$B$9</x:f>
        <x:v>199513.028</x:v>
      </x:c>
      <x:c r="J28" s="47" t="str">
        <x:v>Interpolácia / odhad</x:v>
      </x:c>
      <x:c r="K28" s="47" t="str">
        <x:v>Interpolácia / odhad</x:v>
      </x:c>
    </x:row>
    <x:row r="29">
      <x:c r="A29" s="46" t="n">
        <x:v>44621</x:v>
      </x:c>
      <x:c r="B29" s="47" t="str">
        <x:v>2022-03</x:v>
      </x:c>
      <x:c r="C29" s="48" t="n">
        <x:v>4574.46</x:v>
      </x:c>
      <x:c r="D29" s="49" t="n">
        <x:f>C29*'Predpoklady'!$B$5*'Predpoklady'!$B$4</x:f>
        <x:v>214084.728</x:v>
      </x:c>
      <x:c r="E29" s="48" t="n">
        <x:v>3578.76</x:v>
      </x:c>
      <x:c r="F29" s="48" t="n">
        <x:f>E29*'Predpoklady'!$B$6</x:f>
        <x:v>3220.8840000000005</x:v>
      </x:c>
      <x:c r="G29" s="49" t="n">
        <x:f>F29*'Predpoklady'!$B$7</x:f>
        <x:v>177148.62000000002</x:v>
      </x:c>
      <x:c r="H29" s="48" t="n">
        <x:f>E29*'Predpoklady'!$B$8</x:f>
        <x:v>3721.9104</x:v>
      </x:c>
      <x:c r="I29" s="49" t="n">
        <x:f>H29*'Predpoklady'!$B$9</x:f>
        <x:v>204705.07200000001</x:v>
      </x:c>
      <x:c r="J29" s="47" t="str">
        <x:v>Interpolácia / odhad</x:v>
      </x:c>
      <x:c r="K29" s="47" t="str">
        <x:v>Interpolácia / odhad</x:v>
      </x:c>
    </x:row>
    <x:row r="30">
      <x:c r="A30" s="46" t="n">
        <x:v>44652</x:v>
      </x:c>
      <x:c r="B30" s="47" t="str">
        <x:v>2022-04</x:v>
      </x:c>
      <x:c r="C30" s="48" t="n">
        <x:v>4684.15</x:v>
      </x:c>
      <x:c r="D30" s="49" t="n">
        <x:f>C30*'Predpoklady'!$B$5*'Predpoklady'!$B$4</x:f>
        <x:v>219218.21999999997</x:v>
      </x:c>
      <x:c r="E30" s="48" t="n">
        <x:v>3679.25</x:v>
      </x:c>
      <x:c r="F30" s="48" t="n">
        <x:f>E30*'Predpoklady'!$B$6</x:f>
        <x:v>3311.3250000000003</x:v>
      </x:c>
      <x:c r="G30" s="49" t="n">
        <x:f>F30*'Predpoklady'!$B$7</x:f>
        <x:v>182122.87500000003</x:v>
      </x:c>
      <x:c r="H30" s="48" t="n">
        <x:f>E30*'Predpoklady'!$B$8</x:f>
        <x:v>3826.42</x:v>
      </x:c>
      <x:c r="I30" s="49" t="n">
        <x:f>H30*'Predpoklady'!$B$9</x:f>
        <x:v>210453.1</x:v>
      </x:c>
      <x:c r="J30" s="47" t="str">
        <x:v>Interpolácia / odhad</x:v>
      </x:c>
      <x:c r="K30" s="47" t="str">
        <x:v>Interpolácia / odhad</x:v>
      </x:c>
    </x:row>
    <x:row r="31">
      <x:c r="A31" s="46" t="n">
        <x:v>44682</x:v>
      </x:c>
      <x:c r="B31" s="47" t="str">
        <x:v>2022-05</x:v>
      </x:c>
      <x:c r="C31" s="48" t="n">
        <x:v>4790.31</x:v>
      </x:c>
      <x:c r="D31" s="49" t="n">
        <x:f>C31*'Predpoklady'!$B$5*'Predpoklady'!$B$4</x:f>
        <x:v>224186.50800000003</x:v>
      </x:c>
      <x:c r="E31" s="48" t="n">
        <x:v>3776.51</x:v>
      </x:c>
      <x:c r="F31" s="48" t="n">
        <x:f>E31*'Predpoklady'!$B$6</x:f>
        <x:v>3398.8590000000004</x:v>
      </x:c>
      <x:c r="G31" s="49" t="n">
        <x:f>F31*'Predpoklady'!$B$7</x:f>
        <x:v>186937.24500000002</x:v>
      </x:c>
      <x:c r="H31" s="48" t="n">
        <x:f>E31*'Predpoklady'!$B$8</x:f>
        <x:v>3927.5704000000005</x:v>
      </x:c>
      <x:c r="I31" s="49" t="n">
        <x:f>H31*'Predpoklady'!$B$9</x:f>
        <x:v>216016.37200000003</x:v>
      </x:c>
      <x:c r="J31" s="47" t="str">
        <x:v>Interpolácia / odhad</x:v>
      </x:c>
      <x:c r="K31" s="47" t="str">
        <x:v>Interpolácia / odhad</x:v>
      </x:c>
    </x:row>
    <x:row r="32">
      <x:c r="A32" s="46" t="n">
        <x:v>44713</x:v>
      </x:c>
      <x:c r="B32" s="47" t="str">
        <x:v>2022-06</x:v>
      </x:c>
      <x:c r="C32" s="48" t="n">
        <x:v>4900</x:v>
      </x:c>
      <x:c r="D32" s="49" t="n">
        <x:f>C32*'Predpoklady'!$B$5*'Predpoklady'!$B$4</x:f>
        <x:v>229320</x:v>
      </x:c>
      <x:c r="E32" s="48" t="n">
        <x:v>3877</x:v>
      </x:c>
      <x:c r="F32" s="48" t="n">
        <x:f>E32*'Predpoklady'!$B$6</x:f>
        <x:v>3489.3</x:v>
      </x:c>
      <x:c r="G32" s="49" t="n">
        <x:f>F32*'Predpoklady'!$B$7</x:f>
        <x:v>191911.5</x:v>
      </x:c>
      <x:c r="H32" s="48" t="n">
        <x:f>E32*'Predpoklady'!$B$8</x:f>
        <x:v>4032.08</x:v>
      </x:c>
      <x:c r="I32" s="49" t="n">
        <x:f>H32*'Predpoklady'!$B$9</x:f>
        <x:v>221764.4</x:v>
      </x:c>
      <x:c r="J32" s="47" t="str">
        <x:v>Zdrojový bod</x:v>
      </x:c>
      <x:c r="K32" s="47" t="str">
        <x:v>Zdrojový bod</x:v>
      </x:c>
    </x:row>
    <x:row r="33">
      <x:c r="A33" s="46" t="n">
        <x:v>44743</x:v>
      </x:c>
      <x:c r="B33" s="47" t="str">
        <x:v>2022-07</x:v>
      </x:c>
      <x:c r="C33" s="48" t="n">
        <x:v>4900</x:v>
      </x:c>
      <x:c r="D33" s="49" t="n">
        <x:f>C33*'Predpoklady'!$B$5*'Predpoklady'!$B$4</x:f>
        <x:v>229320</x:v>
      </x:c>
      <x:c r="E33" s="48" t="n">
        <x:v>3877</x:v>
      </x:c>
      <x:c r="F33" s="48" t="n">
        <x:f>E33*'Predpoklady'!$B$6</x:f>
        <x:v>3489.3</x:v>
      </x:c>
      <x:c r="G33" s="49" t="n">
        <x:f>F33*'Predpoklady'!$B$7</x:f>
        <x:v>191911.5</x:v>
      </x:c>
      <x:c r="H33" s="48" t="n">
        <x:f>E33*'Predpoklady'!$B$8</x:f>
        <x:v>4032.08</x:v>
      </x:c>
      <x:c r="I33" s="49" t="n">
        <x:f>H33*'Predpoklady'!$B$9</x:f>
        <x:v>221764.4</x:v>
      </x:c>
      <x:c r="J33" s="47" t="str">
        <x:v>Interpolácia / odhad</x:v>
      </x:c>
      <x:c r="K33" s="47" t="str">
        <x:v>Interpolácia / odhad</x:v>
      </x:c>
    </x:row>
    <x:row r="34">
      <x:c r="A34" s="46" t="n">
        <x:v>44774</x:v>
      </x:c>
      <x:c r="B34" s="47" t="str">
        <x:v>2022-08</x:v>
      </x:c>
      <x:c r="C34" s="48" t="n">
        <x:v>4900</x:v>
      </x:c>
      <x:c r="D34" s="49" t="n">
        <x:f>C34*'Predpoklady'!$B$5*'Predpoklady'!$B$4</x:f>
        <x:v>229320</x:v>
      </x:c>
      <x:c r="E34" s="48" t="n">
        <x:v>3877</x:v>
      </x:c>
      <x:c r="F34" s="48" t="n">
        <x:f>E34*'Predpoklady'!$B$6</x:f>
        <x:v>3489.3</x:v>
      </x:c>
      <x:c r="G34" s="49" t="n">
        <x:f>F34*'Predpoklady'!$B$7</x:f>
        <x:v>191911.5</x:v>
      </x:c>
      <x:c r="H34" s="48" t="n">
        <x:f>E34*'Predpoklady'!$B$8</x:f>
        <x:v>4032.08</x:v>
      </x:c>
      <x:c r="I34" s="49" t="n">
        <x:f>H34*'Predpoklady'!$B$9</x:f>
        <x:v>221764.4</x:v>
      </x:c>
      <x:c r="J34" s="47" t="str">
        <x:v>Interpolácia / odhad</x:v>
      </x:c>
      <x:c r="K34" s="47" t="str">
        <x:v>Interpolácia / odhad</x:v>
      </x:c>
    </x:row>
    <x:row r="35">
      <x:c r="A35" s="46" t="n">
        <x:v>44805</x:v>
      </x:c>
      <x:c r="B35" s="47" t="str">
        <x:v>2022-09</x:v>
      </x:c>
      <x:c r="C35" s="48" t="n">
        <x:v>4900</x:v>
      </x:c>
      <x:c r="D35" s="49" t="n">
        <x:f>C35*'Predpoklady'!$B$5*'Predpoklady'!$B$4</x:f>
        <x:v>229320</x:v>
      </x:c>
      <x:c r="E35" s="48" t="n">
        <x:v>3877</x:v>
      </x:c>
      <x:c r="F35" s="48" t="n">
        <x:f>E35*'Predpoklady'!$B$6</x:f>
        <x:v>3489.3</x:v>
      </x:c>
      <x:c r="G35" s="49" t="n">
        <x:f>F35*'Predpoklady'!$B$7</x:f>
        <x:v>191911.5</x:v>
      </x:c>
      <x:c r="H35" s="48" t="n">
        <x:f>E35*'Predpoklady'!$B$8</x:f>
        <x:v>4032.08</x:v>
      </x:c>
      <x:c r="I35" s="49" t="n">
        <x:f>H35*'Predpoklady'!$B$9</x:f>
        <x:v>221764.4</x:v>
      </x:c>
      <x:c r="J35" s="47" t="str">
        <x:v>Interpolácia / odhad</x:v>
      </x:c>
      <x:c r="K35" s="47" t="str">
        <x:v>Zdrojový bod</x:v>
      </x:c>
    </x:row>
    <x:row r="36">
      <x:c r="A36" s="46" t="n">
        <x:v>44835</x:v>
      </x:c>
      <x:c r="B36" s="47" t="str">
        <x:v>2022-10</x:v>
      </x:c>
      <x:c r="C36" s="48" t="n">
        <x:v>4900</x:v>
      </x:c>
      <x:c r="D36" s="49" t="n">
        <x:f>C36*'Predpoklady'!$B$5*'Predpoklady'!$B$4</x:f>
        <x:v>229320</x:v>
      </x:c>
      <x:c r="E36" s="48" t="n">
        <x:v>3841.07</x:v>
      </x:c>
      <x:c r="F36" s="48" t="n">
        <x:f>E36*'Predpoklady'!$B$6</x:f>
        <x:v>3456.963</x:v>
      </x:c>
      <x:c r="G36" s="49" t="n">
        <x:f>F36*'Predpoklady'!$B$7</x:f>
        <x:v>190132.965</x:v>
      </x:c>
      <x:c r="H36" s="48" t="n">
        <x:f>E36*'Predpoklady'!$B$8</x:f>
        <x:v>3994.7128000000002</x:v>
      </x:c>
      <x:c r="I36" s="49" t="n">
        <x:f>H36*'Predpoklady'!$B$9</x:f>
        <x:v>219709.20400000003</x:v>
      </x:c>
      <x:c r="J36" s="47" t="str">
        <x:v>Interpolácia / odhad</x:v>
      </x:c>
      <x:c r="K36" s="47" t="str">
        <x:v>Interpolácia / odhad</x:v>
      </x:c>
    </x:row>
    <x:row r="37">
      <x:c r="A37" s="46" t="n">
        <x:v>44866</x:v>
      </x:c>
      <x:c r="B37" s="47" t="str">
        <x:v>2022-11</x:v>
      </x:c>
      <x:c r="C37" s="48" t="n">
        <x:v>4900</x:v>
      </x:c>
      <x:c r="D37" s="49" t="n">
        <x:f>C37*'Predpoklady'!$B$5*'Predpoklady'!$B$4</x:f>
        <x:v>229320</x:v>
      </x:c>
      <x:c r="E37" s="48" t="n">
        <x:v>3803.93</x:v>
      </x:c>
      <x:c r="F37" s="48" t="n">
        <x:f>E37*'Predpoklady'!$B$6</x:f>
        <x:v>3423.537</x:v>
      </x:c>
      <x:c r="G37" s="49" t="n">
        <x:f>F37*'Predpoklady'!$B$7</x:f>
        <x:v>188294.535</x:v>
      </x:c>
      <x:c r="H37" s="48" t="n">
        <x:f>E37*'Predpoklady'!$B$8</x:f>
        <x:v>3956.0872</x:v>
      </x:c>
      <x:c r="I37" s="49" t="n">
        <x:f>H37*'Predpoklady'!$B$9</x:f>
        <x:v>217584.796</x:v>
      </x:c>
      <x:c r="J37" s="47" t="str">
        <x:v>Interpolácia / odhad</x:v>
      </x:c>
      <x:c r="K37" s="47" t="str">
        <x:v>Interpolácia / odhad</x:v>
      </x:c>
    </x:row>
    <x:row r="38">
      <x:c r="A38" s="46" t="n">
        <x:v>44896</x:v>
      </x:c>
      <x:c r="B38" s="47" t="str">
        <x:v>2022-12</x:v>
      </x:c>
      <x:c r="C38" s="48" t="n">
        <x:v>4900</x:v>
      </x:c>
      <x:c r="D38" s="49" t="n">
        <x:f>C38*'Predpoklady'!$B$5*'Predpoklady'!$B$4</x:f>
        <x:v>229320</x:v>
      </x:c>
      <x:c r="E38" s="48" t="n">
        <x:v>3768</x:v>
      </x:c>
      <x:c r="F38" s="48" t="n">
        <x:f>E38*'Predpoklady'!$B$6</x:f>
        <x:v>3391.2000000000003</x:v>
      </x:c>
      <x:c r="G38" s="49" t="n">
        <x:f>F38*'Predpoklady'!$B$7</x:f>
        <x:v>186516.00000000003</x:v>
      </x:c>
      <x:c r="H38" s="48" t="n">
        <x:f>E38*'Predpoklady'!$B$8</x:f>
        <x:v>3918.7200000000003</x:v>
      </x:c>
      <x:c r="I38" s="49" t="n">
        <x:f>H38*'Predpoklady'!$B$9</x:f>
        <x:v>215529.6</x:v>
      </x:c>
      <x:c r="J38" s="47" t="str">
        <x:v>Zdrojový bod</x:v>
      </x:c>
      <x:c r="K38" s="47" t="str">
        <x:v>Zdrojový bod</x:v>
      </x:c>
    </x:row>
    <x:row r="39">
      <x:c r="A39" s="46" t="n">
        <x:v>44927</x:v>
      </x:c>
      <x:c r="B39" s="47" t="str">
        <x:v>2023-01</x:v>
      </x:c>
      <x:c r="C39" s="48" t="n">
        <x:v>4920.04</x:v>
      </x:c>
      <x:c r="D39" s="49" t="n">
        <x:f>C39*'Predpoklady'!$B$5*'Predpoklady'!$B$4</x:f>
        <x:v>230257.872</x:v>
      </x:c>
      <x:c r="E39" s="48" t="n">
        <x:v>3703.93</x:v>
      </x:c>
      <x:c r="F39" s="48" t="n">
        <x:f>E39*'Predpoklady'!$B$6</x:f>
        <x:v>3333.537</x:v>
      </x:c>
      <x:c r="G39" s="49" t="n">
        <x:f>F39*'Predpoklady'!$B$7</x:f>
        <x:v>183344.535</x:v>
      </x:c>
      <x:c r="H39" s="48" t="n">
        <x:f>E39*'Predpoklady'!$B$8</x:f>
        <x:v>3852.0872</x:v>
      </x:c>
      <x:c r="I39" s="49" t="n">
        <x:f>H39*'Predpoklady'!$B$9</x:f>
        <x:v>211864.796</x:v>
      </x:c>
      <x:c r="J39" s="47" t="str">
        <x:v>Interpolácia / odhad</x:v>
      </x:c>
      <x:c r="K39" s="47" t="str">
        <x:v>Interpolácia / odhad</x:v>
      </x:c>
    </x:row>
    <x:row r="40">
      <x:c r="A40" s="46" t="n">
        <x:v>44958</x:v>
      </x:c>
      <x:c r="B40" s="47" t="str">
        <x:v>2023-02</x:v>
      </x:c>
      <x:c r="C40" s="48" t="n">
        <x:v>4940.09</x:v>
      </x:c>
      <x:c r="D40" s="49" t="n">
        <x:f>C40*'Predpoklady'!$B$5*'Predpoklady'!$B$4</x:f>
        <x:v>231196.212</x:v>
      </x:c>
      <x:c r="E40" s="48" t="n">
        <x:v>3639.87</x:v>
      </x:c>
      <x:c r="F40" s="48" t="n">
        <x:f>E40*'Predpoklady'!$B$6</x:f>
        <x:v>3275.883</x:v>
      </x:c>
      <x:c r="G40" s="49" t="n">
        <x:f>F40*'Predpoklady'!$B$7</x:f>
        <x:v>180173.565</x:v>
      </x:c>
      <x:c r="H40" s="48" t="n">
        <x:f>E40*'Predpoklady'!$B$8</x:f>
        <x:v>3785.4648</x:v>
      </x:c>
      <x:c r="I40" s="49" t="n">
        <x:f>H40*'Predpoklady'!$B$9</x:f>
        <x:v>208200.564</x:v>
      </x:c>
      <x:c r="J40" s="47" t="str">
        <x:v>Interpolácia / odhad</x:v>
      </x:c>
      <x:c r="K40" s="47" t="str">
        <x:v>Interpolácia / odhad</x:v>
      </x:c>
    </x:row>
    <x:row r="41">
      <x:c r="A41" s="46" t="n">
        <x:v>44986</x:v>
      </x:c>
      <x:c r="B41" s="47" t="str">
        <x:v>2023-03</x:v>
      </x:c>
      <x:c r="C41" s="48" t="n">
        <x:v>4958.19</x:v>
      </x:c>
      <x:c r="D41" s="49" t="n">
        <x:f>C41*'Predpoklady'!$B$5*'Predpoklady'!$B$4</x:f>
        <x:v>232043.29200000002</x:v>
      </x:c>
      <x:c r="E41" s="48" t="n">
        <x:v>3582</x:v>
      </x:c>
      <x:c r="F41" s="48" t="n">
        <x:f>E41*'Predpoklady'!$B$6</x:f>
        <x:v>3223.8</x:v>
      </x:c>
      <x:c r="G41" s="49" t="n">
        <x:f>F41*'Predpoklady'!$B$7</x:f>
        <x:v>177309</x:v>
      </x:c>
      <x:c r="H41" s="48" t="n">
        <x:f>E41*'Predpoklady'!$B$8</x:f>
        <x:v>3725.28</x:v>
      </x:c>
      <x:c r="I41" s="49" t="n">
        <x:f>H41*'Predpoklady'!$B$9</x:f>
        <x:v>204890.40000000002</x:v>
      </x:c>
      <x:c r="J41" s="47" t="str">
        <x:v>Interpolácia / odhad</x:v>
      </x:c>
      <x:c r="K41" s="47" t="str">
        <x:v>Zdrojový bod</x:v>
      </x:c>
    </x:row>
    <x:row r="42">
      <x:c r="A42" s="46" t="n">
        <x:v>45017</x:v>
      </x:c>
      <x:c r="B42" s="47" t="str">
        <x:v>2023-04</x:v>
      </x:c>
      <x:c r="C42" s="48" t="n">
        <x:v>4978.24</x:v>
      </x:c>
      <x:c r="D42" s="49" t="n">
        <x:f>C42*'Predpoklady'!$B$5*'Predpoklady'!$B$4</x:f>
        <x:v>232981.632</x:v>
      </x:c>
      <x:c r="E42" s="48" t="n">
        <x:v>3548.98</x:v>
      </x:c>
      <x:c r="F42" s="48" t="n">
        <x:f>E42*'Predpoklady'!$B$6</x:f>
        <x:v>3194.082</x:v>
      </x:c>
      <x:c r="G42" s="49" t="n">
        <x:f>F42*'Predpoklady'!$B$7</x:f>
        <x:v>175674.50999999998</x:v>
      </x:c>
      <x:c r="H42" s="48" t="n">
        <x:f>E42*'Predpoklady'!$B$8</x:f>
        <x:v>3690.9392000000003</x:v>
      </x:c>
      <x:c r="I42" s="49" t="n">
        <x:f>H42*'Predpoklady'!$B$9</x:f>
        <x:v>203001.65600000002</x:v>
      </x:c>
      <x:c r="J42" s="47" t="str">
        <x:v>Interpolácia / odhad</x:v>
      </x:c>
      <x:c r="K42" s="47" t="str">
        <x:v>Interpolácia / odhad</x:v>
      </x:c>
    </x:row>
    <x:row r="43">
      <x:c r="A43" s="46" t="n">
        <x:v>45047</x:v>
      </x:c>
      <x:c r="B43" s="47" t="str">
        <x:v>2023-05</x:v>
      </x:c>
      <x:c r="C43" s="48" t="n">
        <x:v>4997.63</x:v>
      </x:c>
      <x:c r="D43" s="49" t="n">
        <x:f>C43*'Predpoklady'!$B$5*'Predpoklady'!$B$4</x:f>
        <x:v>233889.084</x:v>
      </x:c>
      <x:c r="E43" s="48" t="n">
        <x:v>3517.02</x:v>
      </x:c>
      <x:c r="F43" s="48" t="n">
        <x:f>E43*'Predpoklady'!$B$6</x:f>
        <x:v>3165.318</x:v>
      </x:c>
      <x:c r="G43" s="49" t="n">
        <x:f>F43*'Predpoklady'!$B$7</x:f>
        <x:v>174092.49000000002</x:v>
      </x:c>
      <x:c r="H43" s="48" t="n">
        <x:f>E43*'Predpoklady'!$B$8</x:f>
        <x:v>3657.7008</x:v>
      </x:c>
      <x:c r="I43" s="49" t="n">
        <x:f>H43*'Predpoklady'!$B$9</x:f>
        <x:v>201173.544</x:v>
      </x:c>
      <x:c r="J43" s="47" t="str">
        <x:v>Interpolácia / odhad</x:v>
      </x:c>
      <x:c r="K43" s="47" t="str">
        <x:v>Interpolácia / odhad</x:v>
      </x:c>
    </x:row>
    <x:row r="44">
      <x:c r="A44" s="46" t="n">
        <x:v>45078</x:v>
      </x:c>
      <x:c r="B44" s="47" t="str">
        <x:v>2023-06</x:v>
      </x:c>
      <x:c r="C44" s="48" t="n">
        <x:v>5017.68</x:v>
      </x:c>
      <x:c r="D44" s="49" t="n">
        <x:f>C44*'Predpoklady'!$B$5*'Predpoklady'!$B$4</x:f>
        <x:v>234827.424</x:v>
      </x:c>
      <x:c r="E44" s="48" t="n">
        <x:v>3484</x:v>
      </x:c>
      <x:c r="F44" s="48" t="n">
        <x:f>E44*'Predpoklady'!$B$6</x:f>
        <x:v>3135.6</x:v>
      </x:c>
      <x:c r="G44" s="49" t="n">
        <x:f>F44*'Predpoklady'!$B$7</x:f>
        <x:v>172458</x:v>
      </x:c>
      <x:c r="H44" s="48" t="n">
        <x:f>E44*'Predpoklady'!$B$8</x:f>
        <x:v>3623.36</x:v>
      </x:c>
      <x:c r="I44" s="49" t="n">
        <x:f>H44*'Predpoklady'!$B$9</x:f>
        <x:v>199284.80000000002</x:v>
      </x:c>
      <x:c r="J44" s="47" t="str">
        <x:v>Interpolácia / odhad</x:v>
      </x:c>
      <x:c r="K44" s="47" t="str">
        <x:v>Zdrojový bod</x:v>
      </x:c>
    </x:row>
    <x:row r="45">
      <x:c r="A45" s="46" t="n">
        <x:v>45108</x:v>
      </x:c>
      <x:c r="B45" s="47" t="str">
        <x:v>2023-07</x:v>
      </x:c>
      <x:c r="C45" s="48" t="n">
        <x:v>5037.07</x:v>
      </x:c>
      <x:c r="D45" s="49" t="n">
        <x:f>C45*'Predpoklady'!$B$5*'Predpoklady'!$B$4</x:f>
        <x:v>235734.87600000002</x:v>
      </x:c>
      <x:c r="E45" s="48" t="n">
        <x:v>3459.87</x:v>
      </x:c>
      <x:c r="F45" s="48" t="n">
        <x:f>E45*'Predpoklady'!$B$6</x:f>
        <x:v>3113.883</x:v>
      </x:c>
      <x:c r="G45" s="49" t="n">
        <x:f>F45*'Predpoklady'!$B$7</x:f>
        <x:v>171263.565</x:v>
      </x:c>
      <x:c r="H45" s="48" t="n">
        <x:f>E45*'Predpoklady'!$B$8</x:f>
        <x:v>3598.2648</x:v>
      </x:c>
      <x:c r="I45" s="49" t="n">
        <x:f>H45*'Predpoklady'!$B$9</x:f>
        <x:v>197904.56399999998</x:v>
      </x:c>
      <x:c r="J45" s="47" t="str">
        <x:v>Interpolácia / odhad</x:v>
      </x:c>
      <x:c r="K45" s="47" t="str">
        <x:v>Interpolácia / odhad</x:v>
      </x:c>
    </x:row>
    <x:row r="46">
      <x:c r="A46" s="46" t="n">
        <x:v>45139</x:v>
      </x:c>
      <x:c r="B46" s="47" t="str">
        <x:v>2023-08</x:v>
      </x:c>
      <x:c r="C46" s="48" t="n">
        <x:v>5057.12</x:v>
      </x:c>
      <x:c r="D46" s="49" t="n">
        <x:f>C46*'Predpoklady'!$B$5*'Predpoklady'!$B$4</x:f>
        <x:v>236673.21600000001</x:v>
      </x:c>
      <x:c r="E46" s="48" t="n">
        <x:v>3434.93</x:v>
      </x:c>
      <x:c r="F46" s="48" t="n">
        <x:f>E46*'Predpoklady'!$B$6</x:f>
        <x:v>3091.437</x:v>
      </x:c>
      <x:c r="G46" s="49" t="n">
        <x:f>F46*'Predpoklady'!$B$7</x:f>
        <x:v>170029.035</x:v>
      </x:c>
      <x:c r="H46" s="48" t="n">
        <x:f>E46*'Predpoklady'!$B$8</x:f>
        <x:v>3572.3272</x:v>
      </x:c>
      <x:c r="I46" s="49" t="n">
        <x:f>H46*'Predpoklady'!$B$9</x:f>
        <x:v>196477.996</x:v>
      </x:c>
      <x:c r="J46" s="47" t="str">
        <x:v>Interpolácia / odhad</x:v>
      </x:c>
      <x:c r="K46" s="47" t="str">
        <x:v>Interpolácia / odhad</x:v>
      </x:c>
    </x:row>
    <x:row r="47">
      <x:c r="A47" s="46" t="n">
        <x:v>45170</x:v>
      </x:c>
      <x:c r="B47" s="47" t="str">
        <x:v>2023-09</x:v>
      </x:c>
      <x:c r="C47" s="48" t="n">
        <x:v>5077.16</x:v>
      </x:c>
      <x:c r="D47" s="49" t="n">
        <x:f>C47*'Predpoklady'!$B$5*'Predpoklady'!$B$4</x:f>
        <x:v>237611.08800000002</x:v>
      </x:c>
      <x:c r="E47" s="48" t="n">
        <x:v>3410</x:v>
      </x:c>
      <x:c r="F47" s="48" t="n">
        <x:f>E47*'Predpoklady'!$B$6</x:f>
        <x:v>3069</x:v>
      </x:c>
      <x:c r="G47" s="49" t="n">
        <x:f>F47*'Predpoklady'!$B$7</x:f>
        <x:v>168795</x:v>
      </x:c>
      <x:c r="H47" s="48" t="n">
        <x:f>E47*'Predpoklady'!$B$8</x:f>
        <x:v>3546.4</x:v>
      </x:c>
      <x:c r="I47" s="49" t="n">
        <x:f>H47*'Predpoklady'!$B$9</x:f>
        <x:v>195052</x:v>
      </x:c>
      <x:c r="J47" s="47" t="str">
        <x:v>Interpolácia / odhad</x:v>
      </x:c>
      <x:c r="K47" s="47" t="str">
        <x:v>Interpolácia / odhad</x:v>
      </x:c>
    </x:row>
    <x:row r="48">
      <x:c r="A48" s="46" t="n">
        <x:v>45200</x:v>
      </x:c>
      <x:c r="B48" s="47" t="str">
        <x:v>2023-10</x:v>
      </x:c>
      <x:c r="C48" s="48" t="n">
        <x:v>5096.56</x:v>
      </x:c>
      <x:c r="D48" s="49" t="n">
        <x:f>C48*'Predpoklady'!$B$5*'Predpoklady'!$B$4</x:f>
        <x:v>238519.00800000003</x:v>
      </x:c>
      <x:c r="E48" s="48" t="n">
        <x:v>3443.63</x:v>
      </x:c>
      <x:c r="F48" s="48" t="n">
        <x:f>E48*'Predpoklady'!$B$6</x:f>
        <x:v>3099.2670000000003</x:v>
      </x:c>
      <x:c r="G48" s="49" t="n">
        <x:f>F48*'Predpoklady'!$B$7</x:f>
        <x:v>170459.68500000003</x:v>
      </x:c>
      <x:c r="H48" s="48" t="n">
        <x:f>E48*'Predpoklady'!$B$8</x:f>
        <x:v>3581.3752000000004</x:v>
      </x:c>
      <x:c r="I48" s="49" t="n">
        <x:f>H48*'Predpoklady'!$B$9</x:f>
        <x:v>196975.63600000003</x:v>
      </x:c>
      <x:c r="J48" s="47" t="str">
        <x:v>Interpolácia / odhad</x:v>
      </x:c>
      <x:c r="K48" s="47" t="str">
        <x:v>Interpolácia / odhad</x:v>
      </x:c>
    </x:row>
    <x:row r="49">
      <x:c r="A49" s="46" t="n">
        <x:v>45231</x:v>
      </x:c>
      <x:c r="B49" s="47" t="str">
        <x:v>2023-11</x:v>
      </x:c>
      <x:c r="C49" s="48" t="n">
        <x:v>5116.6</x:v>
      </x:c>
      <x:c r="D49" s="49" t="n">
        <x:f>C49*'Predpoklady'!$B$5*'Predpoklady'!$B$4</x:f>
        <x:v>239456.88000000003</x:v>
      </x:c>
      <x:c r="E49" s="48" t="n">
        <x:v>3478.37</x:v>
      </x:c>
      <x:c r="F49" s="48" t="n">
        <x:f>E49*'Predpoklady'!$B$6</x:f>
        <x:v>3130.533</x:v>
      </x:c>
      <x:c r="G49" s="49" t="n">
        <x:f>F49*'Predpoklady'!$B$7</x:f>
        <x:v>172179.315</x:v>
      </x:c>
      <x:c r="H49" s="48" t="n">
        <x:f>E49*'Predpoklady'!$B$8</x:f>
        <x:v>3617.5048</x:v>
      </x:c>
      <x:c r="I49" s="49" t="n">
        <x:f>H49*'Predpoklady'!$B$9</x:f>
        <x:v>198962.764</x:v>
      </x:c>
      <x:c r="J49" s="47" t="str">
        <x:v>Interpolácia / odhad</x:v>
      </x:c>
      <x:c r="K49" s="47" t="str">
        <x:v>Interpolácia / odhad</x:v>
      </x:c>
    </x:row>
    <x:row r="50">
      <x:c r="A50" s="46" t="n">
        <x:v>45261</x:v>
      </x:c>
      <x:c r="B50" s="47" t="str">
        <x:v>2023-12</x:v>
      </x:c>
      <x:c r="C50" s="48" t="n">
        <x:v>5136</x:v>
      </x:c>
      <x:c r="D50" s="49" t="n">
        <x:f>C50*'Predpoklady'!$B$5*'Predpoklady'!$B$4</x:f>
        <x:v>240364.80000000002</x:v>
      </x:c>
      <x:c r="E50" s="48" t="n">
        <x:v>3512</x:v>
      </x:c>
      <x:c r="F50" s="48" t="n">
        <x:f>E50*'Predpoklady'!$B$6</x:f>
        <x:v>3160.8</x:v>
      </x:c>
      <x:c r="G50" s="49" t="n">
        <x:f>F50*'Predpoklady'!$B$7</x:f>
        <x:v>173844</x:v>
      </x:c>
      <x:c r="H50" s="48" t="n">
        <x:f>E50*'Predpoklady'!$B$8</x:f>
        <x:v>3652.48</x:v>
      </x:c>
      <x:c r="I50" s="49" t="n">
        <x:f>H50*'Predpoklady'!$B$9</x:f>
        <x:v>200886.4</x:v>
      </x:c>
      <x:c r="J50" s="47" t="str">
        <x:v>Zdrojový bod</x:v>
      </x:c>
      <x:c r="K50" s="47" t="str">
        <x:v>Zdrojový bod</x:v>
      </x:c>
    </x:row>
    <x:row r="51">
      <x:c r="A51" s="46" t="n">
        <x:v>45292</x:v>
      </x:c>
      <x:c r="B51" s="47" t="str">
        <x:v>2024-01</x:v>
      </x:c>
      <x:c r="C51" s="48" t="n">
        <x:v>5046.41</x:v>
      </x:c>
      <x:c r="D51" s="49" t="n">
        <x:f>C51*'Predpoklady'!$B$5*'Predpoklady'!$B$4</x:f>
        <x:v>236171.988</x:v>
      </x:c>
      <x:c r="E51" s="48" t="n">
        <x:v>3514.73</x:v>
      </x:c>
      <x:c r="F51" s="48" t="n">
        <x:f>E51*'Predpoklady'!$B$6</x:f>
        <x:v>3163.257</x:v>
      </x:c>
      <x:c r="G51" s="49" t="n">
        <x:f>F51*'Predpoklady'!$B$7</x:f>
        <x:v>173979.135</x:v>
      </x:c>
      <x:c r="H51" s="48" t="n">
        <x:f>E51*'Predpoklady'!$B$8</x:f>
        <x:v>3655.3192000000004</x:v>
      </x:c>
      <x:c r="I51" s="49" t="n">
        <x:f>H51*'Predpoklady'!$B$9</x:f>
        <x:v>201042.556</x:v>
      </x:c>
      <x:c r="J51" s="47" t="str">
        <x:v>Interpolácia / odhad</x:v>
      </x:c>
      <x:c r="K51" s="47" t="str">
        <x:v>Interpolácia / odhad</x:v>
      </x:c>
    </x:row>
    <x:row r="52">
      <x:c r="A52" s="46" t="n">
        <x:v>45323</x:v>
      </x:c>
      <x:c r="B52" s="47" t="str">
        <x:v>2024-02</x:v>
      </x:c>
      <x:c r="C52" s="48" t="n">
        <x:v>4956.81</x:v>
      </x:c>
      <x:c r="D52" s="49" t="n">
        <x:f>C52*'Predpoklady'!$B$5*'Predpoklady'!$B$4</x:f>
        <x:v>231978.70800000004</x:v>
      </x:c>
      <x:c r="E52" s="48" t="n">
        <x:v>3517.45</x:v>
      </x:c>
      <x:c r="F52" s="48" t="n">
        <x:f>E52*'Predpoklady'!$B$6</x:f>
        <x:v>3165.705</x:v>
      </x:c>
      <x:c r="G52" s="49" t="n">
        <x:f>F52*'Predpoklady'!$B$7</x:f>
        <x:v>174113.775</x:v>
      </x:c>
      <x:c r="H52" s="48" t="n">
        <x:f>E52*'Predpoklady'!$B$8</x:f>
        <x:v>3658.148</x:v>
      </x:c>
      <x:c r="I52" s="49" t="n">
        <x:f>H52*'Predpoklady'!$B$9</x:f>
        <x:v>201198.14</x:v>
      </x:c>
      <x:c r="J52" s="47" t="str">
        <x:v>Interpolácia / odhad</x:v>
      </x:c>
      <x:c r="K52" s="47" t="str">
        <x:v>Interpolácia / odhad</x:v>
      </x:c>
    </x:row>
    <x:row r="53">
      <x:c r="A53" s="46" t="n">
        <x:v>45352</x:v>
      </x:c>
      <x:c r="B53" s="47" t="str">
        <x:v>2024-03</x:v>
      </x:c>
      <x:c r="C53" s="48" t="n">
        <x:v>4873</x:v>
      </x:c>
      <x:c r="D53" s="49" t="n">
        <x:f>C53*'Predpoklady'!$B$5*'Predpoklady'!$B$4</x:f>
        <x:v>228056.4</x:v>
      </x:c>
      <x:c r="E53" s="48" t="n">
        <x:v>3520</x:v>
      </x:c>
      <x:c r="F53" s="48" t="n">
        <x:f>E53*'Predpoklady'!$B$6</x:f>
        <x:v>3168</x:v>
      </x:c>
      <x:c r="G53" s="49" t="n">
        <x:f>F53*'Predpoklady'!$B$7</x:f>
        <x:v>174240</x:v>
      </x:c>
      <x:c r="H53" s="48" t="n">
        <x:f>E53*'Predpoklady'!$B$8</x:f>
        <x:v>3660.8</x:v>
      </x:c>
      <x:c r="I53" s="49" t="n">
        <x:f>H53*'Predpoklady'!$B$9</x:f>
        <x:v>201344</x:v>
      </x:c>
      <x:c r="J53" s="47" t="str">
        <x:v>Interpolácia / odhad</x:v>
      </x:c>
      <x:c r="K53" s="47" t="str">
        <x:v>Interpolácia / odhad</x:v>
      </x:c>
    </x:row>
    <x:row r="54">
      <x:c r="A54" s="46" t="n">
        <x:v>45383</x:v>
      </x:c>
      <x:c r="B54" s="47" t="str">
        <x:v>2024-04</x:v>
      </x:c>
      <x:c r="C54" s="48" t="n">
        <x:v>4920.17</x:v>
      </x:c>
      <x:c r="D54" s="49" t="n">
        <x:f>C54*'Predpoklady'!$B$5*'Predpoklady'!$B$4</x:f>
        <x:v>230263.956</x:v>
      </x:c>
      <x:c r="E54" s="48" t="n">
        <x:v>3532.13</x:v>
      </x:c>
      <x:c r="F54" s="48" t="n">
        <x:f>E54*'Predpoklady'!$B$6</x:f>
        <x:v>3178.9170000000004</x:v>
      </x:c>
      <x:c r="G54" s="49" t="n">
        <x:f>F54*'Predpoklady'!$B$7</x:f>
        <x:v>174840.43500000003</x:v>
      </x:c>
      <x:c r="H54" s="48" t="n">
        <x:f>E54*'Predpoklady'!$B$8</x:f>
        <x:v>3673.4152000000004</x:v>
      </x:c>
      <x:c r="I54" s="49" t="n">
        <x:f>H54*'Predpoklady'!$B$9</x:f>
        <x:v>202037.836</x:v>
      </x:c>
      <x:c r="J54" s="47" t="str">
        <x:v>Interpolácia / odhad</x:v>
      </x:c>
      <x:c r="K54" s="47" t="str">
        <x:v>Interpolácia / odhad</x:v>
      </x:c>
    </x:row>
    <x:row r="55">
      <x:c r="A55" s="46" t="n">
        <x:v>45413</x:v>
      </x:c>
      <x:c r="B55" s="47" t="str">
        <x:v>2024-05</x:v>
      </x:c>
      <x:c r="C55" s="48" t="n">
        <x:v>4965.83</x:v>
      </x:c>
      <x:c r="D55" s="49" t="n">
        <x:f>C55*'Predpoklady'!$B$5*'Predpoklady'!$B$4</x:f>
        <x:v>232400.844</x:v>
      </x:c>
      <x:c r="E55" s="48" t="n">
        <x:v>3543.87</x:v>
      </x:c>
      <x:c r="F55" s="48" t="n">
        <x:f>E55*'Predpoklady'!$B$6</x:f>
        <x:v>3189.483</x:v>
      </x:c>
      <x:c r="G55" s="49" t="n">
        <x:f>F55*'Predpoklady'!$B$7</x:f>
        <x:v>175421.565</x:v>
      </x:c>
      <x:c r="H55" s="48" t="n">
        <x:f>E55*'Predpoklady'!$B$8</x:f>
        <x:v>3685.6248</x:v>
      </x:c>
      <x:c r="I55" s="49" t="n">
        <x:f>H55*'Predpoklady'!$B$9</x:f>
        <x:v>202709.364</x:v>
      </x:c>
      <x:c r="J55" s="47" t="str">
        <x:v>Interpolácia / odhad</x:v>
      </x:c>
      <x:c r="K55" s="47" t="str">
        <x:v>Interpolácia / odhad</x:v>
      </x:c>
    </x:row>
    <x:row r="56">
      <x:c r="A56" s="46" t="n">
        <x:v>45444</x:v>
      </x:c>
      <x:c r="B56" s="47" t="str">
        <x:v>2024-06</x:v>
      </x:c>
      <x:c r="C56" s="48" t="n">
        <x:v>5013</x:v>
      </x:c>
      <x:c r="D56" s="49" t="n">
        <x:f>C56*'Predpoklady'!$B$5*'Predpoklady'!$B$4</x:f>
        <x:v>234608.4</x:v>
      </x:c>
      <x:c r="E56" s="48" t="n">
        <x:v>3556</x:v>
      </x:c>
      <x:c r="F56" s="48" t="n">
        <x:f>E56*'Predpoklady'!$B$6</x:f>
        <x:v>3200.4</x:v>
      </x:c>
      <x:c r="G56" s="49" t="n">
        <x:f>F56*'Predpoklady'!$B$7</x:f>
        <x:v>176022</x:v>
      </x:c>
      <x:c r="H56" s="48" t="n">
        <x:f>E56*'Predpoklady'!$B$8</x:f>
        <x:v>3698.2400000000002</x:v>
      </x:c>
      <x:c r="I56" s="49" t="n">
        <x:f>H56*'Predpoklady'!$B$9</x:f>
        <x:v>203403.2</x:v>
      </x:c>
      <x:c r="J56" s="47" t="str">
        <x:v>Zdrojový bod</x:v>
      </x:c>
      <x:c r="K56" s="47" t="str">
        <x:v>Interpolácia / odhad</x:v>
      </x:c>
    </x:row>
    <x:row r="57">
      <x:c r="A57" s="46" t="n">
        <x:v>45474</x:v>
      </x:c>
      <x:c r="B57" s="47" t="str">
        <x:v>2024-07</x:v>
      </x:c>
      <x:c r="C57" s="48" t="n">
        <x:v>5018.54</x:v>
      </x:c>
      <x:c r="D57" s="49" t="n">
        <x:f>C57*'Predpoklady'!$B$5*'Predpoklady'!$B$4</x:f>
        <x:v>234867.672</x:v>
      </x:c>
      <x:c r="E57" s="48" t="n">
        <x:v>3618.61</x:v>
      </x:c>
      <x:c r="F57" s="48" t="n">
        <x:f>E57*'Predpoklady'!$B$6</x:f>
        <x:v>3256.7490000000003</x:v>
      </x:c>
      <x:c r="G57" s="49" t="n">
        <x:f>F57*'Predpoklady'!$B$7</x:f>
        <x:v>179121.195</x:v>
      </x:c>
      <x:c r="H57" s="48" t="n">
        <x:f>E57*'Predpoklady'!$B$8</x:f>
        <x:v>3763.3544</x:v>
      </x:c>
      <x:c r="I57" s="49" t="n">
        <x:f>H57*'Predpoklady'!$B$9</x:f>
        <x:v>206984.492</x:v>
      </x:c>
      <x:c r="J57" s="47" t="str">
        <x:v>Interpolácia / odhad</x:v>
      </x:c>
      <x:c r="K57" s="47" t="str">
        <x:v>Interpolácia / odhad</x:v>
      </x:c>
    </x:row>
    <x:row r="58">
      <x:c r="A58" s="46" t="n">
        <x:v>45505</x:v>
      </x:c>
      <x:c r="B58" s="47" t="str">
        <x:v>2024-08</x:v>
      </x:c>
      <x:c r="C58" s="48" t="n">
        <x:v>5024.27</x:v>
      </x:c>
      <x:c r="D58" s="49" t="n">
        <x:f>C58*'Predpoklady'!$B$5*'Predpoklady'!$B$4</x:f>
        <x:v>235135.83600000004</x:v>
      </x:c>
      <x:c r="E58" s="48" t="n">
        <x:v>3683.3</x:v>
      </x:c>
      <x:c r="F58" s="48" t="n">
        <x:f>E58*'Predpoklady'!$B$6</x:f>
        <x:v>3314.9700000000003</x:v>
      </x:c>
      <x:c r="G58" s="49" t="n">
        <x:f>F58*'Predpoklady'!$B$7</x:f>
        <x:v>182323.35</x:v>
      </x:c>
      <x:c r="H58" s="48" t="n">
        <x:f>E58*'Predpoklady'!$B$8</x:f>
        <x:v>3830.6320000000005</x:v>
      </x:c>
      <x:c r="I58" s="49" t="n">
        <x:f>H58*'Predpoklady'!$B$9</x:f>
        <x:v>210684.76000000004</x:v>
      </x:c>
      <x:c r="J58" s="47" t="str">
        <x:v>Interpolácia / odhad</x:v>
      </x:c>
      <x:c r="K58" s="47" t="str">
        <x:v>Interpolácia / odhad</x:v>
      </x:c>
    </x:row>
    <x:row r="59">
      <x:c r="A59" s="46" t="n">
        <x:v>45536</x:v>
      </x:c>
      <x:c r="B59" s="47" t="str">
        <x:v>2024-09</x:v>
      </x:c>
      <x:c r="C59" s="48" t="n">
        <x:v>5030</x:v>
      </x:c>
      <x:c r="D59" s="49" t="n">
        <x:f>C59*'Predpoklady'!$B$5*'Predpoklady'!$B$4</x:f>
        <x:v>235404</x:v>
      </x:c>
      <x:c r="E59" s="48" t="n">
        <x:v>3748</x:v>
      </x:c>
      <x:c r="F59" s="48" t="n">
        <x:f>E59*'Predpoklady'!$B$6</x:f>
        <x:v>3373.2000000000003</x:v>
      </x:c>
      <x:c r="G59" s="49" t="n">
        <x:f>F59*'Predpoklady'!$B$7</x:f>
        <x:v>185526.00000000003</x:v>
      </x:c>
      <x:c r="H59" s="48" t="n">
        <x:f>E59*'Predpoklady'!$B$8</x:f>
        <x:v>3897.92</x:v>
      </x:c>
      <x:c r="I59" s="49" t="n">
        <x:f>H59*'Predpoklady'!$B$9</x:f>
        <x:v>214385.6</x:v>
      </x:c>
      <x:c r="J59" s="47" t="str">
        <x:v>Interpolácia / odhad</x:v>
      </x:c>
      <x:c r="K59" s="47" t="str">
        <x:v>Zdrojový bod</x:v>
      </x:c>
    </x:row>
    <x:row r="60">
      <x:c r="A60" s="46" t="n">
        <x:v>45566</x:v>
      </x:c>
      <x:c r="B60" s="47" t="str">
        <x:v>2024-10</x:v>
      </x:c>
      <x:c r="C60" s="48" t="n">
        <x:v>5024.4</x:v>
      </x:c>
      <x:c r="D60" s="49" t="n">
        <x:f>C60*'Predpoklady'!$B$5*'Predpoklady'!$B$4</x:f>
        <x:v>235141.92</x:v>
      </x:c>
      <x:c r="E60" s="48" t="n">
        <x:v>3772.29</x:v>
      </x:c>
      <x:c r="F60" s="48" t="n">
        <x:f>E60*'Predpoklady'!$B$6</x:f>
        <x:v>3395.061</x:v>
      </x:c>
      <x:c r="G60" s="49" t="n">
        <x:f>F60*'Predpoklady'!$B$7</x:f>
        <x:v>186728.355</x:v>
      </x:c>
      <x:c r="H60" s="48" t="n">
        <x:f>E60*'Predpoklady'!$B$8</x:f>
        <x:v>3923.1816</x:v>
      </x:c>
      <x:c r="I60" s="49" t="n">
        <x:f>H60*'Predpoklady'!$B$9</x:f>
        <x:v>215774.98799999998</x:v>
      </x:c>
      <x:c r="J60" s="47" t="str">
        <x:v>Interpolácia / odhad</x:v>
      </x:c>
      <x:c r="K60" s="47" t="str">
        <x:v>Interpolácia / odhad</x:v>
      </x:c>
    </x:row>
    <x:row r="61">
      <x:c r="A61" s="46" t="n">
        <x:v>45597</x:v>
      </x:c>
      <x:c r="B61" s="47" t="str">
        <x:v>2024-11</x:v>
      </x:c>
      <x:c r="C61" s="48" t="n">
        <x:v>5018.6</x:v>
      </x:c>
      <x:c r="D61" s="49" t="n">
        <x:f>C61*'Predpoklady'!$B$5*'Predpoklady'!$B$4</x:f>
        <x:v>234870.48000000004</x:v>
      </x:c>
      <x:c r="E61" s="48" t="n">
        <x:v>3797.38</x:v>
      </x:c>
      <x:c r="F61" s="48" t="n">
        <x:f>E61*'Predpoklady'!$B$6</x:f>
        <x:v>3417.6420000000003</x:v>
      </x:c>
      <x:c r="G61" s="49" t="n">
        <x:f>F61*'Predpoklady'!$B$7</x:f>
        <x:v>187970.31000000003</x:v>
      </x:c>
      <x:c r="H61" s="48" t="n">
        <x:f>E61*'Predpoklady'!$B$8</x:f>
        <x:v>3949.2752</x:v>
      </x:c>
      <x:c r="I61" s="49" t="n">
        <x:f>H61*'Predpoklady'!$B$9</x:f>
        <x:v>217210.136</x:v>
      </x:c>
      <x:c r="J61" s="47" t="str">
        <x:v>Interpolácia / odhad</x:v>
      </x:c>
      <x:c r="K61" s="47" t="str">
        <x:v>Interpolácia / odhad</x:v>
      </x:c>
    </x:row>
    <x:row r="62">
      <x:c r="A62" s="46" t="n">
        <x:v>45627</x:v>
      </x:c>
      <x:c r="B62" s="47" t="str">
        <x:v>2024-12</x:v>
      </x:c>
      <x:c r="C62" s="48" t="n">
        <x:v>5013</x:v>
      </x:c>
      <x:c r="D62" s="49" t="n">
        <x:f>C62*'Predpoklady'!$B$5*'Predpoklady'!$B$4</x:f>
        <x:v>234608.4</x:v>
      </x:c>
      <x:c r="E62" s="48" t="n">
        <x:v>3821.67</x:v>
      </x:c>
      <x:c r="F62" s="48" t="n">
        <x:f>E62*'Predpoklady'!$B$6</x:f>
        <x:v>3439.503</x:v>
      </x:c>
      <x:c r="G62" s="49" t="n">
        <x:f>F62*'Predpoklady'!$B$7</x:f>
        <x:v>189172.665</x:v>
      </x:c>
      <x:c r="H62" s="48" t="n">
        <x:f>E62*'Predpoklady'!$B$8</x:f>
        <x:v>3974.5368000000003</x:v>
      </x:c>
      <x:c r="I62" s="49" t="n">
        <x:f>H62*'Predpoklady'!$B$9</x:f>
        <x:v>218599.524</x:v>
      </x:c>
      <x:c r="J62" s="47" t="str">
        <x:v>Zdrojový bod</x:v>
      </x:c>
      <x:c r="K62" s="47" t="str">
        <x:v>Zdrojový bod</x:v>
      </x:c>
    </x:row>
    <x:row r="63">
      <x:c r="A63" s="46" t="n">
        <x:v>45658</x:v>
      </x:c>
      <x:c r="B63" s="47" t="str">
        <x:v>2025-01</x:v>
      </x:c>
      <x:c r="C63" s="48" t="n">
        <x:v>5081.89</x:v>
      </x:c>
      <x:c r="D63" s="49" t="n">
        <x:f>C63*'Predpoklady'!$B$5*'Predpoklady'!$B$4</x:f>
        <x:v>237832.452</x:v>
      </x:c>
      <x:c r="E63" s="48" t="n">
        <x:v>3844.77</x:v>
      </x:c>
      <x:c r="F63" s="48" t="n">
        <x:f>E63*'Predpoklady'!$B$6</x:f>
        <x:v>3460.293</x:v>
      </x:c>
      <x:c r="G63" s="49" t="n">
        <x:f>F63*'Predpoklady'!$B$7</x:f>
        <x:v>190316.11500000002</x:v>
      </x:c>
      <x:c r="H63" s="48" t="n">
        <x:f>E63*'Predpoklady'!$B$8</x:f>
        <x:v>3998.5608</x:v>
      </x:c>
      <x:c r="I63" s="49" t="n">
        <x:f>H63*'Predpoklady'!$B$9</x:f>
        <x:v>219920.844</x:v>
      </x:c>
      <x:c r="J63" s="47" t="str">
        <x:v>Interpolácia / odhad</x:v>
      </x:c>
      <x:c r="K63" s="47" t="str">
        <x:v>Interpolácia / odhad</x:v>
      </x:c>
    </x:row>
    <x:row r="64">
      <x:c r="A64" s="46" t="n">
        <x:v>45689</x:v>
      </x:c>
      <x:c r="B64" s="47" t="str">
        <x:v>2025-02</x:v>
      </x:c>
      <x:c r="C64" s="48" t="n">
        <x:v>5150.78</x:v>
      </x:c>
      <x:c r="D64" s="49" t="n">
        <x:f>C64*'Predpoklady'!$B$5*'Predpoklady'!$B$4</x:f>
        <x:v>241056.50400000002</x:v>
      </x:c>
      <x:c r="E64" s="48" t="n">
        <x:v>3867.87</x:v>
      </x:c>
      <x:c r="F64" s="48" t="n">
        <x:f>E64*'Predpoklady'!$B$6</x:f>
        <x:v>3481.083</x:v>
      </x:c>
      <x:c r="G64" s="49" t="n">
        <x:f>F64*'Predpoklady'!$B$7</x:f>
        <x:v>191459.565</x:v>
      </x:c>
      <x:c r="H64" s="48" t="n">
        <x:f>E64*'Predpoklady'!$B$8</x:f>
        <x:v>4022.5848</x:v>
      </x:c>
      <x:c r="I64" s="49" t="n">
        <x:f>H64*'Predpoklady'!$B$9</x:f>
        <x:v>221242.16400000002</x:v>
      </x:c>
      <x:c r="J64" s="47" t="str">
        <x:v>Interpolácia / odhad</x:v>
      </x:c>
      <x:c r="K64" s="47" t="str">
        <x:v>Interpolácia / odhad</x:v>
      </x:c>
    </x:row>
    <x:row r="65">
      <x:c r="A65" s="46" t="n">
        <x:v>45717</x:v>
      </x:c>
      <x:c r="B65" s="47" t="str">
        <x:v>2025-03</x:v>
      </x:c>
      <x:c r="C65" s="48" t="n">
        <x:v>5213</x:v>
      </x:c>
      <x:c r="D65" s="49" t="n">
        <x:f>C65*'Predpoklady'!$B$5*'Predpoklady'!$B$4</x:f>
        <x:v>243968.4</x:v>
      </x:c>
      <x:c r="E65" s="48" t="n">
        <x:v>3888.73</x:v>
      </x:c>
      <x:c r="F65" s="48" t="n">
        <x:f>E65*'Predpoklady'!$B$6</x:f>
        <x:v>3499.857</x:v>
      </x:c>
      <x:c r="G65" s="49" t="n">
        <x:f>F65*'Predpoklady'!$B$7</x:f>
        <x:v>192492.135</x:v>
      </x:c>
      <x:c r="H65" s="48" t="n">
        <x:f>E65*'Predpoklady'!$B$8</x:f>
        <x:v>4044.2792</x:v>
      </x:c>
      <x:c r="I65" s="49" t="n">
        <x:f>H65*'Predpoklady'!$B$9</x:f>
        <x:v>222435.356</x:v>
      </x:c>
      <x:c r="J65" s="47" t="str">
        <x:v>Zdrojový bod</x:v>
      </x:c>
      <x:c r="K65" s="47" t="str">
        <x:v>Zdrojový bod</x:v>
      </x:c>
    </x:row>
    <x:row r="66">
      <x:c r="A66" s="46" t="n">
        <x:v>45748</x:v>
      </x:c>
      <x:c r="B66" s="47" t="str">
        <x:v>2025-04</x:v>
      </x:c>
      <x:c r="C66" s="48" t="n">
        <x:v>5225.99</x:v>
      </x:c>
      <x:c r="D66" s="49" t="n">
        <x:f>C66*'Predpoklady'!$B$5*'Predpoklady'!$B$4</x:f>
        <x:v>244576.332</x:v>
      </x:c>
      <x:c r="E66" s="48" t="n">
        <x:v>3941.39</x:v>
      </x:c>
      <x:c r="F66" s="48" t="n">
        <x:f>E66*'Predpoklady'!$B$6</x:f>
        <x:v>3547.2509999999997</x:v>
      </x:c>
      <x:c r="G66" s="49" t="n">
        <x:f>F66*'Predpoklady'!$B$7</x:f>
        <x:v>195098.805</x:v>
      </x:c>
      <x:c r="H66" s="48" t="n">
        <x:f>E66*'Predpoklady'!$B$8</x:f>
        <x:v>4099.0456</x:v>
      </x:c>
      <x:c r="I66" s="49" t="n">
        <x:f>H66*'Predpoklady'!$B$9</x:f>
        <x:v>225447.50800000003</x:v>
      </x:c>
      <x:c r="J66" s="47" t="str">
        <x:v>Interpolácia / odhad</x:v>
      </x:c>
      <x:c r="K66" s="47" t="str">
        <x:v>Interpolácia / odhad</x:v>
      </x:c>
    </x:row>
    <x:row r="67">
      <x:c r="A67" s="46" t="n">
        <x:v>45778</x:v>
      </x:c>
      <x:c r="B67" s="47" t="str">
        <x:v>2025-05</x:v>
      </x:c>
      <x:c r="C67" s="48" t="n">
        <x:v>5238.55</x:v>
      </x:c>
      <x:c r="D67" s="49" t="n">
        <x:f>C67*'Predpoklady'!$B$5*'Predpoklady'!$B$4</x:f>
        <x:v>245164.14000000004</x:v>
      </x:c>
      <x:c r="E67" s="48" t="n">
        <x:v>3992.34</x:v>
      </x:c>
      <x:c r="F67" s="48" t="n">
        <x:f>E67*'Predpoklady'!$B$6</x:f>
        <x:v>3593.106</x:v>
      </x:c>
      <x:c r="G67" s="49" t="n">
        <x:f>F67*'Predpoklady'!$B$7</x:f>
        <x:v>197620.83000000002</x:v>
      </x:c>
      <x:c r="H67" s="48" t="n">
        <x:f>E67*'Predpoklady'!$B$8</x:f>
        <x:v>4152.033600000001</x:v>
      </x:c>
      <x:c r="I67" s="49" t="n">
        <x:f>H67*'Predpoklady'!$B$9</x:f>
        <x:v>228361.84800000003</x:v>
      </x:c>
      <x:c r="J67" s="47" t="str">
        <x:v>Interpolácia / odhad</x:v>
      </x:c>
      <x:c r="K67" s="47" t="str">
        <x:v>Interpolácia / odhad</x:v>
      </x:c>
    </x:row>
    <x:row r="68">
      <x:c r="A68" s="46" t="n">
        <x:v>45809</x:v>
      </x:c>
      <x:c r="B68" s="47" t="str">
        <x:v>2025-06</x:v>
      </x:c>
      <x:c r="C68" s="48" t="n">
        <x:v>5251.54</x:v>
      </x:c>
      <x:c r="D68" s="49" t="n">
        <x:f>C68*'Predpoklady'!$B$5*'Predpoklady'!$B$4</x:f>
        <x:v>245772.07200000001</x:v>
      </x:c>
      <x:c r="E68" s="48" t="n">
        <x:v>4045</x:v>
      </x:c>
      <x:c r="F68" s="48" t="n">
        <x:f>E68*'Predpoklady'!$B$6</x:f>
        <x:v>3640.5</x:v>
      </x:c>
      <x:c r="G68" s="49" t="n">
        <x:f>F68*'Predpoklady'!$B$7</x:f>
        <x:v>200227.5</x:v>
      </x:c>
      <x:c r="H68" s="48" t="n">
        <x:f>E68*'Predpoklady'!$B$8</x:f>
        <x:v>4206.8</x:v>
      </x:c>
      <x:c r="I68" s="49" t="n">
        <x:f>H68*'Predpoklady'!$B$9</x:f>
        <x:v>231374</x:v>
      </x:c>
      <x:c r="J68" s="47" t="str">
        <x:v>Zdrojový bod</x:v>
      </x:c>
      <x:c r="K68" s="47" t="str">
        <x:v>Zdrojový bod</x:v>
      </x:c>
    </x:row>
    <x:row r="69">
      <x:c r="A69" s="46" t="n">
        <x:v>45839</x:v>
      </x:c>
      <x:c r="B69" s="47" t="str">
        <x:v>2025-07</x:v>
      </x:c>
      <x:c r="C69" s="48" t="n">
        <x:v>5290.15</x:v>
      </x:c>
      <x:c r="D69" s="49" t="n">
        <x:f>C69*'Predpoklady'!$B$5*'Predpoklady'!$B$4</x:f>
        <x:v>247579.02000000002</x:v>
      </x:c>
      <x:c r="E69" s="48" t="n">
        <x:v>4073.2</x:v>
      </x:c>
      <x:c r="F69" s="48" t="n">
        <x:f>E69*'Predpoklady'!$B$6</x:f>
        <x:v>3665.88</x:v>
      </x:c>
      <x:c r="G69" s="49" t="n">
        <x:f>F69*'Predpoklady'!$B$7</x:f>
        <x:v>201623.4</x:v>
      </x:c>
      <x:c r="H69" s="48" t="n">
        <x:f>E69*'Predpoklady'!$B$8</x:f>
        <x:v>4236.128</x:v>
      </x:c>
      <x:c r="I69" s="49" t="n">
        <x:f>H69*'Predpoklady'!$B$9</x:f>
        <x:v>232987.03999999998</x:v>
      </x:c>
      <x:c r="J69" s="47" t="str">
        <x:v>Interpolácia / odhad</x:v>
      </x:c>
      <x:c r="K69" s="47" t="str">
        <x:v>Interpolácia / odhad</x:v>
      </x:c>
    </x:row>
    <x:row r="70">
      <x:c r="A70" s="46" t="n">
        <x:v>45870</x:v>
      </x:c>
      <x:c r="B70" s="47" t="str">
        <x:v>2025-08</x:v>
      </x:c>
      <x:c r="C70" s="48" t="n">
        <x:v>5330.04</x:v>
      </x:c>
      <x:c r="D70" s="49" t="n">
        <x:f>C70*'Predpoklady'!$B$5*'Predpoklady'!$B$4</x:f>
        <x:v>249445.872</x:v>
      </x:c>
      <x:c r="E70" s="48" t="n">
        <x:v>4102.35</x:v>
      </x:c>
      <x:c r="F70" s="48" t="n">
        <x:f>E70*'Predpoklady'!$B$6</x:f>
        <x:v>3692.1150000000002</x:v>
      </x:c>
      <x:c r="G70" s="49" t="n">
        <x:f>F70*'Predpoklady'!$B$7</x:f>
        <x:v>203066.325</x:v>
      </x:c>
      <x:c r="H70" s="48" t="n">
        <x:f>E70*'Predpoklady'!$B$8</x:f>
        <x:v>4266.444</x:v>
      </x:c>
      <x:c r="I70" s="49" t="n">
        <x:f>H70*'Predpoklady'!$B$9</x:f>
        <x:v>234654.42</x:v>
      </x:c>
      <x:c r="J70" s="47" t="str">
        <x:v>Interpolácia / odhad</x:v>
      </x:c>
      <x:c r="K70" s="47" t="str">
        <x:v>Interpolácia / odhad</x:v>
      </x:c>
    </x:row>
    <x:row r="71">
      <x:c r="A71" s="46" t="n">
        <x:v>45901</x:v>
      </x:c>
      <x:c r="B71" s="47" t="str">
        <x:v>2025-09</x:v>
      </x:c>
      <x:c r="C71" s="48" t="n">
        <x:v>5369.94</x:v>
      </x:c>
      <x:c r="D71" s="49" t="n">
        <x:f>C71*'Predpoklady'!$B$5*'Predpoklady'!$B$4</x:f>
        <x:v>251313.19199999998</x:v>
      </x:c>
      <x:c r="E71" s="48" t="n">
        <x:v>4131.49</x:v>
      </x:c>
      <x:c r="F71" s="48" t="n">
        <x:f>E71*'Predpoklady'!$B$6</x:f>
        <x:v>3718.341</x:v>
      </x:c>
      <x:c r="G71" s="49" t="n">
        <x:f>F71*'Predpoklady'!$B$7</x:f>
        <x:v>204508.755</x:v>
      </x:c>
      <x:c r="H71" s="48" t="n">
        <x:f>E71*'Predpoklady'!$B$8</x:f>
        <x:v>4296.7496</x:v>
      </x:c>
      <x:c r="I71" s="49" t="n">
        <x:f>H71*'Predpoklady'!$B$9</x:f>
        <x:v>236321.228</x:v>
      </x:c>
      <x:c r="J71" s="47" t="str">
        <x:v>Zdrojový bod</x:v>
      </x:c>
      <x:c r="K71" s="47" t="str">
        <x:v>Zdrojový bod</x:v>
      </x:c>
    </x:row>
    <x:row r="72">
      <x:c r="A72" s="46" t="n">
        <x:v>45931</x:v>
      </x:c>
      <x:c r="B72" s="47" t="str">
        <x:v>2025-10</x:v>
      </x:c>
      <x:c r="C72" s="48" t="n">
        <x:v>5347.4</x:v>
      </x:c>
      <x:c r="D72" s="49" t="n">
        <x:f>C72*'Predpoklady'!$B$5*'Predpoklady'!$B$4</x:f>
        <x:v>250258.32</x:v>
      </x:c>
      <x:c r="E72" s="48" t="n">
        <x:v>4161.42</x:v>
      </x:c>
      <x:c r="F72" s="48" t="n">
        <x:f>E72*'Predpoklady'!$B$6</x:f>
        <x:v>3745.2780000000002</x:v>
      </x:c>
      <x:c r="G72" s="49" t="n">
        <x:f>F72*'Predpoklady'!$B$7</x:f>
        <x:v>205990.29</x:v>
      </x:c>
      <x:c r="H72" s="48" t="n">
        <x:f>E72*'Predpoklady'!$B$8</x:f>
        <x:v>4327.8768</x:v>
      </x:c>
      <x:c r="I72" s="49" t="n">
        <x:f>H72*'Predpoklady'!$B$9</x:f>
        <x:v>238033.224</x:v>
      </x:c>
      <x:c r="J72" s="47" t="str">
        <x:v>Interpolácia / odhad</x:v>
      </x:c>
      <x:c r="K72" s="47" t="str">
        <x:v>Interpolácia / odhad</x:v>
      </x:c>
    </x:row>
    <x:row r="73">
      <x:c r="A73" s="46" t="n">
        <x:v>45962</x:v>
      </x:c>
      <x:c r="B73" s="47" t="str">
        <x:v>2025-11</x:v>
      </x:c>
      <x:c r="C73" s="48" t="n">
        <x:v>5324.1</x:v>
      </x:c>
      <x:c r="D73" s="49" t="n">
        <x:f>C73*'Predpoklady'!$B$5*'Predpoklady'!$B$4</x:f>
        <x:v>249167.88000000003</x:v>
      </x:c>
      <x:c r="E73" s="48" t="n">
        <x:v>4192.34</x:v>
      </x:c>
      <x:c r="F73" s="48" t="n">
        <x:f>E73*'Predpoklady'!$B$6</x:f>
        <x:v>3773.106</x:v>
      </x:c>
      <x:c r="G73" s="49" t="n">
        <x:f>F73*'Predpoklady'!$B$7</x:f>
        <x:v>207520.83000000002</x:v>
      </x:c>
      <x:c r="H73" s="48" t="n">
        <x:f>E73*'Predpoklady'!$B$8</x:f>
        <x:v>4360.033600000001</x:v>
      </x:c>
      <x:c r="I73" s="49" t="n">
        <x:f>H73*'Predpoklady'!$B$9</x:f>
        <x:v>239801.84800000003</x:v>
      </x:c>
      <x:c r="J73" s="47" t="str">
        <x:v>Interpolácia / odhad</x:v>
      </x:c>
      <x:c r="K73" s="47" t="str">
        <x:v>Interpolácia / odhad</x:v>
      </x:c>
    </x:row>
    <x:row r="74">
      <x:c r="A74" s="46" t="n">
        <x:v>45992</x:v>
      </x:c>
      <x:c r="B74" s="47" t="str">
        <x:v>2025-12</x:v>
      </x:c>
      <x:c r="C74" s="48" t="n">
        <x:v>5301.56</x:v>
      </x:c>
      <x:c r="D74" s="49" t="n">
        <x:f>C74*'Predpoklady'!$B$5*'Predpoklady'!$B$4</x:f>
        <x:v>248113.00800000003</x:v>
      </x:c>
      <x:c r="E74" s="48" t="n">
        <x:v>4222.27</x:v>
      </x:c>
      <x:c r="F74" s="48" t="n">
        <x:f>E74*'Predpoklady'!$B$6</x:f>
        <x:v>3800.0430000000006</x:v>
      </x:c>
      <x:c r="G74" s="49" t="n">
        <x:f>F74*'Predpoklady'!$B$7</x:f>
        <x:v>209002.36500000002</x:v>
      </x:c>
      <x:c r="H74" s="48" t="n">
        <x:f>E74*'Predpoklady'!$B$8</x:f>
        <x:v>4391.160800000001</x:v>
      </x:c>
      <x:c r="I74" s="49" t="n">
        <x:f>H74*'Predpoklady'!$B$9</x:f>
        <x:v>241513.84400000004</x:v>
      </x:c>
      <x:c r="J74" s="47" t="str">
        <x:v>Zdrojový bod</x:v>
      </x:c>
      <x:c r="K74" s="47" t="str">
        <x:v>Zdrojový bod</x:v>
      </x:c>
    </x:row>
    <x:row r="75">
      <x:c r="A75" s="46" t="n">
        <x:v>46023</x:v>
      </x:c>
      <x:c r="B75" s="47" t="str">
        <x:v>2026-01</x:v>
      </x:c>
      <x:c r="C75" s="48" t="n">
        <x:v>5330.07</x:v>
      </x:c>
      <x:c r="D75" s="49" t="n">
        <x:f>C75*'Predpoklady'!$B$5*'Predpoklady'!$B$4</x:f>
        <x:v>249447.276</x:v>
      </x:c>
      <x:c r="E75" s="48" t="n">
        <x:v>4266.56</x:v>
      </x:c>
      <x:c r="F75" s="48" t="n">
        <x:f>E75*'Predpoklady'!$B$6</x:f>
        <x:v>3839.9040000000005</x:v>
      </x:c>
      <x:c r="G75" s="49" t="n">
        <x:f>F75*'Predpoklady'!$B$7</x:f>
        <x:v>211194.72000000003</x:v>
      </x:c>
      <x:c r="H75" s="48" t="n">
        <x:f>E75*'Predpoklady'!$B$8</x:f>
        <x:v>4437.222400000001</x:v>
      </x:c>
      <x:c r="I75" s="49" t="n">
        <x:f>H75*'Predpoklady'!$B$9</x:f>
        <x:v>244047.23200000002</x:v>
      </x:c>
      <x:c r="J75" s="47" t="str">
        <x:v>Interpolácia / odhad</x:v>
      </x:c>
      <x:c r="K75" s="47" t="str">
        <x:v>Interpolácia / odhad</x:v>
      </x:c>
    </x:row>
    <x:row r="76">
      <x:c r="A76" s="46" t="n">
        <x:v>46054</x:v>
      </x:c>
      <x:c r="B76" s="47" t="str">
        <x:v>2026-02</x:v>
      </x:c>
      <x:c r="C76" s="48" t="n">
        <x:v>5358.57</x:v>
      </x:c>
      <x:c r="D76" s="49" t="n">
        <x:f>C76*'Predpoklady'!$B$5*'Predpoklady'!$B$4</x:f>
        <x:v>250781.076</x:v>
      </x:c>
      <x:c r="E76" s="48" t="n">
        <x:v>4310.85</x:v>
      </x:c>
      <x:c r="F76" s="48" t="n">
        <x:f>E76*'Predpoklady'!$B$6</x:f>
        <x:v>3879.7650000000003</x:v>
      </x:c>
      <x:c r="G76" s="49" t="n">
        <x:f>F76*'Predpoklady'!$B$7</x:f>
        <x:v>213387.075</x:v>
      </x:c>
      <x:c r="H76" s="48" t="n">
        <x:f>E76*'Predpoklady'!$B$8</x:f>
        <x:v>4483.284000000001</x:v>
      </x:c>
      <x:c r="I76" s="49" t="n">
        <x:f>H76*'Predpoklady'!$B$9</x:f>
        <x:v>246580.62000000002</x:v>
      </x:c>
      <x:c r="J76" s="47" t="str">
        <x:v>Interpolácia / odhad</x:v>
      </x:c>
      <x:c r="K76" s="47" t="str">
        <x:v>Interpolácia / odhad</x:v>
      </x:c>
    </x:row>
    <x:row r="77">
      <x:c r="A77" s="46" t="n">
        <x:v>46082</x:v>
      </x:c>
      <x:c r="B77" s="47" t="str">
        <x:v>2026-03</x:v>
      </x:c>
      <x:c r="C77" s="48" t="n">
        <x:v>5384.32</x:v>
      </x:c>
      <x:c r="D77" s="49" t="n">
        <x:f>C77*'Predpoklady'!$B$5*'Predpoklady'!$B$4</x:f>
        <x:v>251986.176</x:v>
      </x:c>
      <x:c r="E77" s="48" t="n">
        <x:v>4350.86</x:v>
      </x:c>
      <x:c r="F77" s="48" t="n">
        <x:f>E77*'Predpoklady'!$B$6</x:f>
        <x:v>3915.774</x:v>
      </x:c>
      <x:c r="G77" s="49" t="n">
        <x:f>F77*'Predpoklady'!$B$7</x:f>
        <x:v>215367.57</x:v>
      </x:c>
      <x:c r="H77" s="48" t="n">
        <x:f>E77*'Predpoklady'!$B$8</x:f>
        <x:v>4524.8944</x:v>
      </x:c>
      <x:c r="I77" s="49" t="n">
        <x:f>H77*'Predpoklady'!$B$9</x:f>
        <x:v>248869.192</x:v>
      </x:c>
      <x:c r="J77" s="47" t="str">
        <x:v>Zdrojový bod</x:v>
      </x:c>
      <x:c r="K77" s="47" t="str">
        <x:v>Zdrojový bod</x:v>
      </x:c>
    </x:row>
    <x:row r="78">
      <x:c r="A78" s="46" t="n">
        <x:v>46113</x:v>
      </x:c>
      <x:c r="B78" s="47" t="str">
        <x:v>2026-04</x:v>
      </x:c>
      <x:c r="C78" s="48" t="n">
        <x:v>5369.72</x:v>
      </x:c>
      <x:c r="D78" s="49" t="n">
        <x:f>C78*'Predpoklady'!$B$5*'Predpoklady'!$B$4</x:f>
        <x:v>251302.89600000004</x:v>
      </x:c>
      <x:c r="E78" s="48" t="n">
        <x:v>4360.68</x:v>
      </x:c>
      <x:c r="F78" s="48" t="n">
        <x:f>E78*'Predpoklady'!$B$6</x:f>
        <x:v>3924.6120000000005</x:v>
      </x:c>
      <x:c r="G78" s="49" t="n">
        <x:f>F78*'Predpoklady'!$B$7</x:f>
        <x:v>215853.66000000003</x:v>
      </x:c>
      <x:c r="H78" s="48" t="n">
        <x:f>E78*'Predpoklady'!$B$8</x:f>
        <x:v>4535.1072</x:v>
      </x:c>
      <x:c r="I78" s="49" t="n">
        <x:f>H78*'Predpoklady'!$B$9</x:f>
        <x:v>249430.896</x:v>
      </x:c>
      <x:c r="J78" s="47" t="str">
        <x:v>Interpolácia / odhad</x:v>
      </x:c>
      <x:c r="K78" s="47" t="str">
        <x:v>Krátka extrapolácia</x:v>
      </x:c>
    </x:row>
    <x:row r="79">
      <x:c r="A79" s="46" t="n">
        <x:v>46143</x:v>
      </x:c>
      <x:c r="B79" s="47" t="str">
        <x:v>2026-05</x:v>
      </x:c>
      <x:c r="C79" s="48" t="n">
        <x:v>5355.6</x:v>
      </x:c>
      <x:c r="D79" s="49" t="n">
        <x:f>C79*'Predpoklady'!$B$5*'Predpoklady'!$B$4</x:f>
        <x:v>250642.08000000005</x:v>
      </x:c>
      <x:c r="E79" s="48" t="n">
        <x:v>4370.18</x:v>
      </x:c>
      <x:c r="F79" s="48" t="n">
        <x:f>E79*'Predpoklady'!$B$6</x:f>
        <x:v>3933.1620000000003</x:v>
      </x:c>
      <x:c r="G79" s="49" t="n">
        <x:f>F79*'Predpoklady'!$B$7</x:f>
        <x:v>216323.91</x:v>
      </x:c>
      <x:c r="H79" s="48" t="n">
        <x:f>E79*'Predpoklady'!$B$8</x:f>
        <x:v>4544.9872000000005</x:v>
      </x:c>
      <x:c r="I79" s="49" t="n">
        <x:f>H79*'Predpoklady'!$B$9</x:f>
        <x:v>249974.29600000003</x:v>
      </x:c>
      <x:c r="J79" s="47" t="str">
        <x:v>Interpolácia / odhad</x:v>
      </x:c>
      <x:c r="K79" s="47" t="str">
        <x:v>Krátka extrapolácia</x:v>
      </x:c>
    </x:row>
    <x:row r="80">
      <x:c r="A80" s="46" t="n">
        <x:v>46174</x:v>
      </x:c>
      <x:c r="B80" s="47" t="str">
        <x:v>2026-06</x:v>
      </x:c>
      <x:c r="C80" s="48" t="n">
        <x:v>5341</x:v>
      </x:c>
      <x:c r="D80" s="49" t="n">
        <x:f>C80*'Predpoklady'!$B$5*'Predpoklady'!$B$4</x:f>
        <x:v>249958.80000000002</x:v>
      </x:c>
      <x:c r="E80" s="48" t="n">
        <x:v>4380</x:v>
      </x:c>
      <x:c r="F80" s="48" t="n">
        <x:f>E80*'Predpoklady'!$B$6</x:f>
        <x:v>3942</x:v>
      </x:c>
      <x:c r="G80" s="49" t="n">
        <x:f>F80*'Predpoklady'!$B$7</x:f>
        <x:v>216810</x:v>
      </x:c>
      <x:c r="H80" s="48" t="n">
        <x:f>E80*'Predpoklady'!$B$8</x:f>
        <x:v>4555.2</x:v>
      </x:c>
      <x:c r="I80" s="49" t="n">
        <x:f>H80*'Predpoklady'!$B$9</x:f>
        <x:v>250536</x:v>
      </x:c>
      <x:c r="J80" s="47" t="str">
        <x:v>Zdrojový bod</x:v>
      </x:c>
      <x:c r="K80" s="47" t="str">
        <x:v>Krátka extrapolácia</x:v>
      </x:c>
    </x:row>
    <x:row r="81">
      <x:c r="A81" s="46" t="n">
        <x:v>46204</x:v>
      </x:c>
      <x:c r="B81" s="47" t="str">
        <x:v>2026-07</x:v>
      </x:c>
      <x:c r="C81" s="48" t="n">
        <x:v>5341</x:v>
      </x:c>
      <x:c r="D81" s="49" t="n">
        <x:f>C81*'Predpoklady'!$B$5*'Predpoklady'!$B$4</x:f>
        <x:v>249958.80000000002</x:v>
      </x:c>
      <x:c r="E81" s="48" t="n">
        <x:v>4384.92</x:v>
      </x:c>
      <x:c r="F81" s="48" t="n">
        <x:f>E81*'Predpoklady'!$B$6</x:f>
        <x:v>3946.4280000000003</x:v>
      </x:c>
      <x:c r="G81" s="49" t="n">
        <x:f>F81*'Predpoklady'!$B$7</x:f>
        <x:v>217053.54</x:v>
      </x:c>
      <x:c r="H81" s="48" t="n">
        <x:f>E81*'Predpoklady'!$B$8</x:f>
        <x:v>4560.3168000000005</x:v>
      </x:c>
      <x:c r="I81" s="49" t="n">
        <x:f>H81*'Predpoklady'!$B$9</x:f>
        <x:v>250817.42400000003</x:v>
      </x:c>
      <x:c r="J81" s="47" t="str">
        <x:v>Krátka extrapolácia</x:v>
      </x:c>
      <x:c r="K81" s="47" t="str">
        <x:v>Krátka extrapolácia</x:v>
      </x:c>
    </x:row>
    <x:row r="82">
      <x:c r="A82" s="50" t="n">
        <x:v>46235</x:v>
      </x:c>
      <x:c r="B82" s="51" t="str">
        <x:v>2026-08</x:v>
      </x:c>
      <x:c r="C82" s="52" t="n">
        <x:v>5341</x:v>
      </x:c>
      <x:c r="D82" s="53" t="n">
        <x:f>C82*'Predpoklady'!$B$5*'Predpoklady'!$B$4</x:f>
        <x:v>249958.80000000002</x:v>
      </x:c>
      <x:c r="E82" s="52" t="n">
        <x:v>4390</x:v>
      </x:c>
      <x:c r="F82" s="52" t="n">
        <x:f>E82*'Predpoklady'!$B$6</x:f>
        <x:v>3951</x:v>
      </x:c>
      <x:c r="G82" s="53" t="n">
        <x:f>F82*'Predpoklady'!$B$7</x:f>
        <x:v>217305</x:v>
      </x:c>
      <x:c r="H82" s="52" t="n">
        <x:f>E82*'Predpoklady'!$B$8</x:f>
        <x:v>4565.6</x:v>
      </x:c>
      <x:c r="I82" s="53" t="n">
        <x:f>H82*'Predpoklady'!$B$9</x:f>
        <x:v>251108.00000000003</x:v>
      </x:c>
      <x:c r="J82" s="51" t="str">
        <x:v>Krátka extrapolácia</x:v>
      </x:c>
      <x:c r="K82" s="51" t="str">
        <x:v>Krátka extrapolácia</x:v>
      </x:c>
    </x:row>
  </x:sheetData>
  <x:mergeCells>
    <x:mergeCell ref="A1:K1"/>
  </x:mergeCells>
  <x:conditionalFormatting sqref="J3:K82">
    <x:cfRule type="containsText" dxfId="0" priority="1" operator="containsText" text="Zdrojový bod"/>
    <x:cfRule type="containsText" dxfId="1" priority="2" operator="containsText" text="extrapolácia"/>
  </x:conditionalFormatting>
  <x:pageMargins left="0.7" right="0.7" top="0.75" bottom="0.75" header="0.3" footer="0.3"/>
  <x:tableParts count="1">
    <x:tablePart xmlns:r="http://schemas.openxmlformats.org/officeDocument/2006/relationships" r:id="R25539e96261d4f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74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3" t="str">
        <x:v>Predpoklady a metodika modelu</x:v>
      </x:c>
      <x:c r="B1" s="3"/>
      <x:c r="C1" s="3"/>
      <x:c r="D1" s="3"/>
      <x:c r="E1" s="3"/>
      <x:c r="F1" s="3"/>
    </x:row>
    <x:row r="3">
      <x:c r="A3" s="17" t="str">
        <x:v>Parameter</x:v>
      </x:c>
      <x:c r="B3" s="18" t="str">
        <x:v>Hodnota</x:v>
      </x:c>
      <x:c r="C3" s="19" t="str">
        <x:v>Význam</x:v>
      </x:c>
      <x:c r="D3" s="13"/>
      <x:c r="E3" s="13"/>
      <x:c r="F3" s="13"/>
    </x:row>
    <x:row r="4">
      <x:c r="A4" s="20" t="str">
        <x:v>Priemerná výmera 2i novostavby</x:v>
      </x:c>
      <x:c r="B4" s="14" t="n">
        <x:v>52</x:v>
      </x:c>
      <x:c r="C4" s="21" t="str">
        <x:v>m² interiéru</x:v>
      </x:c>
      <x:c r="D4" s="13"/>
      <x:c r="E4" s="13"/>
      <x:c r="F4" s="13"/>
    </x:row>
    <x:row r="5">
      <x:c r="A5" s="20" t="str">
        <x:v>Koeficient ceny 2i novostavby</x:v>
      </x:c>
      <x:c r="B5" s="14" t="n">
        <x:v>0.9</x:v>
      </x:c>
      <x:c r="C5" s="21" t="str">
        <x:v>2i realizačná cena/m² voči celkovej ponukovej cene novostavieb</x:v>
      </x:c>
      <x:c r="D5" s="13"/>
      <x:c r="E5" s="13"/>
      <x:c r="F5" s="13"/>
    </x:row>
    <x:row r="6">
      <x:c r="A6" s="20" t="str">
        <x:v>Koeficient pôvodný stav</x:v>
      </x:c>
      <x:c r="B6" s="14" t="n">
        <x:v>0.9</x:v>
      </x:c>
      <x:c r="C6" s="21" t="str">
        <x:v>voči priemeru sekundárneho trhu</x:v>
      </x:c>
      <x:c r="D6" s="13"/>
      <x:c r="E6" s="13"/>
      <x:c r="F6" s="13"/>
    </x:row>
    <x:row r="7">
      <x:c r="A7" s="20" t="str">
        <x:v>Priemerná výmera 2i pôvodný stav</x:v>
      </x:c>
      <x:c r="B7" s="14" t="n">
        <x:v>55</x:v>
      </x:c>
      <x:c r="C7" s="21" t="str">
        <x:v>m²</x:v>
      </x:c>
      <x:c r="D7" s="13"/>
      <x:c r="E7" s="13"/>
      <x:c r="F7" s="13"/>
    </x:row>
    <x:row r="8">
      <x:c r="A8" s="22" t="str">
        <x:v>Koeficient lepší/prerobený stav</x:v>
      </x:c>
      <x:c r="B8" s="23" t="n">
        <x:v>1.04</x:v>
      </x:c>
      <x:c r="C8" s="24" t="str">
        <x:v>voči priemeru sekundárneho trhu</x:v>
      </x:c>
      <x:c r="D8" s="13"/>
      <x:c r="E8" s="13"/>
      <x:c r="F8" s="13"/>
    </x:row>
    <x:row r="9">
      <x:c r="A9" s="13" t="str">
        <x:v>Priemerná výmera 2i prerobený byt</x:v>
      </x:c>
      <x:c r="B9" s="13" t="n">
        <x:v>55</x:v>
      </x:c>
      <x:c r="C9" s="13" t="str">
        <x:v>m²</x:v>
      </x:c>
      <x:c r="D9" s="13"/>
      <x:c r="E9" s="13"/>
      <x:c r="F9" s="13"/>
    </x:row>
    <x:row r="10">
      <x:c r="A10" s="25" t="str">
        <x:v>Metodika</x:v>
      </x:c>
      <x:c r="B10" s="26" t="str">
        <x:v>Popis</x:v>
      </x:c>
      <x:c r="C10" s="26"/>
      <x:c r="D10" s="26"/>
      <x:c r="E10" s="26"/>
      <x:c r="F10" s="27"/>
    </x:row>
    <x:row r="11" ht="34" customHeight="1">
      <x:c r="A11" s="28" t="str">
        <x:v>Rozsah</x:v>
      </x:c>
      <x:c r="B11" s="16" t="str">
        <x:v>Bratislava, ponukové ceny; novostavby s DPH a bez parkovania; január 2020 až august 2026.</x:v>
      </x:c>
      <x:c r="C11" s="16"/>
      <x:c r="D11" s="16"/>
      <x:c r="E11" s="16"/>
      <x:c r="F11" s="29"/>
    </x:row>
    <x:row r="12" ht="34" customHeight="1">
      <x:c r="A12" s="28" t="str">
        <x:v>Mesačné hodnoty</x:v>
      </x:c>
      <x:c r="B12" s="16" t="str">
        <x:v>Medzi publikovanými kvartálnymi/ročnými bodmi je použitá lineárna interpolácia. Najnovšie mesiace bez publikovaného reportu sú krátka extrapolácia.</x:v>
      </x:c>
      <x:c r="C12" s="16"/>
      <x:c r="D12" s="16"/>
      <x:c r="E12" s="16"/>
      <x:c r="F12" s="29"/>
    </x:row>
    <x:row r="13" ht="34" customHeight="1">
      <x:c r="A13" s="28" t="str">
        <x:v>Staršie byty podľa stavu</x:v>
      </x:c>
      <x:c r="B13" s="16" t="str">
        <x:v>Keďže spoľahlivá mesačná séria podľa technického stavu nie je verejne dostupná, pôvodný a prerobený stav sa odvodzuje z priemeru sekundárneho trhu koeficientmi vyššie.</x:v>
      </x:c>
      <x:c r="C13" s="16"/>
      <x:c r="D13" s="16"/>
      <x:c r="E13" s="16"/>
      <x:c r="F13" s="29"/>
    </x:row>
    <x:row r="14" ht="34" customHeight="1">
      <x:c r="A14" s="28" t="str">
        <x:v>Celkové ceny</x:v>
      </x:c>
      <x:c r="B14" s="16" t="str">
        <x:v>Sú modelovým prepočtom ceny za m² a predpokladanej priemernej výmery 2-izbového bytu. Nezahŕňajú parkovanie, pivnicu ani transakčné náklady.</x:v>
      </x:c>
      <x:c r="C14" s="16"/>
      <x:c r="D14" s="16"/>
      <x:c r="E14" s="16"/>
      <x:c r="F14" s="29"/>
    </x:row>
    <x:row r="15" ht="34" customHeight="1">
      <x:c r="A15" s="30" t="str">
        <x:v>Presnosť</x:v>
      </x:c>
      <x:c r="B15" s="31" t="str">
        <x:v>Séria je vhodná na sledovanie trendu a scenárov, nie ako znalecký posudok konkrétneho bytu. Lokalita, podlažie, balkón a kvalita rekonštrukcie môžu cenu výrazne meniť.</x:v>
      </x:c>
      <x:c r="C15" s="31"/>
      <x:c r="D15" s="31"/>
      <x:c r="E15" s="31"/>
      <x:c r="F15" s="32"/>
    </x:row>
  </x:sheetData>
  <x:mergeCells>
    <x:mergeCell ref="A1:F1"/>
    <x:mergeCell ref="A10:F10"/>
    <x:mergeCell ref="B11:F11"/>
    <x:mergeCell ref="B12:F12"/>
    <x:mergeCell ref="B13:F13"/>
    <x:mergeCell ref="B14:F14"/>
    <x:mergeCell ref="B15:F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28" hidden="0" customWidth="1"/>
    <x:col min="4" max="4" width="30" hidden="0" customWidth="1"/>
    <x:col min="5" max="5" width="76" hidden="0" customWidth="1"/>
  </x:cols>
  <x:sheetData>
    <x:row r="1">
      <x:c r="A1" s="2" t="str">
        <x:v>Zdroje a kontrolné body</x:v>
      </x:c>
      <x:c r="B1" s="2"/>
      <x:c r="C1" s="2"/>
      <x:c r="D1" s="2"/>
      <x:c r="E1" s="2"/>
    </x:row>
    <x:row r="3">
      <x:c r="A3" s="60" t="str">
        <x:v>Segment</x:v>
      </x:c>
      <x:c r="B3" s="60" t="str">
        <x:v>Obdobie</x:v>
      </x:c>
      <x:c r="C3" s="60" t="str">
        <x:v>Hodnota / informácia</x:v>
      </x:c>
      <x:c r="D3" s="60" t="str">
        <x:v>Použitie</x:v>
      </x:c>
      <x:c r="E3" s="60" t="str">
        <x:v>URL</x:v>
      </x:c>
    </x:row>
    <x:row r="4">
      <x:c r="A4" s="61" t="str">
        <x:v>Novostavby</x:v>
      </x:c>
      <x:c r="B4" s="61" t="str">
        <x:v>Q4 2020</x:v>
      </x:c>
      <x:c r="C4" s="61" t="str">
        <x:v>3 595 €/m²</x:v>
      </x:c>
      <x:c r="D4" s="61" t="str">
        <x:v>Zdrojový bod</x:v>
      </x:c>
      <x:c r="E4" s="61" t="str">
        <x:v>https://www.bencont.sk/app/cmsSiteAttachment.php?ID=313&amp;disposition=inline</x:v>
      </x:c>
    </x:row>
    <x:row r="5">
      <x:c r="A5" s="61" t="str">
        <x:v>Novostavby</x:v>
      </x:c>
      <x:c r="B5" s="61" t="str">
        <x:v>Q4 2021</x:v>
      </x:c>
      <x:c r="C5" s="61" t="str">
        <x:v>4 256 €/m²</x:v>
      </x:c>
      <x:c r="D5" s="61" t="str">
        <x:v>Zdrojový bod</x:v>
      </x:c>
      <x:c r="E5" s="61" t="str">
        <x:v>https://www.bencont.sk/app/cmsSiteAttachment.php?ID=377&amp;disposition=inline</x:v>
      </x:c>
    </x:row>
    <x:row r="6">
      <x:c r="A6" s="61" t="str">
        <x:v>Novostavby</x:v>
      </x:c>
      <x:c r="B6" s="61" t="str">
        <x:v>Q4 2022</x:v>
      </x:c>
      <x:c r="C6" s="61" t="str">
        <x:v>približne 4 900 €/m²</x:v>
      </x:c>
      <x:c r="D6" s="61" t="str">
        <x:v>Zdrojový bod</x:v>
      </x:c>
      <x:c r="E6" s="61" t="str">
        <x:v>https://www.archinfo.sk/diskusia/blog/architektura-vseobecne/v-bratislave-sa-v-roku-2022-predalo-najmenej-bytov-od-financnej-krizy-rast-cien-sa-zastavil.html</x:v>
      </x:c>
    </x:row>
    <x:row r="7">
      <x:c r="A7" s="61" t="str">
        <x:v>Novostavby</x:v>
      </x:c>
      <x:c r="B7" s="61" t="str">
        <x:v>Q4 2023</x:v>
      </x:c>
      <x:c r="C7" s="61" t="str">
        <x:v>5 136 €/m²</x:v>
      </x:c>
      <x:c r="D7" s="61" t="str">
        <x:v>Zdrojový bod</x:v>
      </x:c>
      <x:c r="E7" s="61" t="str">
        <x:v>https://www.event2all.sk/2024/01/23/v-roku-2023-sa-v-bratislave-predalo-najmenej-novostavieb-od-hospodarskej-krizy-nova-ponuka-vsak-bola-rovnako-nizka-a-ceny-preto-stagnovali/</x:v>
      </x:c>
    </x:row>
    <x:row r="8">
      <x:c r="A8" s="61" t="str">
        <x:v>Novostavby</x:v>
      </x:c>
      <x:c r="B8" s="61" t="str">
        <x:v>Q4 2024</x:v>
      </x:c>
      <x:c r="C8" s="61" t="str">
        <x:v>5 013 €/m²</x:v>
      </x:c>
      <x:c r="D8" s="61" t="str">
        <x:v>Zdrojový bod</x:v>
      </x:c>
      <x:c r="E8" s="61" t="str">
        <x:v>https://www.bencont.sk/blog/11/ceny-novostavieb-v-bratislave-ostali-v-roku-2024-nezmenene-predaj-vyrazne-prekonal-predosly-rok-</x:v>
      </x:c>
    </x:row>
    <x:row r="9">
      <x:c r="A9" s="61" t="str">
        <x:v>Novostavby</x:v>
      </x:c>
      <x:c r="B9" s="61" t="str">
        <x:v>Q1–Q4 2025</x:v>
      </x:c>
      <x:c r="C9" s="61" t="str">
        <x:v>5 213 až 5 302 €/m²</x:v>
      </x:c>
      <x:c r="D9" s="61" t="str">
        <x:v>Zdrojové body</x:v>
      </x:c>
      <x:c r="E9" s="61" t="str">
        <x:v>https://www.bencont.sk/blog/29/predaj-bytov-v-bratislave-sa-zastabilizoval-tlaky-na-zmenu-cien-zostavaju-obmedzene</x:v>
      </x:c>
    </x:row>
    <x:row r="10">
      <x:c r="A10" s="61" t="str">
        <x:v>Novostavby</x:v>
      </x:c>
      <x:c r="B10" s="61" t="str">
        <x:v>Q1 2026</x:v>
      </x:c>
      <x:c r="C10" s="61" t="str">
        <x:v>5 384,32 €/m²</x:v>
      </x:c>
      <x:c r="D10" s="61" t="str">
        <x:v>Zdrojový bod</x:v>
      </x:c>
      <x:c r="E10" s="61" t="str">
        <x:v>https://www.bratislavskenoviny.sk/aktuality/88336-presne-cisla-viete-kolko-aktualne-zaplatite-v-jednotlivych-okresoch-bratislavy-za-byt-v-novostavbe</x:v>
      </x:c>
    </x:row>
    <x:row r="11">
      <x:c r="A11" s="61" t="str">
        <x:v>Novostavby</x:v>
      </x:c>
      <x:c r="B11" s="61" t="str">
        <x:v>Q2 2026</x:v>
      </x:c>
      <x:c r="C11" s="61" t="str">
        <x:v>5 341 €/m²</x:v>
      </x:c>
      <x:c r="D11" s="61" t="str">
        <x:v>Najnovší zdrojový bod</x:v>
      </x:c>
      <x:c r="E11" s="61" t="str">
        <x:v>https://www.bencont.sk/blog/61/trh-s-bratislavskymi-novostavbami-preslapuje-predaj-ostava-obmedzeny</x:v>
      </x:c>
    </x:row>
    <x:row r="12">
      <x:c r="A12" s="61" t="str">
        <x:v>2i novostavba</x:v>
      </x:c>
      <x:c r="B12" s="61" t="str">
        <x:v>Q1 2025</x:v>
      </x:c>
      <x:c r="C12" s="61" t="str">
        <x:v>49,82 m²; 242 824 €</x:v>
      </x:c>
      <x:c r="D12" s="61" t="str">
        <x:v>Kalibrácia výmery a koeficientu</x:v>
      </x:c>
      <x:c r="E12" s="61" t="str">
        <x:v>https://www.bencont.sk/app/cmsSiteAttachment.php?ID=640&amp;disposition=inline</x:v>
      </x:c>
    </x:row>
    <x:row r="13">
      <x:c r="A13" s="61" t="str">
        <x:v>Sekundárny trh</x:v>
      </x:c>
      <x:c r="B13" s="61" t="str">
        <x:v>Q2 2020</x:v>
      </x:c>
      <x:c r="C13" s="61" t="str">
        <x:v>2 783 €/m²</x:v>
      </x:c>
      <x:c r="D13" s="61" t="str">
        <x:v>Zdrojový bod</x:v>
      </x:c>
      <x:c r="E13" s="61" t="str">
        <x:v>https://www.event2all.sk/2020/08/19/bencont-prepad-cien-sa-nepotvrdil-byty-z-druhej-ruky-v-bratislave-mierne-zdrazeli-cena-priemerneho-najomneho-vsak-klesla/</x:v>
      </x:c>
    </x:row>
    <x:row r="14">
      <x:c r="A14" s="61" t="str">
        <x:v>Sekundárny trh</x:v>
      </x:c>
      <x:c r="B14" s="61" t="str">
        <x:v>Q4 2021</x:v>
      </x:c>
      <x:c r="C14" s="61" t="str">
        <x:v>3 287 €/m²</x:v>
      </x:c>
      <x:c r="D14" s="61" t="str">
        <x:v>Zdrojový bod</x:v>
      </x:c>
      <x:c r="E14" s="61" t="str">
        <x:v>https://www.finsider.sk/rychle-spravy/cena-prenajmu-bytu-v-bratislave/</x:v>
      </x:c>
    </x:row>
    <x:row r="15">
      <x:c r="A15" s="61" t="str">
        <x:v>Sekundárny trh</x:v>
      </x:c>
      <x:c r="B15" s="61" t="str">
        <x:v>Q4 2022</x:v>
      </x:c>
      <x:c r="C15" s="61" t="str">
        <x:v>3 768 €/m²</x:v>
      </x:c>
      <x:c r="D15" s="61" t="str">
        <x:v>Zdrojový bod</x:v>
      </x:c>
      <x:c r="E15" s="61" t="str">
        <x:v>https://www.bratislavskenoviny.sk/aktuality/75469-velka-analyza-za-kolko-si-aktualne-kupite-v-bratislave-byt-a-za-kolko-si-ho-prenajmete</x:v>
      </x:c>
    </x:row>
    <x:row r="16">
      <x:c r="A16" s="61" t="str">
        <x:v>Sekundárny trh</x:v>
      </x:c>
      <x:c r="B16" s="61" t="str">
        <x:v>Q4 2023</x:v>
      </x:c>
      <x:c r="C16" s="61" t="str">
        <x:v>3 512 €/m²</x:v>
      </x:c>
      <x:c r="D16" s="61" t="str">
        <x:v>Zdrojový bod</x:v>
      </x:c>
      <x:c r="E16" s="61" t="str">
        <x:v>https://www.bencont.sk/app/cmsSiteAttachment.php?ID=538&amp;disposition=inline</x:v>
      </x:c>
    </x:row>
    <x:row r="17">
      <x:c r="A17" s="61" t="str">
        <x:v>Sekundárny trh</x:v>
      </x:c>
      <x:c r="B17" s="61" t="str">
        <x:v>Q4 2024</x:v>
      </x:c>
      <x:c r="C17" s="61" t="str">
        <x:v>3 821,67 €/m²</x:v>
      </x:c>
      <x:c r="D17" s="61" t="str">
        <x:v>Zdrojový bod</x:v>
      </x:c>
      <x:c r="E17" s="61" t="str">
        <x:v>https://www.bencont.sk/blog/16/znizujuce-sa-uroky-podporuju-aktivitu-na-realitnom-trhu-ceny-starsich-bytov-vzrastli-aj-na-konci-roka</x:v>
      </x:c>
    </x:row>
    <x:row r="18">
      <x:c r="A18" s="61" t="str">
        <x:v>Sekundárny trh</x:v>
      </x:c>
      <x:c r="B18" s="61" t="str">
        <x:v>Q4 2025</x:v>
      </x:c>
      <x:c r="C18" s="61" t="str">
        <x:v>4 222,27 €/m²</x:v>
      </x:c>
      <x:c r="D18" s="61" t="str">
        <x:v>Zdrojový bod</x:v>
      </x:c>
      <x:c r="E18" s="61" t="str">
        <x:v>https://www.bencont.sk/blog/30/ceny-starsich-bytov-pokracuju-v-raste-aj-vdaka-investicnemu-dopytu</x:v>
      </x:c>
    </x:row>
    <x:row r="19">
      <x:c r="A19" s="61" t="str">
        <x:v>Sekundárny trh</x:v>
      </x:c>
      <x:c r="B19" s="61" t="str">
        <x:v>Q1 2026</x:v>
      </x:c>
      <x:c r="C19" s="61" t="str">
        <x:v>4 350,86 €/m²</x:v>
      </x:c>
      <x:c r="D19" s="61" t="str">
        <x:v>Najnovší zdrojový bod</x:v>
      </x:c>
      <x:c r="E19" s="61" t="str">
        <x:v>https://www.bencont.sk/blog/47/starsie-byty-v-bratislave-zdrazeli-takmer-o-12--najomne-rastie-uz-len-minimalne</x:v>
      </x:c>
    </x:row>
    <x:row r="20">
      <x:c r="A20" s="62" t="str">
        <x:v>Staršie 2i byty</x:v>
      </x:c>
      <x:c r="B20" s="62" t="str">
        <x:v>máj 2026</x:v>
      </x:c>
      <x:c r="C20" s="62" t="str">
        <x:v>4 316 €/m²</x:v>
      </x:c>
      <x:c r="D20" s="62" t="str">
        <x:v>Kontrola úrovne modelu</x:v>
      </x:c>
      <x:c r="E20" s="62" t="str">
        <x:v>https://www.realitnaunia.sk/realitny-barometer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59c7fef0a214770"/>
  </x:tableParts>
</x:worksheet>
</file>