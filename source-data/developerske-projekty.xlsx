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e2623d11a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hľad" sheetId="1" r:id="R61232cc4375c4dbc"/>
    <x:sheet xmlns:r="http://schemas.openxmlformats.org/officeDocument/2006/relationships" name="Byty" sheetId="2" r:id="R246a256b2ea743b3"/>
    <x:sheet xmlns:r="http://schemas.openxmlformats.org/officeDocument/2006/relationships" name="Zmeny" sheetId="3" r:id="Reb07d59cc5974fbc"/>
    <x:sheet xmlns:r="http://schemas.openxmlformats.org/officeDocument/2006/relationships" name="Náročnosť" sheetId="4" r:id="R411574875e8349f9"/>
    <x:sheet xmlns:r="http://schemas.openxmlformats.org/officeDocument/2006/relationships" name="Návod" sheetId="5" r:id="R16857d696078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0.0"/>
    <x:numFmt numFmtId="202" formatCode="0"/>
    <x:numFmt numFmtId="203" formatCode="0.00"/>
    <x:numFmt numFmtId="204" formatCode="#,##0 &quot;€&quot;"/>
    <x:numFmt numFmtId="205" formatCode="#,##0 &quot;€/m²&quot;"/>
    <x:numFmt numFmtId="206" formatCode="#,##0"/>
  </x:numFmts>
  <x:fonts count="10">
    <x:font>
      <x:sz val="11"/>
      <x:name val="Carlito"/>
    </x:font>
    <x:font>
      <x:b/>
      <x:sz val="18"/>
      <x:color rgb="FFFFFFFF"/>
      <x:name val="Aptos Display"/>
    </x:font>
    <x:font>
      <x:sz val="10"/>
      <x:color rgb="FF49657A"/>
      <x:name val="Aptos"/>
    </x:font>
    <x:font>
      <x:b/>
      <x:sz val="11"/>
      <x:color rgb="FFFFFFFF"/>
      <x:name val="Aptos"/>
    </x:font>
    <x:font>
      <x:b/>
      <x:sz val="10"/>
      <x:color rgb="FF38536A"/>
      <x:name val="Aptos"/>
    </x:font>
    <x:font>
      <x:b/>
      <x:sz val="22"/>
      <x:color rgb="FF16324F"/>
      <x:name val="Aptos Display"/>
    </x:font>
    <x:font>
      <x:b/>
      <x:sz val="11"/>
      <x:color rgb="FFFFFFFF"/>
      <x:name val="Carlito"/>
    </x:font>
    <x:font>
      <x:i/>
      <x:sz val="11"/>
      <x:color rgb="FF5B6573"/>
      <x:name val="Carlito"/>
    </x:font>
    <x:font>
      <x:b/>
      <x:sz val="11"/>
      <x:name val="Carlito"/>
    </x:font>
    <x:font>
      <x:b/>
      <x:sz val="11"/>
      <x:color rgb="FF38536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7"/>
      </x:patternFill>
    </x:fill>
    <x:fill>
      <x:patternFill patternType="solid">
        <x:fgColor rgb="FF246B8E"/>
      </x:patternFill>
    </x:fill>
    <x:fill>
      <x:patternFill patternType="solid">
        <x:fgColor rgb="FFEDF5FA"/>
      </x:patternFill>
    </x:fill>
    <x:fill>
      <x:patternFill patternType="solid">
        <x:fgColor rgb="FFE7F4E4"/>
      </x:patternFill>
    </x:fill>
    <x:fill>
      <x:patternFill patternType="solid">
        <x:fgColor rgb="FFFFF4D6"/>
      </x:patternFill>
    </x:fill>
    <x:fill>
      <x:patternFill patternType="solid">
        <x:fgColor rgb="FFF0F0F0"/>
      </x:patternFill>
    </x:fill>
    <x:fill>
      <x:patternFill patternType="solid">
        <x:fgColor rgb="FFF7F9FB"/>
      </x:patternFill>
    </x:fill>
    <x:fill>
      <x:patternFill patternType="solid">
        <x:fgColor rgb="FF8A4F2D"/>
      </x:patternFill>
    </x:fill>
  </x:fills>
  <x:borders count="11">
    <x:border/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C9D6E2"/>
      </x:left>
      <x:top style="thin">
        <x:color rgb="FFC9D6E2"/>
      </x:top>
    </x:border>
    <x:border>
      <x:right style="thin">
        <x:color rgb="FFC9D6E2"/>
      </x:right>
      <x:top style="thin">
        <x:color rgb="FFC9D6E2"/>
      </x:top>
    </x:border>
    <x:border>
      <x:left style="thin">
        <x:color rgb="FFC9D6E2"/>
      </x:left>
      <x:bottom style="thin">
        <x:color rgb="FFC9D6E2"/>
      </x:bottom>
    </x:border>
    <x:border>
      <x:right style="thin">
        <x:color rgb="FFC9D6E2"/>
      </x:right>
      <x:bottom style="thin">
        <x:color rgb="FFC9D6E2"/>
      </x:bottom>
    </x:border>
    <x:border>
      <x:top style="thin">
        <x:color rgb="FFC9D6E2"/>
      </x:top>
    </x:border>
    <x:border>
      <x:left style="thin">
        <x:color rgb="FFC9D6E2"/>
      </x:left>
    </x:border>
    <x:border>
      <x:right style="thin">
        <x:color rgb="FFC9D6E2"/>
      </x:right>
    </x:border>
    <x:border>
      <x:bottom style="thin">
        <x:color rgb="FFC9D6E2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6" fontId="5" fillId="5" borderId="3" xfId="0" applyNumberFormat="1" applyFont="1" applyFill="1" applyBorder="1"/>
    <x:xf numFmtId="206" fontId="5" fillId="5" borderId="4" xfId="0" applyNumberFormat="1" applyFont="1" applyFill="1" applyBorder="1"/>
    <x:xf numFmtId="206" fontId="5" fillId="5" borderId="5" xfId="0" applyNumberFormat="1" applyFont="1" applyFill="1" applyBorder="1"/>
    <x:xf numFmtId="206" fontId="5" fillId="5" borderId="6" xfId="0" applyNumberFormat="1" applyFont="1" applyFill="1" applyBorder="1"/>
    <x:xf numFmtId="206" fontId="5" fillId="5" borderId="3" xfId="0" applyNumberFormat="1" applyFont="1" applyFill="1" applyBorder="1" applyAlignment="1">
      <x:alignment horizontal="center"/>
    </x:xf>
    <x:xf numFmtId="206" fontId="5" fillId="5" borderId="4" xfId="0" applyNumberFormat="1" applyFont="1" applyFill="1" applyBorder="1" applyAlignment="1">
      <x:alignment horizontal="center"/>
    </x:xf>
    <x:xf numFmtId="206" fontId="5" fillId="5" borderId="5" xfId="0" applyNumberFormat="1" applyFont="1" applyFill="1" applyBorder="1" applyAlignment="1">
      <x:alignment horizontal="center"/>
    </x:xf>
    <x:xf numFmtId="206" fontId="5" fillId="5" borderId="6" xfId="0" applyNumberFormat="1" applyFont="1" applyFill="1" applyBorder="1" applyAlignment="1">
      <x:alignment horizontal="center"/>
    </x:xf>
    <x:xf numFmtId="206" fontId="5" fillId="5" borderId="3" xfId="0" applyNumberFormat="1" applyFont="1" applyFill="1" applyBorder="1" applyAlignment="1">
      <x:alignment horizontal="center" vertical="center"/>
    </x:xf>
    <x:xf numFmtId="206" fontId="5" fillId="5" borderId="4" xfId="0" applyNumberFormat="1" applyFont="1" applyFill="1" applyBorder="1" applyAlignment="1">
      <x:alignment horizontal="center" vertical="center"/>
    </x:xf>
    <x:xf numFmtId="206" fontId="5" fillId="5" borderId="5" xfId="0" applyNumberFormat="1" applyFont="1" applyFill="1" applyBorder="1" applyAlignment="1">
      <x:alignment horizontal="center" vertical="center"/>
    </x:xf>
    <x:xf numFmtId="206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206" fontId="5" fillId="6" borderId="3" xfId="0" applyNumberFormat="1" applyFont="1" applyFill="1" applyBorder="1"/>
    <x:xf numFmtId="206" fontId="5" fillId="6" borderId="4" xfId="0" applyNumberFormat="1" applyFont="1" applyFill="1" applyBorder="1"/>
    <x:xf numFmtId="206" fontId="5" fillId="6" borderId="5" xfId="0" applyNumberFormat="1" applyFont="1" applyFill="1" applyBorder="1"/>
    <x:xf numFmtId="206" fontId="5" fillId="6" borderId="6" xfId="0" applyNumberFormat="1" applyFont="1" applyFill="1" applyBorder="1"/>
    <x:xf numFmtId="206" fontId="5" fillId="6" borderId="3" xfId="0" applyNumberFormat="1" applyFont="1" applyFill="1" applyBorder="1" applyAlignment="1">
      <x:alignment horizontal="center"/>
    </x:xf>
    <x:xf numFmtId="206" fontId="5" fillId="6" borderId="4" xfId="0" applyNumberFormat="1" applyFont="1" applyFill="1" applyBorder="1" applyAlignment="1">
      <x:alignment horizontal="center"/>
    </x:xf>
    <x:xf numFmtId="206" fontId="5" fillId="6" borderId="5" xfId="0" applyNumberFormat="1" applyFont="1" applyFill="1" applyBorder="1" applyAlignment="1">
      <x:alignment horizontal="center"/>
    </x:xf>
    <x:xf numFmtId="206" fontId="5" fillId="6" borderId="6" xfId="0" applyNumberFormat="1" applyFont="1" applyFill="1" applyBorder="1" applyAlignment="1">
      <x:alignment horizontal="center"/>
    </x:xf>
    <x:xf numFmtId="206" fontId="5" fillId="6" borderId="3" xfId="0" applyNumberFormat="1" applyFont="1" applyFill="1" applyBorder="1" applyAlignment="1">
      <x:alignment horizontal="center" vertical="center"/>
    </x:xf>
    <x:xf numFmtId="206" fontId="5" fillId="6" borderId="4" xfId="0" applyNumberFormat="1" applyFont="1" applyFill="1" applyBorder="1" applyAlignment="1">
      <x:alignment horizontal="center" vertical="center"/>
    </x:xf>
    <x:xf numFmtId="206" fontId="5" fillId="6" borderId="5" xfId="0" applyNumberFormat="1" applyFont="1" applyFill="1" applyBorder="1" applyAlignment="1">
      <x:alignment horizontal="center" vertical="center"/>
    </x:xf>
    <x:xf numFmtId="206" fontId="5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206" fontId="5" fillId="7" borderId="3" xfId="0" applyNumberFormat="1" applyFont="1" applyFill="1" applyBorder="1"/>
    <x:xf numFmtId="206" fontId="5" fillId="7" borderId="4" xfId="0" applyNumberFormat="1" applyFont="1" applyFill="1" applyBorder="1"/>
    <x:xf numFmtId="206" fontId="5" fillId="7" borderId="5" xfId="0" applyNumberFormat="1" applyFont="1" applyFill="1" applyBorder="1"/>
    <x:xf numFmtId="206" fontId="5" fillId="7" borderId="6" xfId="0" applyNumberFormat="1" applyFont="1" applyFill="1" applyBorder="1"/>
    <x:xf numFmtId="206" fontId="5" fillId="7" borderId="3" xfId="0" applyNumberFormat="1" applyFont="1" applyFill="1" applyBorder="1" applyAlignment="1">
      <x:alignment horizontal="center"/>
    </x:xf>
    <x:xf numFmtId="206" fontId="5" fillId="7" borderId="4" xfId="0" applyNumberFormat="1" applyFont="1" applyFill="1" applyBorder="1" applyAlignment="1">
      <x:alignment horizontal="center"/>
    </x:xf>
    <x:xf numFmtId="206" fontId="5" fillId="7" borderId="5" xfId="0" applyNumberFormat="1" applyFont="1" applyFill="1" applyBorder="1" applyAlignment="1">
      <x:alignment horizontal="center"/>
    </x:xf>
    <x:xf numFmtId="206" fontId="5" fillId="7" borderId="6" xfId="0" applyNumberFormat="1" applyFont="1" applyFill="1" applyBorder="1" applyAlignment="1">
      <x:alignment horizontal="center"/>
    </x:xf>
    <x:xf numFmtId="206" fontId="5" fillId="7" borderId="3" xfId="0" applyNumberFormat="1" applyFont="1" applyFill="1" applyBorder="1" applyAlignment="1">
      <x:alignment horizontal="center" vertical="center"/>
    </x:xf>
    <x:xf numFmtId="206" fontId="5" fillId="7" borderId="4" xfId="0" applyNumberFormat="1" applyFont="1" applyFill="1" applyBorder="1" applyAlignment="1">
      <x:alignment horizontal="center" vertical="center"/>
    </x:xf>
    <x:xf numFmtId="206" fontId="5" fillId="7" borderId="5" xfId="0" applyNumberFormat="1" applyFont="1" applyFill="1" applyBorder="1" applyAlignment="1">
      <x:alignment horizontal="center" vertical="center"/>
    </x:xf>
    <x:xf numFmtId="206" fontId="5" fillId="7" borderId="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2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206" fontId="5" fillId="8" borderId="3" xfId="0" applyNumberFormat="1" applyFont="1" applyFill="1" applyBorder="1"/>
    <x:xf numFmtId="206" fontId="5" fillId="8" borderId="4" xfId="0" applyNumberFormat="1" applyFont="1" applyFill="1" applyBorder="1"/>
    <x:xf numFmtId="206" fontId="5" fillId="8" borderId="5" xfId="0" applyNumberFormat="1" applyFont="1" applyFill="1" applyBorder="1"/>
    <x:xf numFmtId="206" fontId="5" fillId="8" borderId="6" xfId="0" applyNumberFormat="1" applyFont="1" applyFill="1" applyBorder="1"/>
    <x:xf numFmtId="206" fontId="5" fillId="8" borderId="3" xfId="0" applyNumberFormat="1" applyFont="1" applyFill="1" applyBorder="1" applyAlignment="1">
      <x:alignment horizontal="center"/>
    </x:xf>
    <x:xf numFmtId="206" fontId="5" fillId="8" borderId="4" xfId="0" applyNumberFormat="1" applyFont="1" applyFill="1" applyBorder="1" applyAlignment="1">
      <x:alignment horizontal="center"/>
    </x:xf>
    <x:xf numFmtId="206" fontId="5" fillId="8" borderId="5" xfId="0" applyNumberFormat="1" applyFont="1" applyFill="1" applyBorder="1" applyAlignment="1">
      <x:alignment horizontal="center"/>
    </x:xf>
    <x:xf numFmtId="206" fontId="5" fillId="8" borderId="6" xfId="0" applyNumberFormat="1" applyFont="1" applyFill="1" applyBorder="1" applyAlignment="1">
      <x:alignment horizontal="center"/>
    </x:xf>
    <x:xf numFmtId="206" fontId="5" fillId="8" borderId="3" xfId="0" applyNumberFormat="1" applyFont="1" applyFill="1" applyBorder="1" applyAlignment="1">
      <x:alignment horizontal="center" vertical="center"/>
    </x:xf>
    <x:xf numFmtId="206" fontId="5" fillId="8" borderId="4" xfId="0" applyNumberFormat="1" applyFont="1" applyFill="1" applyBorder="1" applyAlignment="1">
      <x:alignment horizontal="center" vertical="center"/>
    </x:xf>
    <x:xf numFmtId="206" fontId="5" fillId="8" borderId="5" xfId="0" applyNumberFormat="1" applyFont="1" applyFill="1" applyBorder="1" applyAlignment="1">
      <x:alignment horizontal="center" vertical="center"/>
    </x:xf>
    <x:xf numFmtId="206" fontId="5" fillId="8" borderId="6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7" xfId="0" applyNumberFormat="1" applyFont="1" applyFill="1" applyBorder="1"/>
    <x:xf numFmtId="0" fontId="6" fillId="4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/>
    <x:xf numFmtId="206" fontId="0" fillId="0" borderId="0" xfId="0" applyNumberFormat="1" applyFont="1" applyFill="1" applyBorder="1"/>
    <x:xf numFmtId="206" fontId="0" fillId="0" borderId="9" xfId="0" applyNumberFormat="1" applyFont="1" applyFill="1" applyBorder="1"/>
    <x:xf numFmtId="206" fontId="0" fillId="0" borderId="10" xfId="0" applyNumberFormat="1" applyFont="1" applyFill="1" applyBorder="1"/>
    <x:xf numFmtId="206" fontId="0" fillId="0" borderId="6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2" fontId="8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</x:cellXfs>
  <x:cellStyles count="1">
    <x:cellStyle name="Normal" xfId="0"/>
  </x:cellStyles>
  <x:dxfs count="1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3432cf7bd4f27" /><Relationship Type="http://schemas.openxmlformats.org/officeDocument/2006/relationships/theme" Target="/xl/theme/theme1.xml" Id="Re15d37ca16604ff3" /><Relationship Type="http://schemas.openxmlformats.org/officeDocument/2006/relationships/sharedStrings" Target="/xl/sharedStrings.xml" Id="R902c1643d0c54e3a" /><Relationship Type="http://schemas.openxmlformats.org/officeDocument/2006/relationships/worksheet" Target="/xl/worksheets/sheet1.xml" Id="R61232cc4375c4dbc" /><Relationship Type="http://schemas.openxmlformats.org/officeDocument/2006/relationships/worksheet" Target="/xl/worksheets/sheet2.xml" Id="R246a256b2ea743b3" /><Relationship Type="http://schemas.openxmlformats.org/officeDocument/2006/relationships/worksheet" Target="/xl/worksheets/sheet3.xml" Id="Reb07d59cc5974fbc" /><Relationship Type="http://schemas.openxmlformats.org/officeDocument/2006/relationships/worksheet" Target="/xl/worksheets/sheet4.xml" Id="R411574875e8349f9" /><Relationship Type="http://schemas.openxmlformats.org/officeDocument/2006/relationships/worksheet" Target="/xl/worksheets/sheet5.xml" Id="R16857d6960784249" /></Relationships>
</file>

<file path=xl/tables/table1.xml><?xml version="1.0" encoding="utf-8"?>
<x:table xmlns:x="http://schemas.openxmlformats.org/spreadsheetml/2006/main" id="1" name="DeveloperApartments" displayName="DeveloperApartments" ref="A4:AC1753" headerRowCount="1" totalsRowCount="0" totalsRowShown="0">
  <x:autoFilter ref="A4:AC1753"/>
  <x:tableColumns count="29">
    <x:tableColumn id="1" name="Projekt"/>
    <x:tableColumn id="2" name="Označenie bytu"/>
    <x:tableColumn id="3" name="Stav"/>
    <x:tableColumn id="4" name="Stav sledovania"/>
    <x:tableColumn id="5" name="Pôvod ponuky"/>
    <x:tableColumn id="6" name="Zaradené od"/>
    <x:tableColumn id="7" name="Typ jednotky"/>
    <x:tableColumn id="8" name="Počet izieb"/>
    <x:tableColumn id="9" name="Poschodie"/>
    <x:tableColumn id="10" name="Budova"/>
    <x:tableColumn id="11" name="Interiér m²"/>
    <x:tableColumn id="12" name="Balkón m²"/>
    <x:tableColumn id="13" name="Loggia m²"/>
    <x:tableColumn id="14" name="Terasa m²"/>
    <x:tableColumn id="15" name="Záhrada m²"/>
    <x:tableColumn id="16" name="Exteriér m²"/>
    <x:tableColumn id="17" name="Celková plocha m²"/>
    <x:tableColumn id="18" name="Aktuálna cena"/>
    <x:tableColumn id="19" name="Cenníková cena"/>
    <x:tableColumn id="20" name="Zľavnená cena"/>
    <x:tableColumn id="21" name="Cena za m² interiéru"/>
    <x:tableColumn id="22" name="Developer"/>
    <x:tableColumn id="23" name="Mestská časť"/>
    <x:tableColumn id="24" name="Stav na webe"/>
    <x:tableColumn id="25" name="Zdroj"/>
    <x:tableColumn id="26" name="Prvý záznam"/>
    <x:tableColumn id="27" name="Posledné videnie"/>
    <x:tableColumn id="28" name="Posledná kontrola"/>
    <x:tableColumn id="29" name="Technické ID projekt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erEvents" displayName="DeveloperEvents" ref="A4:L97" headerRowCount="1" totalsRowCount="0" totalsRowShown="0">
  <x:autoFilter ref="A4:L97"/>
  <x:tableColumns count="12">
    <x:tableColumn id="1" name="Zistené"/>
    <x:tableColumn id="2" name="Projekt"/>
    <x:tableColumn id="3" name="Označenie bytu"/>
    <x:tableColumn id="4" name="Typ zmeny"/>
    <x:tableColumn id="5" name="Pôvodný stav"/>
    <x:tableColumn id="6" name="Nový stav"/>
    <x:tableColumn id="7" name="Pôvodná cena"/>
    <x:tableColumn id="8" name="Nová cena"/>
    <x:tableColumn id="9" name="Zmena ceny"/>
    <x:tableColumn id="10" name="Istota"/>
    <x:tableColumn id="11" name="Zdroj"/>
    <x:tableColumn id="12" name="ID udalosti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craperDifficulty" displayName="ScraperDifficulty" ref="A4:H15" headerRowCount="1" totalsRowCount="0" totalsRowShown="0">
  <x:autoFilter ref="A4:H15"/>
  <x:tableColumns count="8">
    <x:tableColumn id="1" name="Projekt"/>
    <x:tableColumn id="2" name="Developer"/>
    <x:tableColumn id="3" name="Skóre"/>
    <x:tableColumn id="4" name="Hodnotenie"/>
    <x:tableColumn id="5" name="Zdroj dát"/>
    <x:tableColumn id="6" name="Prečo"/>
    <x:tableColumn id="7" name="Riziko údržby"/>
    <x:tableColumn id="8" name="Odhad nového parse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26c006c3f41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1f765628534b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73c4371f94d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3" t="str">
        <x:v>Developerské projekty – prehľad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Súhrn sa počíta z listu Byty a aktualizuje sa pri obnove Excelu.</x:v>
      </x:c>
      <x:c r="B2" s="6"/>
      <x:c r="C2" s="6"/>
      <x:c r="D2" s="6"/>
      <x:c r="E2" s="6"/>
      <x:c r="F2" s="6"/>
      <x:c r="G2" s="6"/>
      <x:c r="H2" s="6"/>
    </x:row>
    <x:row r="4">
      <x:c r="A4" s="23" t="str">
        <x:v>Sledované jednotky</x:v>
      </x:c>
      <x:c r="B4" s="24"/>
      <x:c r="C4" s="48" t="str">
        <x:v>Voľné</x:v>
      </x:c>
      <x:c r="D4" s="49"/>
      <x:c r="E4" s="73" t="str">
        <x:v>Rezervované</x:v>
      </x:c>
      <x:c r="F4" s="74"/>
      <x:c r="G4" s="98" t="str">
        <x:v>Predané</x:v>
      </x:c>
      <x:c r="H4" s="99"/>
    </x:row>
    <x:row r="5" ht="34" customHeight="1">
      <x:c r="A5" s="38" t="n">
        <x:f>COUNTA('Byty'!$B$5:$B$5004)</x:f>
        <x:v>1749</x:v>
      </x:c>
      <x:c r="B5" s="39"/>
      <x:c r="C5" s="63" t="n">
        <x:f>COUNTIF('Byty'!$C$5:$C$5004,"available")</x:f>
        <x:v>608</x:v>
      </x:c>
      <x:c r="D5" s="64"/>
      <x:c r="E5" s="88" t="n">
        <x:f>COUNTIF('Byty'!$C$5:$C$5004,"reserved")+COUNTIF('Byty'!$C$5:$C$5004,"pre_reserved")</x:f>
        <x:v>178</x:v>
      </x:c>
      <x:c r="F5" s="89"/>
      <x:c r="G5" s="113" t="n">
        <x:f>COUNTIF('Byty'!$C$5:$C$5004,"sold")</x:f>
        <x:v>694</x:v>
      </x:c>
      <x:c r="H5" s="114"/>
    </x:row>
    <x:row r="6" ht="34" customHeight="1">
      <x:c r="A6" s="40"/>
      <x:c r="B6" s="41"/>
      <x:c r="C6" s="65"/>
      <x:c r="D6" s="66"/>
      <x:c r="E6" s="90"/>
      <x:c r="F6" s="91"/>
      <x:c r="G6" s="115"/>
      <x:c r="H6" s="116"/>
    </x:row>
    <x:row r="9" ht="28" customHeight="1">
      <x:c r="A9" s="118" t="str">
        <x:v>Projekt</x:v>
      </x:c>
      <x:c r="B9" s="119" t="str">
        <x:v>Spolu</x:v>
      </x:c>
      <x:c r="C9" s="119" t="str">
        <x:v>Voľné</x:v>
      </x:c>
      <x:c r="D9" s="119" t="str">
        <x:v>Rezervované</x:v>
      </x:c>
      <x:c r="E9" s="119" t="str">
        <x:v>Predané</x:v>
      </x:c>
      <x:c r="F9" s="120" t="str">
        <x:v>S cenou</x:v>
      </x:c>
    </x:row>
    <x:row r="10" ht="24" customHeight="1">
      <x:c r="A10" s="121" t="str">
        <x:v>ALVY</x:v>
      </x:c>
      <x:c r="B10" s="127" t="n">
        <x:f>COUNTIF('Byty'!$A$5:$A$5004,A10)</x:f>
        <x:v>206</x:v>
      </x:c>
      <x:c r="C10" s="127" t="n">
        <x:f>COUNTIFS('Byty'!$A$5:$A$5004,A10,'Byty'!$C$5:$C$5004,"available")</x:f>
        <x:v>47</x:v>
      </x:c>
      <x:c r="D10" s="127" t="n">
        <x:f>COUNTIFS('Byty'!$A$5:$A$5004,A10,'Byty'!$C$5:$C$5004,"reserved")+COUNTIFS('Byty'!$A$5:$A$5004,A10,'Byty'!$C$5:$C$5004,"pre_reserved")</x:f>
        <x:v>17</x:v>
      </x:c>
      <x:c r="E10" s="127" t="n">
        <x:f>COUNTIFS('Byty'!$A$5:$A$5004,A10,'Byty'!$C$5:$C$5004,"sold")</x:f>
        <x:v>72</x:v>
      </x:c>
      <x:c r="F10" s="128" t="n">
        <x:f>COUNTIFS('Byty'!$A$5:$A$5004,A10,'Byty'!$R$5:$R$5004,"&gt;0")</x:f>
        <x:v>58</x:v>
      </x:c>
    </x:row>
    <x:row r="11" ht="24" customHeight="1">
      <x:c r="A11" s="121" t="str">
        <x:v>BAYA</x:v>
      </x:c>
      <x:c r="B11" s="127" t="n">
        <x:f>COUNTIF('Byty'!$A$5:$A$5004,A11)</x:f>
        <x:v>163</x:v>
      </x:c>
      <x:c r="C11" s="127" t="n">
        <x:f>COUNTIFS('Byty'!$A$5:$A$5004,A11,'Byty'!$C$5:$C$5004,"available")</x:f>
        <x:v>99</x:v>
      </x:c>
      <x:c r="D11" s="127" t="n">
        <x:f>COUNTIFS('Byty'!$A$5:$A$5004,A11,'Byty'!$C$5:$C$5004,"reserved")+COUNTIFS('Byty'!$A$5:$A$5004,A11,'Byty'!$C$5:$C$5004,"pre_reserved")</x:f>
        <x:v>21</x:v>
      </x:c>
      <x:c r="E11" s="127" t="n">
        <x:f>COUNTIFS('Byty'!$A$5:$A$5004,A11,'Byty'!$C$5:$C$5004,"sold")</x:f>
        <x:v>43</x:v>
      </x:c>
      <x:c r="F11" s="128" t="n">
        <x:f>COUNTIFS('Byty'!$A$5:$A$5004,A11,'Byty'!$R$5:$R$5004,"&gt;0")</x:f>
        <x:v>99</x:v>
      </x:c>
    </x:row>
    <x:row r="12" ht="24" customHeight="1">
      <x:c r="A12" s="121" t="str">
        <x:v>Downtown Yards</x:v>
      </x:c>
      <x:c r="B12" s="127" t="n">
        <x:f>COUNTIF('Byty'!$A$5:$A$5004,A12)</x:f>
        <x:v>507</x:v>
      </x:c>
      <x:c r="C12" s="127" t="n">
        <x:f>COUNTIFS('Byty'!$A$5:$A$5004,A12,'Byty'!$C$5:$C$5004,"available")</x:f>
        <x:v>155</x:v>
      </x:c>
      <x:c r="D12" s="127" t="n">
        <x:f>COUNTIFS('Byty'!$A$5:$A$5004,A12,'Byty'!$C$5:$C$5004,"reserved")+COUNTIFS('Byty'!$A$5:$A$5004,A12,'Byty'!$C$5:$C$5004,"pre_reserved")</x:f>
        <x:v>16</x:v>
      </x:c>
      <x:c r="E12" s="127" t="n">
        <x:f>COUNTIFS('Byty'!$A$5:$A$5004,A12,'Byty'!$C$5:$C$5004,"sold")</x:f>
        <x:v>336</x:v>
      </x:c>
      <x:c r="F12" s="128" t="n">
        <x:f>COUNTIFS('Byty'!$A$5:$A$5004,A12,'Byty'!$R$5:$R$5004,"&gt;0")</x:f>
        <x:v>156</x:v>
      </x:c>
    </x:row>
    <x:row r="13" ht="24" customHeight="1">
      <x:c r="A13" s="121" t="str">
        <x:v>Galvania Rezidencie</x:v>
      </x:c>
      <x:c r="B13" s="127" t="n">
        <x:f>COUNTIF('Byty'!$A$5:$A$5004,A13)</x:f>
        <x:v>302</x:v>
      </x:c>
      <x:c r="C13" s="127" t="n">
        <x:f>COUNTIFS('Byty'!$A$5:$A$5004,A13,'Byty'!$C$5:$C$5004,"available")</x:f>
        <x:v>14</x:v>
      </x:c>
      <x:c r="D13" s="127" t="n">
        <x:f>COUNTIFS('Byty'!$A$5:$A$5004,A13,'Byty'!$C$5:$C$5004,"reserved")+COUNTIFS('Byty'!$A$5:$A$5004,A13,'Byty'!$C$5:$C$5004,"pre_reserved")</x:f>
        <x:v>27</x:v>
      </x:c>
      <x:c r="E13" s="127" t="n">
        <x:f>COUNTIFS('Byty'!$A$5:$A$5004,A13,'Byty'!$C$5:$C$5004,"sold")</x:f>
        <x:v>83</x:v>
      </x:c>
      <x:c r="F13" s="128" t="n">
        <x:f>COUNTIFS('Byty'!$A$5:$A$5004,A13,'Byty'!$R$5:$R$5004,"&gt;0")</x:f>
        <x:v>23</x:v>
      </x:c>
    </x:row>
    <x:row r="14" ht="24" customHeight="1">
      <x:c r="A14" s="121" t="str">
        <x:v>Jašik Ružinov</x:v>
      </x:c>
      <x:c r="B14" s="127" t="n">
        <x:f>COUNTIF('Byty'!$A$5:$A$5004,A14)</x:f>
        <x:v>64</x:v>
      </x:c>
      <x:c r="C14" s="127" t="n">
        <x:f>COUNTIFS('Byty'!$A$5:$A$5004,A14,'Byty'!$C$5:$C$5004,"available")</x:f>
        <x:v>32</x:v>
      </x:c>
      <x:c r="D14" s="127" t="n">
        <x:f>COUNTIFS('Byty'!$A$5:$A$5004,A14,'Byty'!$C$5:$C$5004,"reserved")+COUNTIFS('Byty'!$A$5:$A$5004,A14,'Byty'!$C$5:$C$5004,"pre_reserved")</x:f>
        <x:v>1</x:v>
      </x:c>
      <x:c r="E14" s="127" t="n">
        <x:f>COUNTIFS('Byty'!$A$5:$A$5004,A14,'Byty'!$C$5:$C$5004,"sold")</x:f>
        <x:v>31</x:v>
      </x:c>
      <x:c r="F14" s="128" t="n">
        <x:f>COUNTIFS('Byty'!$A$5:$A$5004,A14,'Byty'!$R$5:$R$5004,"&gt;0")</x:f>
        <x:v>38</x:v>
      </x:c>
    </x:row>
    <x:row r="15" ht="24" customHeight="1">
      <x:c r="A15" s="121" t="str">
        <x:v>Kvarter</x:v>
      </x:c>
      <x:c r="B15" s="127" t="n">
        <x:f>COUNTIF('Byty'!$A$5:$A$5004,A15)</x:f>
        <x:v>83</x:v>
      </x:c>
      <x:c r="C15" s="127" t="n">
        <x:f>COUNTIFS('Byty'!$A$5:$A$5004,A15,'Byty'!$C$5:$C$5004,"available")</x:f>
        <x:v>25</x:v>
      </x:c>
      <x:c r="D15" s="127" t="n">
        <x:f>COUNTIFS('Byty'!$A$5:$A$5004,A15,'Byty'!$C$5:$C$5004,"reserved")+COUNTIFS('Byty'!$A$5:$A$5004,A15,'Byty'!$C$5:$C$5004,"pre_reserved")</x:f>
        <x:v>3</x:v>
      </x:c>
      <x:c r="E15" s="127" t="n">
        <x:f>COUNTIFS('Byty'!$A$5:$A$5004,A15,'Byty'!$C$5:$C$5004,"sold")</x:f>
        <x:v>55</x:v>
      </x:c>
      <x:c r="F15" s="128" t="n">
        <x:f>COUNTIFS('Byty'!$A$5:$A$5004,A15,'Byty'!$R$5:$R$5004,"&gt;0")</x:f>
        <x:v>26</x:v>
      </x:c>
    </x:row>
    <x:row r="16" ht="24" customHeight="1">
      <x:c r="A16" s="121" t="str">
        <x:v>Milrose</x:v>
      </x:c>
      <x:c r="B16" s="127" t="n">
        <x:f>COUNTIF('Byty'!$A$5:$A$5004,A16)</x:f>
        <x:v>178</x:v>
      </x:c>
      <x:c r="C16" s="127" t="n">
        <x:f>COUNTIFS('Byty'!$A$5:$A$5004,A16,'Byty'!$C$5:$C$5004,"available")</x:f>
        <x:v>75</x:v>
      </x:c>
      <x:c r="D16" s="127" t="n">
        <x:f>COUNTIFS('Byty'!$A$5:$A$5004,A16,'Byty'!$C$5:$C$5004,"reserved")+COUNTIFS('Byty'!$A$5:$A$5004,A16,'Byty'!$C$5:$C$5004,"pre_reserved")</x:f>
        <x:v>43</x:v>
      </x:c>
      <x:c r="E16" s="127" t="n">
        <x:f>COUNTIFS('Byty'!$A$5:$A$5004,A16,'Byty'!$C$5:$C$5004,"sold")</x:f>
        <x:v>60</x:v>
      </x:c>
      <x:c r="F16" s="128" t="n">
        <x:f>COUNTIFS('Byty'!$A$5:$A$5004,A16,'Byty'!$R$5:$R$5004,"&gt;0")</x:f>
        <x:v>178</x:v>
      </x:c>
    </x:row>
    <x:row r="17" ht="24" customHeight="1">
      <x:c r="A17" s="121" t="str">
        <x:v>Mýtna 37</x:v>
      </x:c>
      <x:c r="B17" s="127" t="n">
        <x:f>COUNTIF('Byty'!$A$5:$A$5004,A17)</x:f>
        <x:v>69</x:v>
      </x:c>
      <x:c r="C17" s="127" t="n">
        <x:f>COUNTIFS('Byty'!$A$5:$A$5004,A17,'Byty'!$C$5:$C$5004,"available")</x:f>
        <x:v>28</x:v>
      </x:c>
      <x:c r="D17" s="127" t="n">
        <x:f>COUNTIFS('Byty'!$A$5:$A$5004,A17,'Byty'!$C$5:$C$5004,"reserved")+COUNTIFS('Byty'!$A$5:$A$5004,A17,'Byty'!$C$5:$C$5004,"pre_reserved")</x:f>
        <x:v>6</x:v>
      </x:c>
      <x:c r="E17" s="127" t="n">
        <x:f>COUNTIFS('Byty'!$A$5:$A$5004,A17,'Byty'!$C$5:$C$5004,"sold")</x:f>
        <x:v>14</x:v>
      </x:c>
      <x:c r="F17" s="128" t="n">
        <x:f>COUNTIFS('Byty'!$A$5:$A$5004,A17,'Byty'!$R$5:$R$5004,"&gt;0")</x:f>
        <x:v>34</x:v>
      </x:c>
    </x:row>
    <x:row r="18" ht="24" customHeight="1">
      <x:c r="A18" s="121" t="str">
        <x:v>NUPPU</x:v>
      </x:c>
      <x:c r="B18" s="127" t="n">
        <x:f>COUNTIF('Byty'!$A$5:$A$5004,A18)</x:f>
        <x:v>58</x:v>
      </x:c>
      <x:c r="C18" s="127" t="n">
        <x:f>COUNTIFS('Byty'!$A$5:$A$5004,A18,'Byty'!$C$5:$C$5004,"available")</x:f>
        <x:v>51</x:v>
      </x:c>
      <x:c r="D18" s="127" t="n">
        <x:f>COUNTIFS('Byty'!$A$5:$A$5004,A18,'Byty'!$C$5:$C$5004,"reserved")+COUNTIFS('Byty'!$A$5:$A$5004,A18,'Byty'!$C$5:$C$5004,"pre_reserved")</x:f>
        <x:v>7</x:v>
      </x:c>
      <x:c r="E18" s="127" t="n">
        <x:f>COUNTIFS('Byty'!$A$5:$A$5004,A18,'Byty'!$C$5:$C$5004,"sold")</x:f>
        <x:v>0</x:v>
      </x:c>
      <x:c r="F18" s="128" t="n">
        <x:f>COUNTIFS('Byty'!$A$5:$A$5004,A18,'Byty'!$R$5:$R$5004,"&gt;0")</x:f>
        <x:v>58</x:v>
      </x:c>
    </x:row>
    <x:row r="19" ht="24" customHeight="1">
      <x:c r="A19" s="121" t="str">
        <x:v>Slnečná Strana</x:v>
      </x:c>
      <x:c r="B19" s="127" t="n">
        <x:f>COUNTIF('Byty'!$A$5:$A$5004,A19)</x:f>
        <x:v>81</x:v>
      </x:c>
      <x:c r="C19" s="127" t="n">
        <x:f>COUNTIFS('Byty'!$A$5:$A$5004,A19,'Byty'!$C$5:$C$5004,"available")</x:f>
        <x:v>47</x:v>
      </x:c>
      <x:c r="D19" s="127" t="n">
        <x:f>COUNTIFS('Byty'!$A$5:$A$5004,A19,'Byty'!$C$5:$C$5004,"reserved")+COUNTIFS('Byty'!$A$5:$A$5004,A19,'Byty'!$C$5:$C$5004,"pre_reserved")</x:f>
        <x:v>34</x:v>
      </x:c>
      <x:c r="E19" s="127" t="n">
        <x:f>COUNTIFS('Byty'!$A$5:$A$5004,A19,'Byty'!$C$5:$C$5004,"sold")</x:f>
        <x:v>0</x:v>
      </x:c>
      <x:c r="F19" s="128" t="n">
        <x:f>COUNTIFS('Byty'!$A$5:$A$5004,A19,'Byty'!$R$5:$R$5004,"&gt;0")</x:f>
        <x:v>49</x:v>
      </x:c>
    </x:row>
    <x:row r="20" ht="24" customHeight="1">
      <x:c r="A20" s="124" t="str">
        <x:v>Tíšiny</x:v>
      </x:c>
      <x:c r="B20" s="129" t="n">
        <x:f>COUNTIF('Byty'!$A$5:$A$5004,A20)</x:f>
        <x:v>38</x:v>
      </x:c>
      <x:c r="C20" s="129" t="n">
        <x:f>COUNTIFS('Byty'!$A$5:$A$5004,A20,'Byty'!$C$5:$C$5004,"available")</x:f>
        <x:v>35</x:v>
      </x:c>
      <x:c r="D20" s="129" t="n">
        <x:f>COUNTIFS('Byty'!$A$5:$A$5004,A20,'Byty'!$C$5:$C$5004,"reserved")+COUNTIFS('Byty'!$A$5:$A$5004,A20,'Byty'!$C$5:$C$5004,"pre_reserved")</x:f>
        <x:v>3</x:v>
      </x:c>
      <x:c r="E20" s="129" t="n">
        <x:f>COUNTIFS('Byty'!$A$5:$A$5004,A20,'Byty'!$C$5:$C$5004,"sold")</x:f>
        <x:v>0</x:v>
      </x:c>
      <x:c r="F20" s="130" t="n">
        <x:f>COUNTIFS('Byty'!$A$5:$A$5004,A20,'Byty'!$R$5:$R$5004,"&gt;0")</x:f>
        <x:v>37</x:v>
      </x:c>
    </x:row>
    <x:row r="22" ht="30" customHeight="1">
      <x:c r="A22" s="133" t="str">
        <x:v>Poznámka: „predané“ znamená stav publikovaný developerom; zmiznuté jednotky sa vyhodnocujú konzervatívne cez udalosti.</x:v>
      </x:c>
      <x:c r="B22" s="133"/>
      <x:c r="C22" s="133"/>
      <x:c r="D22" s="133"/>
      <x:c r="E22" s="133"/>
      <x:c r="F22" s="133"/>
      <x:c r="G22" s="133"/>
      <x:c r="H22" s="133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7" hidden="0" customWidth="1"/>
    <x:col min="5" max="5" width="16" hidden="0" customWidth="1"/>
    <x:col min="6" max="6" width="19" hidden="0" customWidth="1"/>
    <x:col min="7" max="7" width="18" hidden="0" customWidth="1"/>
    <x:col min="8" max="8" width="12" hidden="0" customWidth="1"/>
    <x:col min="9" max="9" width="10" hidden="0" customWidth="1"/>
    <x:col min="10" max="10" width="10" hidden="0" customWidth="1"/>
    <x:col min="11" max="11" width="1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3" hidden="0" customWidth="1"/>
    <x:col min="17" max="17" width="17" hidden="0" customWidth="1"/>
    <x:col min="18" max="18" width="16" hidden="0" customWidth="1"/>
    <x:col min="19" max="19" width="16" hidden="0" customWidth="1"/>
    <x:col min="20" max="20" width="16" hidden="0" customWidth="1"/>
    <x:col min="21" max="21" width="19" hidden="0" customWidth="1"/>
    <x:col min="22" max="22" width="22" hidden="0" customWidth="1"/>
    <x:col min="23" max="23" width="16" hidden="0" customWidth="1"/>
    <x:col min="24" max="24" width="18" hidden="0" customWidth="1"/>
    <x:col min="25" max="25" width="42" hidden="0" customWidth="1"/>
    <x:col min="26" max="26" width="19" hidden="0" customWidth="1"/>
    <x:col min="27" max="27" width="19" hidden="0" customWidth="1"/>
    <x:col min="28" max="28" width="19" hidden="0" customWidth="1"/>
    <x:col min="29" max="29" width="23" hidden="0" customWidth="1"/>
  </x:cols>
  <x:sheetData>
    <x:row r="1" ht="38" customHeight="1">
      <x:c r="A1" s="3" t="str">
        <x:v>Aktuálna ponuka bytov od developerov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26" customHeight="1">
      <x:c r="A2" s="6" t="str">
        <x:v>Zdroj: data/developers/apartments_current.csv • 1749 sledovaných jednotiek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4" ht="34" customHeight="1">
      <x:c r="A4" s="10" t="str">
        <x:v>Projekt</x:v>
      </x:c>
      <x:c r="B4" s="10" t="str">
        <x:v>Označenie bytu</x:v>
      </x:c>
      <x:c r="C4" s="10" t="str">
        <x:v>Stav</x:v>
      </x:c>
      <x:c r="D4" s="10" t="str">
        <x:v>Stav sledovania</x:v>
      </x:c>
      <x:c r="E4" s="10" t="str">
        <x:v>Pôvod ponuky</x:v>
      </x:c>
      <x:c r="F4" s="10" t="str">
        <x:v>Zaradené od</x:v>
      </x:c>
      <x:c r="G4" s="10" t="str">
        <x:v>Typ jednotky</x:v>
      </x:c>
      <x:c r="H4" s="10" t="str">
        <x:v>Počet izieb</x:v>
      </x:c>
      <x:c r="I4" s="10" t="str">
        <x:v>Poschodie</x:v>
      </x:c>
      <x:c r="J4" s="10" t="str">
        <x:v>Budova</x:v>
      </x:c>
      <x:c r="K4" s="10" t="str">
        <x:v>Interiér m²</x:v>
      </x:c>
      <x:c r="L4" s="10" t="str">
        <x:v>Balkón m²</x:v>
      </x:c>
      <x:c r="M4" s="10" t="str">
        <x:v>Loggia m²</x:v>
      </x:c>
      <x:c r="N4" s="10" t="str">
        <x:v>Terasa m²</x:v>
      </x:c>
      <x:c r="O4" s="10" t="str">
        <x:v>Záhrada m²</x:v>
      </x:c>
      <x:c r="P4" s="10" t="str">
        <x:v>Exteriér m²</x:v>
      </x:c>
      <x:c r="Q4" s="10" t="str">
        <x:v>Celková plocha m²</x:v>
      </x:c>
      <x:c r="R4" s="10" t="str">
        <x:v>Aktuálna cena</x:v>
      </x:c>
      <x:c r="S4" s="10" t="str">
        <x:v>Cenníková cena</x:v>
      </x:c>
      <x:c r="T4" s="10" t="str">
        <x:v>Zľavnená cena</x:v>
      </x:c>
      <x:c r="U4" s="10" t="str">
        <x:v>Cena za m² interiéru</x:v>
      </x:c>
      <x:c r="V4" s="10" t="str">
        <x:v>Developer</x:v>
      </x:c>
      <x:c r="W4" s="10" t="str">
        <x:v>Mestská časť</x:v>
      </x:c>
      <x:c r="X4" s="10" t="str">
        <x:v>Stav na webe</x:v>
      </x:c>
      <x:c r="Y4" s="10" t="str">
        <x:v>Zdroj</x:v>
      </x:c>
      <x:c r="Z4" s="10" t="str">
        <x:v>Prvý záznam</x:v>
      </x:c>
      <x:c r="AA4" s="10" t="str">
        <x:v>Posledné videnie</x:v>
      </x:c>
      <x:c r="AB4" s="10" t="str">
        <x:v>Posledná kontrola</x:v>
      </x:c>
      <x:c r="AC4" s="10" t="str">
        <x:v>Technické ID projektu</x:v>
      </x:c>
    </x:row>
    <x:row r="5" ht="22" customHeight="1">
      <x:c r="A5" t="str">
        <x:v>ALVY</x:v>
      </x:c>
      <x:c r="B5" t="str">
        <x:v>1.b.01</x:v>
      </x:c>
      <x:c r="C5" t="str">
        <x:v>available</x:v>
      </x:c>
      <x:c r="D5" t="str">
        <x:v>present</x:v>
      </x:c>
      <x:c r="E5" t="str">
        <x:v>baseline</x:v>
      </x:c>
      <x:c r="F5" s="11" t="n">
        <x:v>46251.740894027775</x:v>
      </x:c>
      <x:c r="G5" t="str">
        <x:v>flat</x:v>
      </x:c>
      <x:c r="H5" s="12" t="n">
        <x:v>3</x:v>
      </x:c>
      <x:c r="I5" s="13" t="n">
        <x:v>1</x:v>
      </x:c>
      <x:c r="J5" t="str">
        <x:v>SO 100</x:v>
      </x:c>
      <x:c r="K5" s="14" t="n">
        <x:v>77.44</x:v>
      </x:c>
      <x:c r="L5" s="14"/>
      <x:c r="M5" s="14"/>
      <x:c r="N5" s="14"/>
      <x:c r="O5" s="14"/>
      <x:c r="P5" s="14" t="n">
        <x:v>27.27</x:v>
      </x:c>
      <x:c r="Q5" s="14" t="n">
        <x:v>104.71</x:v>
      </x:c>
      <x:c r="R5" s="15" t="n">
        <x:v>399750</x:v>
      </x:c>
      <x:c r="S5" s="15" t="n">
        <x:v>416115</x:v>
      </x:c>
      <x:c r="T5" s="15" t="n">
        <x:v>399750</x:v>
      </x:c>
      <x:c r="U5" s="16" t="n">
        <x:v>5162.06</x:v>
      </x:c>
      <x:c r="V5" t="str">
        <x:v>Alto Real Estate</x:v>
      </x:c>
      <x:c r="W5" t="str">
        <x:v>Ružinov</x:v>
      </x:c>
      <x:c r="X5" s="11" t="str">
        <x:v>free</x:v>
      </x:c>
      <x:c r="Y5" s="11" t="str">
        <x:v>https://www.alvy.sk/byt/1-b-01</x:v>
      </x:c>
      <x:c r="Z5" s="11" t="n">
        <x:v>46251.740894027775</x:v>
      </x:c>
      <x:c r="AA5" s="11" t="n">
        <x:v>46254.51251577547</x:v>
      </x:c>
      <x:c r="AB5" s="11" t="n">
        <x:v>46254.51251577547</x:v>
      </x:c>
      <x:c r="AC5" t="str">
        <x:v>alvy</x:v>
      </x:c>
    </x:row>
    <x:row r="6" ht="22" customHeight="1">
      <x:c r="A6" t="str">
        <x:v>ALVY</x:v>
      </x:c>
      <x:c r="B6" t="str">
        <x:v>1.b.02</x:v>
      </x:c>
      <x:c r="C6" t="str">
        <x:v>reserved</x:v>
      </x:c>
      <x:c r="D6" t="str">
        <x:v>present</x:v>
      </x:c>
      <x:c r="E6" t="str">
        <x:v>baseline</x:v>
      </x:c>
      <x:c r="F6" s="11" t="n">
        <x:v>46251.740894027775</x:v>
      </x:c>
      <x:c r="G6" t="str">
        <x:v>flat</x:v>
      </x:c>
      <x:c r="H6" s="12" t="n">
        <x:v>2</x:v>
      </x:c>
      <x:c r="I6" s="13" t="n">
        <x:v>1</x:v>
      </x:c>
      <x:c r="J6" t="str">
        <x:v>SO 100</x:v>
      </x:c>
      <x:c r="K6" s="14" t="n">
        <x:v>47.08</x:v>
      </x:c>
      <x:c r="L6" s="14"/>
      <x:c r="M6" s="14"/>
      <x:c r="N6" s="14"/>
      <x:c r="O6" s="14"/>
      <x:c r="P6" s="14" t="n">
        <x:v>10.33</x:v>
      </x:c>
      <x:c r="Q6" s="14" t="n">
        <x:v>57.41</x:v>
      </x:c>
      <x:c r="R6" s="15"/>
      <x:c r="S6" s="15"/>
      <x:c r="T6" s="15"/>
      <x:c r="U6" s="16"/>
      <x:c r="V6" t="str">
        <x:v>Alto Real Estate</x:v>
      </x:c>
      <x:c r="W6" t="str">
        <x:v>Ružinov</x:v>
      </x:c>
      <x:c r="X6" s="11" t="str">
        <x:v>reserved</x:v>
      </x:c>
      <x:c r="Y6" s="11" t="str">
        <x:v>https://www.alvy.sk/byt/1-b-02</x:v>
      </x:c>
      <x:c r="Z6" s="11" t="n">
        <x:v>46251.740894027775</x:v>
      </x:c>
      <x:c r="AA6" s="11" t="n">
        <x:v>46254.51251577547</x:v>
      </x:c>
      <x:c r="AB6" s="11" t="n">
        <x:v>46254.51251577547</x:v>
      </x:c>
      <x:c r="AC6" t="str">
        <x:v>alvy</x:v>
      </x:c>
    </x:row>
    <x:row r="7" ht="22" customHeight="1">
      <x:c r="A7" t="str">
        <x:v>ALVY</x:v>
      </x:c>
      <x:c r="B7" t="str">
        <x:v>1.b.03</x:v>
      </x:c>
      <x:c r="C7" t="str">
        <x:v>sold</x:v>
      </x:c>
      <x:c r="D7" t="str">
        <x:v>present</x:v>
      </x:c>
      <x:c r="E7" t="str">
        <x:v>baseline</x:v>
      </x:c>
      <x:c r="F7" s="11" t="n">
        <x:v>46251.740894027775</x:v>
      </x:c>
      <x:c r="G7" t="str">
        <x:v>flat</x:v>
      </x:c>
      <x:c r="H7" s="12" t="n">
        <x:v>2</x:v>
      </x:c>
      <x:c r="I7" s="13" t="n">
        <x:v>1</x:v>
      </x:c>
      <x:c r="J7" t="str">
        <x:v>SO 100</x:v>
      </x:c>
      <x:c r="K7" s="14" t="n">
        <x:v>47.2</x:v>
      </x:c>
      <x:c r="L7" s="14"/>
      <x:c r="M7" s="14"/>
      <x:c r="N7" s="14"/>
      <x:c r="O7" s="14"/>
      <x:c r="P7" s="14" t="n">
        <x:v>10.76</x:v>
      </x:c>
      <x:c r="Q7" s="14" t="n">
        <x:v>57.96</x:v>
      </x:c>
      <x:c r="R7" s="15"/>
      <x:c r="S7" s="15"/>
      <x:c r="T7" s="15"/>
      <x:c r="U7" s="16"/>
      <x:c r="V7" t="str">
        <x:v>Alto Real Estate</x:v>
      </x:c>
      <x:c r="W7" t="str">
        <x:v>Ružinov</x:v>
      </x:c>
      <x:c r="X7" s="11" t="str">
        <x:v>sold</x:v>
      </x:c>
      <x:c r="Y7" s="11" t="str">
        <x:v>https://www.alvy.sk/byt/1-b-03</x:v>
      </x:c>
      <x:c r="Z7" s="11" t="n">
        <x:v>46251.740894027775</x:v>
      </x:c>
      <x:c r="AA7" s="11" t="n">
        <x:v>46254.51251577547</x:v>
      </x:c>
      <x:c r="AB7" s="11" t="n">
        <x:v>46254.51251577547</x:v>
      </x:c>
      <x:c r="AC7" t="str">
        <x:v>alvy</x:v>
      </x:c>
    </x:row>
    <x:row r="8" ht="22" customHeight="1">
      <x:c r="A8" t="str">
        <x:v>ALVY</x:v>
      </x:c>
      <x:c r="B8" t="str">
        <x:v>1.b.04</x:v>
      </x:c>
      <x:c r="C8" t="str">
        <x:v>sold</x:v>
      </x:c>
      <x:c r="D8" t="str">
        <x:v>present</x:v>
      </x:c>
      <x:c r="E8" t="str">
        <x:v>baseline</x:v>
      </x:c>
      <x:c r="F8" s="11" t="n">
        <x:v>46251.740894027775</x:v>
      </x:c>
      <x:c r="G8" t="str">
        <x:v>flat</x:v>
      </x:c>
      <x:c r="H8" s="12" t="n">
        <x:v>2</x:v>
      </x:c>
      <x:c r="I8" s="13" t="n">
        <x:v>1</x:v>
      </x:c>
      <x:c r="J8" t="str">
        <x:v>SO 100</x:v>
      </x:c>
      <x:c r="K8" s="14" t="n">
        <x:v>47.08</x:v>
      </x:c>
      <x:c r="L8" s="14"/>
      <x:c r="M8" s="14"/>
      <x:c r="N8" s="14"/>
      <x:c r="O8" s="14"/>
      <x:c r="P8" s="14" t="n">
        <x:v>10.27</x:v>
      </x:c>
      <x:c r="Q8" s="14" t="n">
        <x:v>57.35</x:v>
      </x:c>
      <x:c r="R8" s="15"/>
      <x:c r="S8" s="15"/>
      <x:c r="T8" s="15"/>
      <x:c r="U8" s="16"/>
      <x:c r="V8" t="str">
        <x:v>Alto Real Estate</x:v>
      </x:c>
      <x:c r="W8" t="str">
        <x:v>Ružinov</x:v>
      </x:c>
      <x:c r="X8" s="11" t="str">
        <x:v>sold</x:v>
      </x:c>
      <x:c r="Y8" s="11" t="str">
        <x:v>https://www.alvy.sk/byt/1-b-04</x:v>
      </x:c>
      <x:c r="Z8" s="11" t="n">
        <x:v>46251.740894027775</x:v>
      </x:c>
      <x:c r="AA8" s="11" t="n">
        <x:v>46254.51251577547</x:v>
      </x:c>
      <x:c r="AB8" s="11" t="n">
        <x:v>46254.51251577547</x:v>
      </x:c>
      <x:c r="AC8" t="str">
        <x:v>alvy</x:v>
      </x:c>
    </x:row>
    <x:row r="9" ht="22" customHeight="1">
      <x:c r="A9" t="str">
        <x:v>ALVY</x:v>
      </x:c>
      <x:c r="B9" t="str">
        <x:v>1.b.05</x:v>
      </x:c>
      <x:c r="C9" t="str">
        <x:v>available</x:v>
      </x:c>
      <x:c r="D9" t="str">
        <x:v>present</x:v>
      </x:c>
      <x:c r="E9" t="str">
        <x:v>baseline</x:v>
      </x:c>
      <x:c r="F9" s="11" t="n">
        <x:v>46251.740894027775</x:v>
      </x:c>
      <x:c r="G9" t="str">
        <x:v>flat</x:v>
      </x:c>
      <x:c r="H9" s="12" t="n">
        <x:v>2</x:v>
      </x:c>
      <x:c r="I9" s="13" t="n">
        <x:v>1</x:v>
      </x:c>
      <x:c r="J9" t="str">
        <x:v>SO 100</x:v>
      </x:c>
      <x:c r="K9" s="14" t="n">
        <x:v>53.26</x:v>
      </x:c>
      <x:c r="L9" s="14"/>
      <x:c r="M9" s="14"/>
      <x:c r="N9" s="14"/>
      <x:c r="O9" s="14"/>
      <x:c r="P9" s="14" t="n">
        <x:v>10.76</x:v>
      </x:c>
      <x:c r="Q9" s="14" t="n">
        <x:v>64.02</x:v>
      </x:c>
      <x:c r="R9" s="15" t="n">
        <x:v>276750</x:v>
      </x:c>
      <x:c r="S9" s="15" t="n">
        <x:v>287558</x:v>
      </x:c>
      <x:c r="T9" s="15" t="n">
        <x:v>276750</x:v>
      </x:c>
      <x:c r="U9" s="16" t="n">
        <x:v>5196.21</x:v>
      </x:c>
      <x:c r="V9" t="str">
        <x:v>Alto Real Estate</x:v>
      </x:c>
      <x:c r="W9" t="str">
        <x:v>Ružinov</x:v>
      </x:c>
      <x:c r="X9" s="11" t="str">
        <x:v>free</x:v>
      </x:c>
      <x:c r="Y9" s="11" t="str">
        <x:v>https://www.alvy.sk/byt/1-b-05</x:v>
      </x:c>
      <x:c r="Z9" s="11" t="n">
        <x:v>46251.740894027775</x:v>
      </x:c>
      <x:c r="AA9" s="11" t="n">
        <x:v>46254.51251577547</x:v>
      </x:c>
      <x:c r="AB9" s="11" t="n">
        <x:v>46254.51251577547</x:v>
      </x:c>
      <x:c r="AC9" t="str">
        <x:v>alvy</x:v>
      </x:c>
    </x:row>
    <x:row r="10" ht="22" customHeight="1">
      <x:c r="A10" t="str">
        <x:v>ALVY</x:v>
      </x:c>
      <x:c r="B10" t="str">
        <x:v>1.b.06</x:v>
      </x:c>
      <x:c r="C10" t="str">
        <x:v>sold</x:v>
      </x:c>
      <x:c r="D10" t="str">
        <x:v>present</x:v>
      </x:c>
      <x:c r="E10" t="str">
        <x:v>baseline</x:v>
      </x:c>
      <x:c r="F10" s="11" t="n">
        <x:v>46251.740894027775</x:v>
      </x:c>
      <x:c r="G10" t="str">
        <x:v>flat</x:v>
      </x:c>
      <x:c r="H10" s="12" t="n">
        <x:v>1</x:v>
      </x:c>
      <x:c r="I10" s="13" t="n">
        <x:v>1</x:v>
      </x:c>
      <x:c r="J10" t="str">
        <x:v>SO 100</x:v>
      </x:c>
      <x:c r="K10" s="14" t="n">
        <x:v>35.03</x:v>
      </x:c>
      <x:c r="L10" s="14"/>
      <x:c r="M10" s="14"/>
      <x:c r="N10" s="14"/>
      <x:c r="O10" s="14"/>
      <x:c r="P10" s="14" t="n">
        <x:v>6.18</x:v>
      </x:c>
      <x:c r="Q10" s="14" t="n">
        <x:v>41.21</x:v>
      </x:c>
      <x:c r="R10" s="15"/>
      <x:c r="S10" s="15"/>
      <x:c r="T10" s="15"/>
      <x:c r="U10" s="16"/>
      <x:c r="V10" t="str">
        <x:v>Alto Real Estate</x:v>
      </x:c>
      <x:c r="W10" t="str">
        <x:v>Ružinov</x:v>
      </x:c>
      <x:c r="X10" s="11" t="str">
        <x:v>sold</x:v>
      </x:c>
      <x:c r="Y10" s="11" t="str">
        <x:v>https://www.alvy.sk/byt/1-b-06</x:v>
      </x:c>
      <x:c r="Z10" s="11" t="n">
        <x:v>46251.740894027775</x:v>
      </x:c>
      <x:c r="AA10" s="11" t="n">
        <x:v>46254.51251577547</x:v>
      </x:c>
      <x:c r="AB10" s="11" t="n">
        <x:v>46254.51251577547</x:v>
      </x:c>
      <x:c r="AC10" t="str">
        <x:v>alvy</x:v>
      </x:c>
    </x:row>
    <x:row r="11" ht="22" customHeight="1">
      <x:c r="A11" t="str">
        <x:v>ALVY</x:v>
      </x:c>
      <x:c r="B11" t="str">
        <x:v>1.b.07</x:v>
      </x:c>
      <x:c r="C11" t="str">
        <x:v>available</x:v>
      </x:c>
      <x:c r="D11" t="str">
        <x:v>present</x:v>
      </x:c>
      <x:c r="E11" t="str">
        <x:v>baseline</x:v>
      </x:c>
      <x:c r="F11" s="11" t="n">
        <x:v>46251.740894027775</x:v>
      </x:c>
      <x:c r="G11" t="str">
        <x:v>flat</x:v>
      </x:c>
      <x:c r="H11" s="12" t="n">
        <x:v>3</x:v>
      </x:c>
      <x:c r="I11" s="13" t="n">
        <x:v>1</x:v>
      </x:c>
      <x:c r="J11" t="str">
        <x:v>SO 100</x:v>
      </x:c>
      <x:c r="K11" s="14" t="n">
        <x:v>73.78</x:v>
      </x:c>
      <x:c r="L11" s="14"/>
      <x:c r="M11" s="14"/>
      <x:c r="N11" s="14"/>
      <x:c r="O11" s="14"/>
      <x:c r="P11" s="14" t="n">
        <x:v>11.14</x:v>
      </x:c>
      <x:c r="Q11" s="14" t="n">
        <x:v>84.92</x:v>
      </x:c>
      <x:c r="R11" s="15" t="n">
        <x:v>351780</x:v>
      </x:c>
      <x:c r="S11" s="15" t="n">
        <x:v>365991</x:v>
      </x:c>
      <x:c r="T11" s="15" t="n">
        <x:v>351780</x:v>
      </x:c>
      <x:c r="U11" s="16" t="n">
        <x:v>4767.96</x:v>
      </x:c>
      <x:c r="V11" t="str">
        <x:v>Alto Real Estate</x:v>
      </x:c>
      <x:c r="W11" t="str">
        <x:v>Ružinov</x:v>
      </x:c>
      <x:c r="X11" s="11" t="str">
        <x:v>free</x:v>
      </x:c>
      <x:c r="Y11" s="11" t="str">
        <x:v>https://www.alvy.sk/byt/1-b-07</x:v>
      </x:c>
      <x:c r="Z11" s="11" t="n">
        <x:v>46251.740894027775</x:v>
      </x:c>
      <x:c r="AA11" s="11" t="n">
        <x:v>46254.51251577547</x:v>
      </x:c>
      <x:c r="AB11" s="11" t="n">
        <x:v>46254.51251577547</x:v>
      </x:c>
      <x:c r="AC11" t="str">
        <x:v>alvy</x:v>
      </x:c>
    </x:row>
    <x:row r="12" ht="22" customHeight="1">
      <x:c r="A12" t="str">
        <x:v>ALVY</x:v>
      </x:c>
      <x:c r="B12" t="str">
        <x:v>1.b.08</x:v>
      </x:c>
      <x:c r="C12" t="str">
        <x:v>available</x:v>
      </x:c>
      <x:c r="D12" t="str">
        <x:v>present</x:v>
      </x:c>
      <x:c r="E12" t="str">
        <x:v>baseline</x:v>
      </x:c>
      <x:c r="F12" s="11" t="n">
        <x:v>46251.740894027775</x:v>
      </x:c>
      <x:c r="G12" t="str">
        <x:v>flat</x:v>
      </x:c>
      <x:c r="H12" s="12" t="n">
        <x:v>3</x:v>
      </x:c>
      <x:c r="I12" s="13" t="n">
        <x:v>1</x:v>
      </x:c>
      <x:c r="J12" t="str">
        <x:v>SO 100</x:v>
      </x:c>
      <x:c r="K12" s="14" t="n">
        <x:v>73.78</x:v>
      </x:c>
      <x:c r="L12" s="14"/>
      <x:c r="M12" s="14"/>
      <x:c r="N12" s="14"/>
      <x:c r="O12" s="14"/>
      <x:c r="P12" s="14" t="n">
        <x:v>51.34</x:v>
      </x:c>
      <x:c r="Q12" s="14" t="n">
        <x:v>125.12</x:v>
      </x:c>
      <x:c r="R12" s="15" t="n">
        <x:v>373920</x:v>
      </x:c>
      <x:c r="S12" s="15" t="n">
        <x:v>388367</x:v>
      </x:c>
      <x:c r="T12" s="15" t="n">
        <x:v>373920</x:v>
      </x:c>
      <x:c r="U12" s="16" t="n">
        <x:v>5068.04</x:v>
      </x:c>
      <x:c r="V12" t="str">
        <x:v>Alto Real Estate</x:v>
      </x:c>
      <x:c r="W12" t="str">
        <x:v>Ružinov</x:v>
      </x:c>
      <x:c r="X12" s="11" t="str">
        <x:v>free</x:v>
      </x:c>
      <x:c r="Y12" s="11" t="str">
        <x:v>https://www.alvy.sk/byt/1-b-08</x:v>
      </x:c>
      <x:c r="Z12" s="11" t="n">
        <x:v>46251.740894027775</x:v>
      </x:c>
      <x:c r="AA12" s="11" t="n">
        <x:v>46254.51251577547</x:v>
      </x:c>
      <x:c r="AB12" s="11" t="n">
        <x:v>46254.51251577547</x:v>
      </x:c>
      <x:c r="AC12" t="str">
        <x:v>alvy</x:v>
      </x:c>
    </x:row>
    <x:row r="13" ht="22" customHeight="1">
      <x:c r="A13" t="str">
        <x:v>ALVY</x:v>
      </x:c>
      <x:c r="B13" t="str">
        <x:v>1.b.09</x:v>
      </x:c>
      <x:c r="C13" t="str">
        <x:v>reserved</x:v>
      </x:c>
      <x:c r="D13" t="str">
        <x:v>present</x:v>
      </x:c>
      <x:c r="E13" t="str">
        <x:v>baseline</x:v>
      </x:c>
      <x:c r="F13" s="11" t="n">
        <x:v>46251.740894027775</x:v>
      </x:c>
      <x:c r="G13" t="str">
        <x:v>flat</x:v>
      </x:c>
      <x:c r="H13" s="12" t="n">
        <x:v>1</x:v>
      </x:c>
      <x:c r="I13" s="13" t="n">
        <x:v>1</x:v>
      </x:c>
      <x:c r="J13" t="str">
        <x:v>SO 100</x:v>
      </x:c>
      <x:c r="K13" s="14" t="n">
        <x:v>35.04</x:v>
      </x:c>
      <x:c r="L13" s="14"/>
      <x:c r="M13" s="14"/>
      <x:c r="N13" s="14"/>
      <x:c r="O13" s="14"/>
      <x:c r="P13" s="14" t="n">
        <x:v>16.92</x:v>
      </x:c>
      <x:c r="Q13" s="14" t="n">
        <x:v>51.96</x:v>
      </x:c>
      <x:c r="R13" s="15"/>
      <x:c r="S13" s="15"/>
      <x:c r="T13" s="15"/>
      <x:c r="U13" s="16"/>
      <x:c r="V13" t="str">
        <x:v>Alto Real Estate</x:v>
      </x:c>
      <x:c r="W13" t="str">
        <x:v>Ružinov</x:v>
      </x:c>
      <x:c r="X13" s="11" t="str">
        <x:v>reserved</x:v>
      </x:c>
      <x:c r="Y13" s="11" t="str">
        <x:v>https://www.alvy.sk/byt/1-b-09</x:v>
      </x:c>
      <x:c r="Z13" s="11" t="n">
        <x:v>46251.740894027775</x:v>
      </x:c>
      <x:c r="AA13" s="11" t="n">
        <x:v>46254.51251577547</x:v>
      </x:c>
      <x:c r="AB13" s="11" t="n">
        <x:v>46254.51251577547</x:v>
      </x:c>
      <x:c r="AC13" t="str">
        <x:v>alvy</x:v>
      </x:c>
    </x:row>
    <x:row r="14" ht="22" customHeight="1">
      <x:c r="A14" t="str">
        <x:v>ALVY</x:v>
      </x:c>
      <x:c r="B14" t="str">
        <x:v>1.b.10</x:v>
      </x:c>
      <x:c r="C14" t="str">
        <x:v>sold</x:v>
      </x:c>
      <x:c r="D14" t="str">
        <x:v>present</x:v>
      </x:c>
      <x:c r="E14" t="str">
        <x:v>baseline</x:v>
      </x:c>
      <x:c r="F14" s="11" t="n">
        <x:v>46251.740894027775</x:v>
      </x:c>
      <x:c r="G14" t="str">
        <x:v>flat</x:v>
      </x:c>
      <x:c r="H14" s="12" t="n">
        <x:v>2</x:v>
      </x:c>
      <x:c r="I14" s="13" t="n">
        <x:v>1</x:v>
      </x:c>
      <x:c r="J14" t="str">
        <x:v>SO 100</x:v>
      </x:c>
      <x:c r="K14" s="14" t="n">
        <x:v>53.21</x:v>
      </x:c>
      <x:c r="L14" s="14"/>
      <x:c r="M14" s="14"/>
      <x:c r="N14" s="14"/>
      <x:c r="O14" s="14"/>
      <x:c r="P14" s="14" t="n">
        <x:v>28.43</x:v>
      </x:c>
      <x:c r="Q14" s="14" t="n">
        <x:v>81.64</x:v>
      </x:c>
      <x:c r="R14" s="15"/>
      <x:c r="S14" s="15"/>
      <x:c r="T14" s="15"/>
      <x:c r="U14" s="16"/>
      <x:c r="V14" t="str">
        <x:v>Alto Real Estate</x:v>
      </x:c>
      <x:c r="W14" t="str">
        <x:v>Ružinov</x:v>
      </x:c>
      <x:c r="X14" s="11" t="str">
        <x:v>sold</x:v>
      </x:c>
      <x:c r="Y14" s="11" t="str">
        <x:v>https://www.alvy.sk/byt/1-b-10</x:v>
      </x:c>
      <x:c r="Z14" s="11" t="n">
        <x:v>46251.740894027775</x:v>
      </x:c>
      <x:c r="AA14" s="11" t="n">
        <x:v>46254.51251577547</x:v>
      </x:c>
      <x:c r="AB14" s="11" t="n">
        <x:v>46254.51251577547</x:v>
      </x:c>
      <x:c r="AC14" t="str">
        <x:v>alvy</x:v>
      </x:c>
    </x:row>
    <x:row r="15" ht="22" customHeight="1">
      <x:c r="A15" t="str">
        <x:v>ALVY</x:v>
      </x:c>
      <x:c r="B15" t="str">
        <x:v>1.b.11</x:v>
      </x:c>
      <x:c r="C15" t="str">
        <x:v>sold</x:v>
      </x:c>
      <x:c r="D15" t="str">
        <x:v>present</x:v>
      </x:c>
      <x:c r="E15" t="str">
        <x:v>baseline</x:v>
      </x:c>
      <x:c r="F15" s="11" t="n">
        <x:v>46251.740894027775</x:v>
      </x:c>
      <x:c r="G15" t="str">
        <x:v>flat</x:v>
      </x:c>
      <x:c r="H15" s="12" t="n">
        <x:v>1</x:v>
      </x:c>
      <x:c r="I15" s="13" t="n">
        <x:v>1</x:v>
      </x:c>
      <x:c r="J15" t="str">
        <x:v>SO 100</x:v>
      </x:c>
      <x:c r="K15" s="14" t="n">
        <x:v>28.04</x:v>
      </x:c>
      <x:c r="L15" s="14"/>
      <x:c r="M15" s="14"/>
      <x:c r="N15" s="14"/>
      <x:c r="O15" s="14"/>
      <x:c r="P15" s="14" t="n">
        <x:v>16.62</x:v>
      </x:c>
      <x:c r="Q15" s="14" t="n">
        <x:v>44.66</x:v>
      </x:c>
      <x:c r="R15" s="15"/>
      <x:c r="S15" s="15"/>
      <x:c r="T15" s="15"/>
      <x:c r="U15" s="16"/>
      <x:c r="V15" t="str">
        <x:v>Alto Real Estate</x:v>
      </x:c>
      <x:c r="W15" t="str">
        <x:v>Ružinov</x:v>
      </x:c>
      <x:c r="X15" s="11" t="str">
        <x:v>sold</x:v>
      </x:c>
      <x:c r="Y15" s="11" t="str">
        <x:v>https://www.alvy.sk/byt/1-b-11</x:v>
      </x:c>
      <x:c r="Z15" s="11" t="n">
        <x:v>46251.740894027775</x:v>
      </x:c>
      <x:c r="AA15" s="11" t="n">
        <x:v>46254.51251577547</x:v>
      </x:c>
      <x:c r="AB15" s="11" t="n">
        <x:v>46254.51251577547</x:v>
      </x:c>
      <x:c r="AC15" t="str">
        <x:v>alvy</x:v>
      </x:c>
    </x:row>
    <x:row r="16" ht="22" customHeight="1">
      <x:c r="A16" t="str">
        <x:v>ALVY</x:v>
      </x:c>
      <x:c r="B16" t="str">
        <x:v>1.b.12</x:v>
      </x:c>
      <x:c r="C16" t="str">
        <x:v>sold</x:v>
      </x:c>
      <x:c r="D16" t="str">
        <x:v>present</x:v>
      </x:c>
      <x:c r="E16" t="str">
        <x:v>baseline</x:v>
      </x:c>
      <x:c r="F16" s="11" t="n">
        <x:v>46251.740894027775</x:v>
      </x:c>
      <x:c r="G16" t="str">
        <x:v>flat</x:v>
      </x:c>
      <x:c r="H16" s="12" t="n">
        <x:v>2</x:v>
      </x:c>
      <x:c r="I16" s="13" t="n">
        <x:v>1</x:v>
      </x:c>
      <x:c r="J16" t="str">
        <x:v>SO 100</x:v>
      </x:c>
      <x:c r="K16" s="14" t="n">
        <x:v>46.82</x:v>
      </x:c>
      <x:c r="L16" s="14"/>
      <x:c r="M16" s="14"/>
      <x:c r="N16" s="14"/>
      <x:c r="O16" s="14"/>
      <x:c r="P16" s="14" t="n">
        <x:v>40.42</x:v>
      </x:c>
      <x:c r="Q16" s="14" t="n">
        <x:v>87.24</x:v>
      </x:c>
      <x:c r="R16" s="15"/>
      <x:c r="S16" s="15"/>
      <x:c r="T16" s="15"/>
      <x:c r="U16" s="16"/>
      <x:c r="V16" t="str">
        <x:v>Alto Real Estate</x:v>
      </x:c>
      <x:c r="W16" t="str">
        <x:v>Ružinov</x:v>
      </x:c>
      <x:c r="X16" s="11" t="str">
        <x:v>sold</x:v>
      </x:c>
      <x:c r="Y16" s="11" t="str">
        <x:v>https://www.alvy.sk/byt/1-b-12</x:v>
      </x:c>
      <x:c r="Z16" s="11" t="n">
        <x:v>46251.740894027775</x:v>
      </x:c>
      <x:c r="AA16" s="11" t="n">
        <x:v>46254.51251577547</x:v>
      </x:c>
      <x:c r="AB16" s="11" t="n">
        <x:v>46254.51251577547</x:v>
      </x:c>
      <x:c r="AC16" t="str">
        <x:v>alvy</x:v>
      </x:c>
    </x:row>
    <x:row r="17" ht="22" customHeight="1">
      <x:c r="A17" t="str">
        <x:v>ALVY</x:v>
      </x:c>
      <x:c r="B17" t="str">
        <x:v>1.b.13</x:v>
      </x:c>
      <x:c r="C17" t="str">
        <x:v>sold</x:v>
      </x:c>
      <x:c r="D17" t="str">
        <x:v>present</x:v>
      </x:c>
      <x:c r="E17" t="str">
        <x:v>baseline</x:v>
      </x:c>
      <x:c r="F17" s="11" t="n">
        <x:v>46251.740894027775</x:v>
      </x:c>
      <x:c r="G17" t="str">
        <x:v>flat</x:v>
      </x:c>
      <x:c r="H17" s="12" t="n">
        <x:v>2</x:v>
      </x:c>
      <x:c r="I17" s="13" t="n">
        <x:v>1</x:v>
      </x:c>
      <x:c r="J17" t="str">
        <x:v>SO 100</x:v>
      </x:c>
      <x:c r="K17" s="14" t="n">
        <x:v>46.96</x:v>
      </x:c>
      <x:c r="L17" s="14"/>
      <x:c r="M17" s="14"/>
      <x:c r="N17" s="14"/>
      <x:c r="O17" s="14"/>
      <x:c r="P17" s="14" t="n">
        <x:v>40.36</x:v>
      </x:c>
      <x:c r="Q17" s="14" t="n">
        <x:v>87.32</x:v>
      </x:c>
      <x:c r="R17" s="15"/>
      <x:c r="S17" s="15"/>
      <x:c r="T17" s="15"/>
      <x:c r="U17" s="16"/>
      <x:c r="V17" t="str">
        <x:v>Alto Real Estate</x:v>
      </x:c>
      <x:c r="W17" t="str">
        <x:v>Ružinov</x:v>
      </x:c>
      <x:c r="X17" s="11" t="str">
        <x:v>sold</x:v>
      </x:c>
      <x:c r="Y17" s="11" t="str">
        <x:v>https://www.alvy.sk/byt/1-b-13</x:v>
      </x:c>
      <x:c r="Z17" s="11" t="n">
        <x:v>46251.740894027775</x:v>
      </x:c>
      <x:c r="AA17" s="11" t="n">
        <x:v>46254.51251577547</x:v>
      </x:c>
      <x:c r="AB17" s="11" t="n">
        <x:v>46254.51251577547</x:v>
      </x:c>
      <x:c r="AC17" t="str">
        <x:v>alvy</x:v>
      </x:c>
    </x:row>
    <x:row r="18" ht="22" customHeight="1">
      <x:c r="A18" t="str">
        <x:v>ALVY</x:v>
      </x:c>
      <x:c r="B18" t="str">
        <x:v>1.b.14</x:v>
      </x:c>
      <x:c r="C18" t="str">
        <x:v>available</x:v>
      </x:c>
      <x:c r="D18" t="str">
        <x:v>present</x:v>
      </x:c>
      <x:c r="E18" t="str">
        <x:v>baseline</x:v>
      </x:c>
      <x:c r="F18" s="11" t="n">
        <x:v>46251.740894027775</x:v>
      </x:c>
      <x:c r="G18" t="str">
        <x:v>flat</x:v>
      </x:c>
      <x:c r="H18" s="12" t="n">
        <x:v>3</x:v>
      </x:c>
      <x:c r="I18" s="13" t="n">
        <x:v>1</x:v>
      </x:c>
      <x:c r="J18" t="str">
        <x:v>SO 100</x:v>
      </x:c>
      <x:c r="K18" s="14" t="n">
        <x:v>77.62</x:v>
      </x:c>
      <x:c r="L18" s="14"/>
      <x:c r="M18" s="14"/>
      <x:c r="N18" s="14"/>
      <x:c r="O18" s="14"/>
      <x:c r="P18" s="14" t="n">
        <x:v>75.98</x:v>
      </x:c>
      <x:c r="Q18" s="14" t="n">
        <x:v>153.6</x:v>
      </x:c>
      <x:c r="R18" s="15" t="n">
        <x:v>439110</x:v>
      </x:c>
      <x:c r="S18" s="15" t="n">
        <x:v>457199</x:v>
      </x:c>
      <x:c r="T18" s="15" t="n">
        <x:v>439110</x:v>
      </x:c>
      <x:c r="U18" s="16" t="n">
        <x:v>5657.18</x:v>
      </x:c>
      <x:c r="V18" t="str">
        <x:v>Alto Real Estate</x:v>
      </x:c>
      <x:c r="W18" t="str">
        <x:v>Ružinov</x:v>
      </x:c>
      <x:c r="X18" s="11" t="str">
        <x:v>free</x:v>
      </x:c>
      <x:c r="Y18" s="11" t="str">
        <x:v>https://www.alvy.sk/byt/1-b-14</x:v>
      </x:c>
      <x:c r="Z18" s="11" t="n">
        <x:v>46251.740894027775</x:v>
      </x:c>
      <x:c r="AA18" s="11" t="n">
        <x:v>46254.51251577547</x:v>
      </x:c>
      <x:c r="AB18" s="11" t="n">
        <x:v>46254.51251577547</x:v>
      </x:c>
      <x:c r="AC18" t="str">
        <x:v>alvy</x:v>
      </x:c>
    </x:row>
    <x:row r="19" ht="22" customHeight="1">
      <x:c r="A19" t="str">
        <x:v>ALVY</x:v>
      </x:c>
      <x:c r="B19" t="str">
        <x:v>1.b.15</x:v>
      </x:c>
      <x:c r="C19" t="str">
        <x:v>pre_reserved</x:v>
      </x:c>
      <x:c r="D19" t="str">
        <x:v>present</x:v>
      </x:c>
      <x:c r="E19" t="str">
        <x:v>baseline</x:v>
      </x:c>
      <x:c r="F19" s="11" t="n">
        <x:v>46251.740894027775</x:v>
      </x:c>
      <x:c r="G19" t="str">
        <x:v>flat</x:v>
      </x:c>
      <x:c r="H19" s="12" t="n">
        <x:v>2</x:v>
      </x:c>
      <x:c r="I19" s="13" t="n">
        <x:v>1</x:v>
      </x:c>
      <x:c r="J19" t="str">
        <x:v>SO 100</x:v>
      </x:c>
      <x:c r="K19" s="14" t="n">
        <x:v>48.89</x:v>
      </x:c>
      <x:c r="L19" s="14"/>
      <x:c r="M19" s="14"/>
      <x:c r="N19" s="14"/>
      <x:c r="O19" s="14"/>
      <x:c r="P19" s="14" t="n">
        <x:v>9.63</x:v>
      </x:c>
      <x:c r="Q19" s="14" t="n">
        <x:v>58.52</x:v>
      </x:c>
      <x:c r="R19" s="15" t="n">
        <x:v>250920</x:v>
      </x:c>
      <x:c r="S19" s="15" t="n">
        <x:v>261030</x:v>
      </x:c>
      <x:c r="T19" s="15" t="n">
        <x:v>250920</x:v>
      </x:c>
      <x:c r="U19" s="16" t="n">
        <x:v>5132.34</x:v>
      </x:c>
      <x:c r="V19" t="str">
        <x:v>Alto Real Estate</x:v>
      </x:c>
      <x:c r="W19" t="str">
        <x:v>Ružinov</x:v>
      </x:c>
      <x:c r="X19" s="11" t="str">
        <x:v>pre-reserved</x:v>
      </x:c>
      <x:c r="Y19" s="11" t="str">
        <x:v>https://www.alvy.sk/byt/1-b-15</x:v>
      </x:c>
      <x:c r="Z19" s="11" t="n">
        <x:v>46251.740894027775</x:v>
      </x:c>
      <x:c r="AA19" s="11" t="n">
        <x:v>46254.51251577547</x:v>
      </x:c>
      <x:c r="AB19" s="11" t="n">
        <x:v>46254.51251577547</x:v>
      </x:c>
      <x:c r="AC19" t="str">
        <x:v>alvy</x:v>
      </x:c>
    </x:row>
    <x:row r="20" ht="22" customHeight="1">
      <x:c r="A20" t="str">
        <x:v>ALVY</x:v>
      </x:c>
      <x:c r="B20" t="str">
        <x:v>2.b.01</x:v>
      </x:c>
      <x:c r="C20" t="str">
        <x:v>available</x:v>
      </x:c>
      <x:c r="D20" t="str">
        <x:v>present</x:v>
      </x:c>
      <x:c r="E20" t="str">
        <x:v>baseline</x:v>
      </x:c>
      <x:c r="F20" s="11" t="n">
        <x:v>46251.740894027775</x:v>
      </x:c>
      <x:c r="G20" t="str">
        <x:v>flat</x:v>
      </x:c>
      <x:c r="H20" s="12" t="n">
        <x:v>3</x:v>
      </x:c>
      <x:c r="I20" s="13" t="n">
        <x:v>2</x:v>
      </x:c>
      <x:c r="J20" t="str">
        <x:v>SO 100</x:v>
      </x:c>
      <x:c r="K20" s="14" t="n">
        <x:v>77.44</x:v>
      </x:c>
      <x:c r="L20" s="14"/>
      <x:c r="M20" s="14"/>
      <x:c r="N20" s="14"/>
      <x:c r="O20" s="14"/>
      <x:c r="P20" s="14" t="n">
        <x:v>27.2</x:v>
      </x:c>
      <x:c r="Q20" s="14" t="n">
        <x:v>104.64</x:v>
      </x:c>
      <x:c r="R20" s="15" t="n">
        <x:v>407130</x:v>
      </x:c>
      <x:c r="S20" s="15" t="n">
        <x:v>422867</x:v>
      </x:c>
      <x:c r="T20" s="15" t="n">
        <x:v>407130</x:v>
      </x:c>
      <x:c r="U20" s="16" t="n">
        <x:v>5257.36</x:v>
      </x:c>
      <x:c r="V20" t="str">
        <x:v>Alto Real Estate</x:v>
      </x:c>
      <x:c r="W20" t="str">
        <x:v>Ružinov</x:v>
      </x:c>
      <x:c r="X20" s="11" t="str">
        <x:v>free</x:v>
      </x:c>
      <x:c r="Y20" s="11" t="str">
        <x:v>https://www.alvy.sk/byt/2-b-01</x:v>
      </x:c>
      <x:c r="Z20" s="11" t="n">
        <x:v>46251.740894027775</x:v>
      </x:c>
      <x:c r="AA20" s="11" t="n">
        <x:v>46254.51251577547</x:v>
      </x:c>
      <x:c r="AB20" s="11" t="n">
        <x:v>46254.51251577547</x:v>
      </x:c>
      <x:c r="AC20" t="str">
        <x:v>alvy</x:v>
      </x:c>
    </x:row>
    <x:row r="21" ht="22" customHeight="1">
      <x:c r="A21" t="str">
        <x:v>ALVY</x:v>
      </x:c>
      <x:c r="B21" t="str">
        <x:v>2.b.02</x:v>
      </x:c>
      <x:c r="C21" t="str">
        <x:v>sold</x:v>
      </x:c>
      <x:c r="D21" t="str">
        <x:v>present</x:v>
      </x:c>
      <x:c r="E21" t="str">
        <x:v>baseline</x:v>
      </x:c>
      <x:c r="F21" s="11" t="n">
        <x:v>46251.740894027775</x:v>
      </x:c>
      <x:c r="G21" t="str">
        <x:v>flat</x:v>
      </x:c>
      <x:c r="H21" s="12" t="n">
        <x:v>2</x:v>
      </x:c>
      <x:c r="I21" s="13" t="n">
        <x:v>2</x:v>
      </x:c>
      <x:c r="J21" t="str">
        <x:v>SO 100</x:v>
      </x:c>
      <x:c r="K21" s="14" t="n">
        <x:v>47.15</x:v>
      </x:c>
      <x:c r="L21" s="14"/>
      <x:c r="M21" s="14"/>
      <x:c r="N21" s="14"/>
      <x:c r="O21" s="14"/>
      <x:c r="P21" s="14" t="n">
        <x:v>10.33</x:v>
      </x:c>
      <x:c r="Q21" s="14" t="n">
        <x:v>57.48</x:v>
      </x:c>
      <x:c r="R21" s="15"/>
      <x:c r="S21" s="15"/>
      <x:c r="T21" s="15"/>
      <x:c r="U21" s="16"/>
      <x:c r="V21" t="str">
        <x:v>Alto Real Estate</x:v>
      </x:c>
      <x:c r="W21" t="str">
        <x:v>Ružinov</x:v>
      </x:c>
      <x:c r="X21" s="11" t="str">
        <x:v>sold</x:v>
      </x:c>
      <x:c r="Y21" s="11" t="str">
        <x:v>https://www.alvy.sk/byt/2-b-02</x:v>
      </x:c>
      <x:c r="Z21" s="11" t="n">
        <x:v>46251.740894027775</x:v>
      </x:c>
      <x:c r="AA21" s="11" t="n">
        <x:v>46254.51251577547</x:v>
      </x:c>
      <x:c r="AB21" s="11" t="n">
        <x:v>46254.51251577547</x:v>
      </x:c>
      <x:c r="AC21" t="str">
        <x:v>alvy</x:v>
      </x:c>
    </x:row>
    <x:row r="22" ht="22" customHeight="1">
      <x:c r="A22" t="str">
        <x:v>ALVY</x:v>
      </x:c>
      <x:c r="B22" t="str">
        <x:v>2.b.03</x:v>
      </x:c>
      <x:c r="C22" t="str">
        <x:v>sold</x:v>
      </x:c>
      <x:c r="D22" t="str">
        <x:v>present</x:v>
      </x:c>
      <x:c r="E22" t="str">
        <x:v>baseline</x:v>
      </x:c>
      <x:c r="F22" s="11" t="n">
        <x:v>46251.740894027775</x:v>
      </x:c>
      <x:c r="G22" t="str">
        <x:v>flat</x:v>
      </x:c>
      <x:c r="H22" s="12" t="n">
        <x:v>2</x:v>
      </x:c>
      <x:c r="I22" s="13" t="n">
        <x:v>2</x:v>
      </x:c>
      <x:c r="J22" t="str">
        <x:v>SO 100</x:v>
      </x:c>
      <x:c r="K22" s="14" t="n">
        <x:v>47.23</x:v>
      </x:c>
      <x:c r="L22" s="14"/>
      <x:c r="M22" s="14"/>
      <x:c r="N22" s="14"/>
      <x:c r="O22" s="14"/>
      <x:c r="P22" s="14" t="n">
        <x:v>10.33</x:v>
      </x:c>
      <x:c r="Q22" s="14" t="n">
        <x:v>57.56</x:v>
      </x:c>
      <x:c r="R22" s="15"/>
      <x:c r="S22" s="15"/>
      <x:c r="T22" s="15"/>
      <x:c r="U22" s="16"/>
      <x:c r="V22" t="str">
        <x:v>Alto Real Estate</x:v>
      </x:c>
      <x:c r="W22" t="str">
        <x:v>Ružinov</x:v>
      </x:c>
      <x:c r="X22" s="11" t="str">
        <x:v>sold</x:v>
      </x:c>
      <x:c r="Y22" s="11" t="str">
        <x:v>https://www.alvy.sk/byt/2-b-03</x:v>
      </x:c>
      <x:c r="Z22" s="11" t="n">
        <x:v>46251.740894027775</x:v>
      </x:c>
      <x:c r="AA22" s="11" t="n">
        <x:v>46254.51251577547</x:v>
      </x:c>
      <x:c r="AB22" s="11" t="n">
        <x:v>46254.51251577547</x:v>
      </x:c>
      <x:c r="AC22" t="str">
        <x:v>alvy</x:v>
      </x:c>
    </x:row>
    <x:row r="23" ht="22" customHeight="1">
      <x:c r="A23" t="str">
        <x:v>ALVY</x:v>
      </x:c>
      <x:c r="B23" t="str">
        <x:v>2.b.04</x:v>
      </x:c>
      <x:c r="C23" t="str">
        <x:v>sold</x:v>
      </x:c>
      <x:c r="D23" t="str">
        <x:v>present</x:v>
      </x:c>
      <x:c r="E23" t="str">
        <x:v>baseline</x:v>
      </x:c>
      <x:c r="F23" s="11" t="n">
        <x:v>46251.740894027775</x:v>
      </x:c>
      <x:c r="G23" t="str">
        <x:v>flat</x:v>
      </x:c>
      <x:c r="H23" s="12" t="n">
        <x:v>2</x:v>
      </x:c>
      <x:c r="I23" s="13" t="n">
        <x:v>2</x:v>
      </x:c>
      <x:c r="J23" t="str">
        <x:v>SO 100</x:v>
      </x:c>
      <x:c r="K23" s="14" t="n">
        <x:v>47.09</x:v>
      </x:c>
      <x:c r="L23" s="14"/>
      <x:c r="M23" s="14"/>
      <x:c r="N23" s="14"/>
      <x:c r="O23" s="14"/>
      <x:c r="P23" s="14" t="n">
        <x:v>10.33</x:v>
      </x:c>
      <x:c r="Q23" s="14" t="n">
        <x:v>57.42</x:v>
      </x:c>
      <x:c r="R23" s="15"/>
      <x:c r="S23" s="15"/>
      <x:c r="T23" s="15"/>
      <x:c r="U23" s="16"/>
      <x:c r="V23" t="str">
        <x:v>Alto Real Estate</x:v>
      </x:c>
      <x:c r="W23" t="str">
        <x:v>Ružinov</x:v>
      </x:c>
      <x:c r="X23" s="11" t="str">
        <x:v>sold</x:v>
      </x:c>
      <x:c r="Y23" s="11" t="str">
        <x:v>https://www.alvy.sk/byt/2-b-04</x:v>
      </x:c>
      <x:c r="Z23" s="11" t="n">
        <x:v>46251.740894027775</x:v>
      </x:c>
      <x:c r="AA23" s="11" t="n">
        <x:v>46254.51251577547</x:v>
      </x:c>
      <x:c r="AB23" s="11" t="n">
        <x:v>46254.51251577547</x:v>
      </x:c>
      <x:c r="AC23" t="str">
        <x:v>alvy</x:v>
      </x:c>
    </x:row>
    <x:row r="24" ht="22" customHeight="1">
      <x:c r="A24" t="str">
        <x:v>ALVY</x:v>
      </x:c>
      <x:c r="B24" t="str">
        <x:v>2.b.05</x:v>
      </x:c>
      <x:c r="C24" t="str">
        <x:v>available</x:v>
      </x:c>
      <x:c r="D24" t="str">
        <x:v>present</x:v>
      </x:c>
      <x:c r="E24" t="str">
        <x:v>baseline</x:v>
      </x:c>
      <x:c r="F24" s="11" t="n">
        <x:v>46251.740894027775</x:v>
      </x:c>
      <x:c r="G24" t="str">
        <x:v>flat</x:v>
      </x:c>
      <x:c r="H24" s="12" t="n">
        <x:v>2</x:v>
      </x:c>
      <x:c r="I24" s="13" t="n">
        <x:v>2</x:v>
      </x:c>
      <x:c r="J24" t="str">
        <x:v>SO 100</x:v>
      </x:c>
      <x:c r="K24" s="14" t="n">
        <x:v>53.26</x:v>
      </x:c>
      <x:c r="L24" s="14"/>
      <x:c r="M24" s="14"/>
      <x:c r="N24" s="14"/>
      <x:c r="O24" s="14"/>
      <x:c r="P24" s="14" t="n">
        <x:v>10.33</x:v>
      </x:c>
      <x:c r="Q24" s="14" t="n">
        <x:v>63.59</x:v>
      </x:c>
      <x:c r="R24" s="15" t="n">
        <x:v>280440</x:v>
      </x:c>
      <x:c r="S24" s="15" t="n">
        <x:v>291429</x:v>
      </x:c>
      <x:c r="T24" s="15" t="n">
        <x:v>280440</x:v>
      </x:c>
      <x:c r="U24" s="16" t="n">
        <x:v>5265.49</x:v>
      </x:c>
      <x:c r="V24" t="str">
        <x:v>Alto Real Estate</x:v>
      </x:c>
      <x:c r="W24" t="str">
        <x:v>Ružinov</x:v>
      </x:c>
      <x:c r="X24" s="11" t="str">
        <x:v>free</x:v>
      </x:c>
      <x:c r="Y24" s="11" t="str">
        <x:v>https://www.alvy.sk/byt/2-b-05</x:v>
      </x:c>
      <x:c r="Z24" s="11" t="n">
        <x:v>46251.740894027775</x:v>
      </x:c>
      <x:c r="AA24" s="11" t="n">
        <x:v>46254.51251577547</x:v>
      </x:c>
      <x:c r="AB24" s="11" t="n">
        <x:v>46254.51251577547</x:v>
      </x:c>
      <x:c r="AC24" t="str">
        <x:v>alvy</x:v>
      </x:c>
    </x:row>
    <x:row r="25" ht="22" customHeight="1">
      <x:c r="A25" t="str">
        <x:v>ALVY</x:v>
      </x:c>
      <x:c r="B25" t="str">
        <x:v>2.b.06</x:v>
      </x:c>
      <x:c r="C25" t="str">
        <x:v>sold</x:v>
      </x:c>
      <x:c r="D25" t="str">
        <x:v>present</x:v>
      </x:c>
      <x:c r="E25" t="str">
        <x:v>baseline</x:v>
      </x:c>
      <x:c r="F25" s="11" t="n">
        <x:v>46251.740894027775</x:v>
      </x:c>
      <x:c r="G25" t="str">
        <x:v>flat</x:v>
      </x:c>
      <x:c r="H25" s="12" t="n">
        <x:v>1</x:v>
      </x:c>
      <x:c r="I25" s="13" t="n">
        <x:v>2</x:v>
      </x:c>
      <x:c r="J25" t="str">
        <x:v>SO 100</x:v>
      </x:c>
      <x:c r="K25" s="14" t="n">
        <x:v>35.04</x:v>
      </x:c>
      <x:c r="L25" s="14"/>
      <x:c r="M25" s="14"/>
      <x:c r="N25" s="14"/>
      <x:c r="O25" s="14"/>
      <x:c r="P25" s="14" t="n">
        <x:v>6.18</x:v>
      </x:c>
      <x:c r="Q25" s="14" t="n">
        <x:v>41.22</x:v>
      </x:c>
      <x:c r="R25" s="15"/>
      <x:c r="S25" s="15"/>
      <x:c r="T25" s="15"/>
      <x:c r="U25" s="16"/>
      <x:c r="V25" t="str">
        <x:v>Alto Real Estate</x:v>
      </x:c>
      <x:c r="W25" t="str">
        <x:v>Ružinov</x:v>
      </x:c>
      <x:c r="X25" s="11" t="str">
        <x:v>sold</x:v>
      </x:c>
      <x:c r="Y25" s="11" t="str">
        <x:v>https://www.alvy.sk/byt/2-b-06</x:v>
      </x:c>
      <x:c r="Z25" s="11" t="n">
        <x:v>46251.740894027775</x:v>
      </x:c>
      <x:c r="AA25" s="11" t="n">
        <x:v>46254.51251577547</x:v>
      </x:c>
      <x:c r="AB25" s="11" t="n">
        <x:v>46254.51251577547</x:v>
      </x:c>
      <x:c r="AC25" t="str">
        <x:v>alvy</x:v>
      </x:c>
    </x:row>
    <x:row r="26" ht="22" customHeight="1">
      <x:c r="A26" t="str">
        <x:v>ALVY</x:v>
      </x:c>
      <x:c r="B26" t="str">
        <x:v>2.b.07</x:v>
      </x:c>
      <x:c r="C26" t="str">
        <x:v>reserved</x:v>
      </x:c>
      <x:c r="D26" t="str">
        <x:v>present</x:v>
      </x:c>
      <x:c r="E26" t="str">
        <x:v>baseline</x:v>
      </x:c>
      <x:c r="F26" s="11" t="n">
        <x:v>46251.740894027775</x:v>
      </x:c>
      <x:c r="G26" t="str">
        <x:v>flat</x:v>
      </x:c>
      <x:c r="H26" s="12" t="n">
        <x:v>3</x:v>
      </x:c>
      <x:c r="I26" s="13" t="n">
        <x:v>2</x:v>
      </x:c>
      <x:c r="J26" t="str">
        <x:v>SO 100</x:v>
      </x:c>
      <x:c r="K26" s="14" t="n">
        <x:v>73.78</x:v>
      </x:c>
      <x:c r="L26" s="14"/>
      <x:c r="M26" s="14"/>
      <x:c r="N26" s="14"/>
      <x:c r="O26" s="14"/>
      <x:c r="P26" s="14" t="n">
        <x:v>11.19</x:v>
      </x:c>
      <x:c r="Q26" s="14" t="n">
        <x:v>84.97</x:v>
      </x:c>
      <x:c r="R26" s="15"/>
      <x:c r="S26" s="15"/>
      <x:c r="T26" s="15"/>
      <x:c r="U26" s="16"/>
      <x:c r="V26" t="str">
        <x:v>Alto Real Estate</x:v>
      </x:c>
      <x:c r="W26" t="str">
        <x:v>Ružinov</x:v>
      </x:c>
      <x:c r="X26" s="11" t="str">
        <x:v>reserved</x:v>
      </x:c>
      <x:c r="Y26" s="11" t="str">
        <x:v>https://www.alvy.sk/byt/2-b-07</x:v>
      </x:c>
      <x:c r="Z26" s="11" t="n">
        <x:v>46251.740894027775</x:v>
      </x:c>
      <x:c r="AA26" s="11" t="n">
        <x:v>46254.51251577547</x:v>
      </x:c>
      <x:c r="AB26" s="11" t="n">
        <x:v>46254.51251577547</x:v>
      </x:c>
      <x:c r="AC26" t="str">
        <x:v>alvy</x:v>
      </x:c>
    </x:row>
    <x:row r="27" ht="22" customHeight="1">
      <x:c r="A27" t="str">
        <x:v>ALVY</x:v>
      </x:c>
      <x:c r="B27" t="str">
        <x:v>2.b.08</x:v>
      </x:c>
      <x:c r="C27" t="str">
        <x:v>available</x:v>
      </x:c>
      <x:c r="D27" t="str">
        <x:v>present</x:v>
      </x:c>
      <x:c r="E27" t="str">
        <x:v>baseline</x:v>
      </x:c>
      <x:c r="F27" s="11" t="n">
        <x:v>46251.740894027775</x:v>
      </x:c>
      <x:c r="G27" t="str">
        <x:v>flat</x:v>
      </x:c>
      <x:c r="H27" s="12" t="n">
        <x:v>3</x:v>
      </x:c>
      <x:c r="I27" s="13" t="n">
        <x:v>2</x:v>
      </x:c>
      <x:c r="J27" t="str">
        <x:v>SO 100</x:v>
      </x:c>
      <x:c r="K27" s="14" t="n">
        <x:v>73.78</x:v>
      </x:c>
      <x:c r="L27" s="14"/>
      <x:c r="M27" s="14"/>
      <x:c r="N27" s="14"/>
      <x:c r="O27" s="14"/>
      <x:c r="P27" s="14" t="n">
        <x:v>11.19</x:v>
      </x:c>
      <x:c r="Q27" s="14" t="n">
        <x:v>84.97</x:v>
      </x:c>
      <x:c r="R27" s="15" t="n">
        <x:v>337020</x:v>
      </x:c>
      <x:c r="S27" s="15" t="n">
        <x:v>351061</x:v>
      </x:c>
      <x:c r="T27" s="15" t="n">
        <x:v>337020</x:v>
      </x:c>
      <x:c r="U27" s="16" t="n">
        <x:v>4567.9</x:v>
      </x:c>
      <x:c r="V27" t="str">
        <x:v>Alto Real Estate</x:v>
      </x:c>
      <x:c r="W27" t="str">
        <x:v>Ružinov</x:v>
      </x:c>
      <x:c r="X27" s="11" t="str">
        <x:v>free</x:v>
      </x:c>
      <x:c r="Y27" s="11" t="str">
        <x:v>https://www.alvy.sk/byt/2-b-08</x:v>
      </x:c>
      <x:c r="Z27" s="11" t="n">
        <x:v>46251.740894027775</x:v>
      </x:c>
      <x:c r="AA27" s="11" t="n">
        <x:v>46254.51251577547</x:v>
      </x:c>
      <x:c r="AB27" s="11" t="n">
        <x:v>46254.51251577547</x:v>
      </x:c>
      <x:c r="AC27" t="str">
        <x:v>alvy</x:v>
      </x:c>
    </x:row>
    <x:row r="28" ht="22" customHeight="1">
      <x:c r="A28" t="str">
        <x:v>ALVY</x:v>
      </x:c>
      <x:c r="B28" t="str">
        <x:v>2.b.09</x:v>
      </x:c>
      <x:c r="C28" t="str">
        <x:v>sold</x:v>
      </x:c>
      <x:c r="D28" t="str">
        <x:v>present</x:v>
      </x:c>
      <x:c r="E28" t="str">
        <x:v>baseline</x:v>
      </x:c>
      <x:c r="F28" s="11" t="n">
        <x:v>46251.740894027775</x:v>
      </x:c>
      <x:c r="G28" t="str">
        <x:v>flat</x:v>
      </x:c>
      <x:c r="H28" s="12" t="n">
        <x:v>1</x:v>
      </x:c>
      <x:c r="I28" s="13" t="n">
        <x:v>2</x:v>
      </x:c>
      <x:c r="J28" t="str">
        <x:v>SO 100</x:v>
      </x:c>
      <x:c r="K28" s="14" t="n">
        <x:v>35.04</x:v>
      </x:c>
      <x:c r="L28" s="14"/>
      <x:c r="M28" s="14"/>
      <x:c r="N28" s="14"/>
      <x:c r="O28" s="14"/>
      <x:c r="P28" s="14" t="n">
        <x:v>6.18</x:v>
      </x:c>
      <x:c r="Q28" s="14" t="n">
        <x:v>41.22</x:v>
      </x:c>
      <x:c r="R28" s="15"/>
      <x:c r="S28" s="15"/>
      <x:c r="T28" s="15"/>
      <x:c r="U28" s="16"/>
      <x:c r="V28" t="str">
        <x:v>Alto Real Estate</x:v>
      </x:c>
      <x:c r="W28" t="str">
        <x:v>Ružinov</x:v>
      </x:c>
      <x:c r="X28" s="11" t="str">
        <x:v>sold</x:v>
      </x:c>
      <x:c r="Y28" s="11" t="str">
        <x:v>https://www.alvy.sk/byt/2-b-09</x:v>
      </x:c>
      <x:c r="Z28" s="11" t="n">
        <x:v>46251.740894027775</x:v>
      </x:c>
      <x:c r="AA28" s="11" t="n">
        <x:v>46254.51251577547</x:v>
      </x:c>
      <x:c r="AB28" s="11" t="n">
        <x:v>46254.51251577547</x:v>
      </x:c>
      <x:c r="AC28" t="str">
        <x:v>alvy</x:v>
      </x:c>
    </x:row>
    <x:row r="29" ht="22" customHeight="1">
      <x:c r="A29" t="str">
        <x:v>ALVY</x:v>
      </x:c>
      <x:c r="B29" t="str">
        <x:v>2.b.10</x:v>
      </x:c>
      <x:c r="C29" t="str">
        <x:v>sold</x:v>
      </x:c>
      <x:c r="D29" t="str">
        <x:v>present</x:v>
      </x:c>
      <x:c r="E29" t="str">
        <x:v>baseline</x:v>
      </x:c>
      <x:c r="F29" s="11" t="n">
        <x:v>46251.740894027775</x:v>
      </x:c>
      <x:c r="G29" t="str">
        <x:v>flat</x:v>
      </x:c>
      <x:c r="H29" s="12" t="n">
        <x:v>2</x:v>
      </x:c>
      <x:c r="I29" s="13" t="n">
        <x:v>2</x:v>
      </x:c>
      <x:c r="J29" t="str">
        <x:v>SO 100</x:v>
      </x:c>
      <x:c r="K29" s="14" t="n">
        <x:v>53.27</x:v>
      </x:c>
      <x:c r="L29" s="14"/>
      <x:c r="M29" s="14"/>
      <x:c r="N29" s="14"/>
      <x:c r="O29" s="14"/>
      <x:c r="P29" s="14" t="n">
        <x:v>10.33</x:v>
      </x:c>
      <x:c r="Q29" s="14" t="n">
        <x:v>63.6</x:v>
      </x:c>
      <x:c r="R29" s="15"/>
      <x:c r="S29" s="15"/>
      <x:c r="T29" s="15"/>
      <x:c r="U29" s="16"/>
      <x:c r="V29" t="str">
        <x:v>Alto Real Estate</x:v>
      </x:c>
      <x:c r="W29" t="str">
        <x:v>Ružinov</x:v>
      </x:c>
      <x:c r="X29" s="11" t="str">
        <x:v>sold</x:v>
      </x:c>
      <x:c r="Y29" s="11" t="str">
        <x:v>https://www.alvy.sk/byt/2-b-10</x:v>
      </x:c>
      <x:c r="Z29" s="11" t="n">
        <x:v>46251.740894027775</x:v>
      </x:c>
      <x:c r="AA29" s="11" t="n">
        <x:v>46254.51251577547</x:v>
      </x:c>
      <x:c r="AB29" s="11" t="n">
        <x:v>46254.51251577547</x:v>
      </x:c>
      <x:c r="AC29" t="str">
        <x:v>alvy</x:v>
      </x:c>
    </x:row>
    <x:row r="30" ht="22" customHeight="1">
      <x:c r="A30" t="str">
        <x:v>ALVY</x:v>
      </x:c>
      <x:c r="B30" t="str">
        <x:v>2.b.11</x:v>
      </x:c>
      <x:c r="C30" t="str">
        <x:v>sold</x:v>
      </x:c>
      <x:c r="D30" t="str">
        <x:v>present</x:v>
      </x:c>
      <x:c r="E30" t="str">
        <x:v>baseline</x:v>
      </x:c>
      <x:c r="F30" s="11" t="n">
        <x:v>46251.740894027775</x:v>
      </x:c>
      <x:c r="G30" t="str">
        <x:v>flat</x:v>
      </x:c>
      <x:c r="H30" s="12" t="n">
        <x:v>2</x:v>
      </x:c>
      <x:c r="I30" s="13" t="n">
        <x:v>2</x:v>
      </x:c>
      <x:c r="J30" t="str">
        <x:v>SO 100</x:v>
      </x:c>
      <x:c r="K30" s="14" t="n">
        <x:v>47.07</x:v>
      </x:c>
      <x:c r="L30" s="14"/>
      <x:c r="M30" s="14"/>
      <x:c r="N30" s="14"/>
      <x:c r="O30" s="14"/>
      <x:c r="P30" s="14" t="n">
        <x:v>10.33</x:v>
      </x:c>
      <x:c r="Q30" s="14" t="n">
        <x:v>57.4</x:v>
      </x:c>
      <x:c r="R30" s="15"/>
      <x:c r="S30" s="15"/>
      <x:c r="T30" s="15"/>
      <x:c r="U30" s="16"/>
      <x:c r="V30" t="str">
        <x:v>Alto Real Estate</x:v>
      </x:c>
      <x:c r="W30" t="str">
        <x:v>Ružinov</x:v>
      </x:c>
      <x:c r="X30" s="11" t="str">
        <x:v>sold</x:v>
      </x:c>
      <x:c r="Y30" s="11" t="str">
        <x:v>https://www.alvy.sk/byt/2-b-11</x:v>
      </x:c>
      <x:c r="Z30" s="11" t="n">
        <x:v>46251.740894027775</x:v>
      </x:c>
      <x:c r="AA30" s="11" t="n">
        <x:v>46254.51251577547</x:v>
      </x:c>
      <x:c r="AB30" s="11" t="n">
        <x:v>46254.51251577547</x:v>
      </x:c>
      <x:c r="AC30" t="str">
        <x:v>alvy</x:v>
      </x:c>
    </x:row>
    <x:row r="31" ht="22" customHeight="1">
      <x:c r="A31" t="str">
        <x:v>ALVY</x:v>
      </x:c>
      <x:c r="B31" t="str">
        <x:v>2.b.12</x:v>
      </x:c>
      <x:c r="C31" t="str">
        <x:v>sold</x:v>
      </x:c>
      <x:c r="D31" t="str">
        <x:v>present</x:v>
      </x:c>
      <x:c r="E31" t="str">
        <x:v>baseline</x:v>
      </x:c>
      <x:c r="F31" s="11" t="n">
        <x:v>46251.740894027775</x:v>
      </x:c>
      <x:c r="G31" t="str">
        <x:v>flat</x:v>
      </x:c>
      <x:c r="H31" s="12" t="n">
        <x:v>2</x:v>
      </x:c>
      <x:c r="I31" s="13" t="n">
        <x:v>2</x:v>
      </x:c>
      <x:c r="J31" t="str">
        <x:v>SO 100</x:v>
      </x:c>
      <x:c r="K31" s="14" t="n">
        <x:v>47.08</x:v>
      </x:c>
      <x:c r="L31" s="14"/>
      <x:c r="M31" s="14"/>
      <x:c r="N31" s="14"/>
      <x:c r="O31" s="14"/>
      <x:c r="P31" s="14" t="n">
        <x:v>10.33</x:v>
      </x:c>
      <x:c r="Q31" s="14" t="n">
        <x:v>57.41</x:v>
      </x:c>
      <x:c r="R31" s="15"/>
      <x:c r="S31" s="15"/>
      <x:c r="T31" s="15"/>
      <x:c r="U31" s="16"/>
      <x:c r="V31" t="str">
        <x:v>Alto Real Estate</x:v>
      </x:c>
      <x:c r="W31" t="str">
        <x:v>Ružinov</x:v>
      </x:c>
      <x:c r="X31" s="11" t="str">
        <x:v>sold</x:v>
      </x:c>
      <x:c r="Y31" s="11" t="str">
        <x:v>https://www.alvy.sk/byt/2-b-12</x:v>
      </x:c>
      <x:c r="Z31" s="11" t="n">
        <x:v>46251.740894027775</x:v>
      </x:c>
      <x:c r="AA31" s="11" t="n">
        <x:v>46254.51251577547</x:v>
      </x:c>
      <x:c r="AB31" s="11" t="n">
        <x:v>46254.51251577547</x:v>
      </x:c>
      <x:c r="AC31" t="str">
        <x:v>alvy</x:v>
      </x:c>
    </x:row>
    <x:row r="32" ht="22" customHeight="1">
      <x:c r="A32" t="str">
        <x:v>ALVY</x:v>
      </x:c>
      <x:c r="B32" t="str">
        <x:v>2.b.13</x:v>
      </x:c>
      <x:c r="C32" t="str">
        <x:v>sold</x:v>
      </x:c>
      <x:c r="D32" t="str">
        <x:v>present</x:v>
      </x:c>
      <x:c r="E32" t="str">
        <x:v>baseline</x:v>
      </x:c>
      <x:c r="F32" s="11" t="n">
        <x:v>46251.740894027775</x:v>
      </x:c>
      <x:c r="G32" t="str">
        <x:v>flat</x:v>
      </x:c>
      <x:c r="H32" s="12" t="n">
        <x:v>2</x:v>
      </x:c>
      <x:c r="I32" s="13" t="n">
        <x:v>2</x:v>
      </x:c>
      <x:c r="J32" t="str">
        <x:v>SO 100</x:v>
      </x:c>
      <x:c r="K32" s="14" t="n">
        <x:v>47.14</x:v>
      </x:c>
      <x:c r="L32" s="14"/>
      <x:c r="M32" s="14"/>
      <x:c r="N32" s="14"/>
      <x:c r="O32" s="14"/>
      <x:c r="P32" s="14" t="n">
        <x:v>10.33</x:v>
      </x:c>
      <x:c r="Q32" s="14" t="n">
        <x:v>57.47</x:v>
      </x:c>
      <x:c r="R32" s="15"/>
      <x:c r="S32" s="15"/>
      <x:c r="T32" s="15"/>
      <x:c r="U32" s="16"/>
      <x:c r="V32" t="str">
        <x:v>Alto Real Estate</x:v>
      </x:c>
      <x:c r="W32" t="str">
        <x:v>Ružinov</x:v>
      </x:c>
      <x:c r="X32" s="11" t="str">
        <x:v>sold</x:v>
      </x:c>
      <x:c r="Y32" s="11" t="str">
        <x:v>https://www.alvy.sk/byt/2-b-13</x:v>
      </x:c>
      <x:c r="Z32" s="11" t="n">
        <x:v>46251.740894027775</x:v>
      </x:c>
      <x:c r="AA32" s="11" t="n">
        <x:v>46254.51251577547</x:v>
      </x:c>
      <x:c r="AB32" s="11" t="n">
        <x:v>46254.51251577547</x:v>
      </x:c>
      <x:c r="AC32" t="str">
        <x:v>alvy</x:v>
      </x:c>
    </x:row>
    <x:row r="33" ht="22" customHeight="1">
      <x:c r="A33" t="str">
        <x:v>ALVY</x:v>
      </x:c>
      <x:c r="B33" t="str">
        <x:v>2.b.14</x:v>
      </x:c>
      <x:c r="C33" t="str">
        <x:v>available</x:v>
      </x:c>
      <x:c r="D33" t="str">
        <x:v>present</x:v>
      </x:c>
      <x:c r="E33" t="str">
        <x:v>baseline</x:v>
      </x:c>
      <x:c r="F33" s="11" t="n">
        <x:v>46251.740894027775</x:v>
      </x:c>
      <x:c r="G33" t="str">
        <x:v>flat</x:v>
      </x:c>
      <x:c r="H33" s="12" t="n">
        <x:v>3</x:v>
      </x:c>
      <x:c r="I33" s="13" t="n">
        <x:v>2</x:v>
      </x:c>
      <x:c r="J33" t="str">
        <x:v>SO 100</x:v>
      </x:c>
      <x:c r="K33" s="14" t="n">
        <x:v>77.47</x:v>
      </x:c>
      <x:c r="L33" s="14"/>
      <x:c r="M33" s="14"/>
      <x:c r="N33" s="14"/>
      <x:c r="O33" s="14"/>
      <x:c r="P33" s="14" t="n">
        <x:v>27.2</x:v>
      </x:c>
      <x:c r="Q33" s="14" t="n">
        <x:v>104.67</x:v>
      </x:c>
      <x:c r="R33" s="15" t="n">
        <x:v>387450</x:v>
      </x:c>
      <x:c r="S33" s="15" t="n">
        <x:v>403314</x:v>
      </x:c>
      <x:c r="T33" s="15" t="n">
        <x:v>387450</x:v>
      </x:c>
      <x:c r="U33" s="16" t="n">
        <x:v>5001.29</x:v>
      </x:c>
      <x:c r="V33" t="str">
        <x:v>Alto Real Estate</x:v>
      </x:c>
      <x:c r="W33" t="str">
        <x:v>Ružinov</x:v>
      </x:c>
      <x:c r="X33" s="11" t="str">
        <x:v>free</x:v>
      </x:c>
      <x:c r="Y33" s="11" t="str">
        <x:v>https://www.alvy.sk/byt/2-b-14</x:v>
      </x:c>
      <x:c r="Z33" s="11" t="n">
        <x:v>46251.740894027775</x:v>
      </x:c>
      <x:c r="AA33" s="11" t="n">
        <x:v>46254.51251577547</x:v>
      </x:c>
      <x:c r="AB33" s="11" t="n">
        <x:v>46254.51251577547</x:v>
      </x:c>
      <x:c r="AC33" t="str">
        <x:v>alvy</x:v>
      </x:c>
    </x:row>
    <x:row r="34" ht="22" customHeight="1">
      <x:c r="A34" t="str">
        <x:v>ALVY</x:v>
      </x:c>
      <x:c r="B34" t="str">
        <x:v>2.b.15</x:v>
      </x:c>
      <x:c r="C34" t="str">
        <x:v>sold</x:v>
      </x:c>
      <x:c r="D34" t="str">
        <x:v>present</x:v>
      </x:c>
      <x:c r="E34" t="str">
        <x:v>baseline</x:v>
      </x:c>
      <x:c r="F34" s="11" t="n">
        <x:v>46251.740894027775</x:v>
      </x:c>
      <x:c r="G34" t="str">
        <x:v>flat</x:v>
      </x:c>
      <x:c r="H34" s="12" t="n">
        <x:v>2</x:v>
      </x:c>
      <x:c r="I34" s="13" t="n">
        <x:v>2</x:v>
      </x:c>
      <x:c r="J34" t="str">
        <x:v>SO 100</x:v>
      </x:c>
      <x:c r="K34" s="14" t="n">
        <x:v>49.11</x:v>
      </x:c>
      <x:c r="L34" s="14"/>
      <x:c r="M34" s="14"/>
      <x:c r="N34" s="14"/>
      <x:c r="O34" s="14"/>
      <x:c r="P34" s="14" t="n">
        <x:v>9.63</x:v>
      </x:c>
      <x:c r="Q34" s="14" t="n">
        <x:v>58.74</x:v>
      </x:c>
      <x:c r="R34" s="15"/>
      <x:c r="S34" s="15"/>
      <x:c r="T34" s="15"/>
      <x:c r="U34" s="16"/>
      <x:c r="V34" t="str">
        <x:v>Alto Real Estate</x:v>
      </x:c>
      <x:c r="W34" t="str">
        <x:v>Ružinov</x:v>
      </x:c>
      <x:c r="X34" s="11" t="str">
        <x:v>sold</x:v>
      </x:c>
      <x:c r="Y34" s="11" t="str">
        <x:v>https://www.alvy.sk/byt/2-b-15</x:v>
      </x:c>
      <x:c r="Z34" s="11" t="n">
        <x:v>46251.740894027775</x:v>
      </x:c>
      <x:c r="AA34" s="11" t="n">
        <x:v>46254.51251577547</x:v>
      </x:c>
      <x:c r="AB34" s="11" t="n">
        <x:v>46254.51251577547</x:v>
      </x:c>
      <x:c r="AC34" t="str">
        <x:v>alvy</x:v>
      </x:c>
    </x:row>
    <x:row r="35" ht="22" customHeight="1">
      <x:c r="A35" t="str">
        <x:v>ALVY</x:v>
      </x:c>
      <x:c r="B35" t="str">
        <x:v>3.b.01</x:v>
      </x:c>
      <x:c r="C35" t="str">
        <x:v>available</x:v>
      </x:c>
      <x:c r="D35" t="str">
        <x:v>present</x:v>
      </x:c>
      <x:c r="E35" t="str">
        <x:v>baseline</x:v>
      </x:c>
      <x:c r="F35" s="11" t="n">
        <x:v>46251.740894027775</x:v>
      </x:c>
      <x:c r="G35" t="str">
        <x:v>flat</x:v>
      </x:c>
      <x:c r="H35" s="12" t="n">
        <x:v>3</x:v>
      </x:c>
      <x:c r="I35" s="13" t="n">
        <x:v>3</x:v>
      </x:c>
      <x:c r="J35" t="str">
        <x:v>SO 100</x:v>
      </x:c>
      <x:c r="K35" s="14" t="n">
        <x:v>77.44</x:v>
      </x:c>
      <x:c r="L35" s="14"/>
      <x:c r="M35" s="14"/>
      <x:c r="N35" s="14"/>
      <x:c r="O35" s="14"/>
      <x:c r="P35" s="14" t="n">
        <x:v>27.2</x:v>
      </x:c>
      <x:c r="Q35" s="14" t="n">
        <x:v>104.64</x:v>
      </x:c>
      <x:c r="R35" s="15" t="n">
        <x:v>413280</x:v>
      </x:c>
      <x:c r="S35" s="15" t="n">
        <x:v>429731</x:v>
      </x:c>
      <x:c r="T35" s="15" t="n">
        <x:v>413280</x:v>
      </x:c>
      <x:c r="U35" s="16" t="n">
        <x:v>5336.78</x:v>
      </x:c>
      <x:c r="V35" t="str">
        <x:v>Alto Real Estate</x:v>
      </x:c>
      <x:c r="W35" t="str">
        <x:v>Ružinov</x:v>
      </x:c>
      <x:c r="X35" s="11" t="str">
        <x:v>free</x:v>
      </x:c>
      <x:c r="Y35" s="11" t="str">
        <x:v>https://www.alvy.sk/byt/3-b-01</x:v>
      </x:c>
      <x:c r="Z35" s="11" t="n">
        <x:v>46251.740894027775</x:v>
      </x:c>
      <x:c r="AA35" s="11" t="n">
        <x:v>46254.51251577547</x:v>
      </x:c>
      <x:c r="AB35" s="11" t="n">
        <x:v>46254.51251577547</x:v>
      </x:c>
      <x:c r="AC35" t="str">
        <x:v>alvy</x:v>
      </x:c>
    </x:row>
    <x:row r="36" ht="22" customHeight="1">
      <x:c r="A36" t="str">
        <x:v>ALVY</x:v>
      </x:c>
      <x:c r="B36" t="str">
        <x:v>3.b.02</x:v>
      </x:c>
      <x:c r="C36" t="str">
        <x:v>sold</x:v>
      </x:c>
      <x:c r="D36" t="str">
        <x:v>present</x:v>
      </x:c>
      <x:c r="E36" t="str">
        <x:v>baseline</x:v>
      </x:c>
      <x:c r="F36" s="11" t="n">
        <x:v>46251.740894027775</x:v>
      </x:c>
      <x:c r="G36" t="str">
        <x:v>flat</x:v>
      </x:c>
      <x:c r="H36" s="12" t="n">
        <x:v>2</x:v>
      </x:c>
      <x:c r="I36" s="13" t="n">
        <x:v>3</x:v>
      </x:c>
      <x:c r="J36" t="str">
        <x:v>SO 100</x:v>
      </x:c>
      <x:c r="K36" s="14" t="n">
        <x:v>47.15</x:v>
      </x:c>
      <x:c r="L36" s="14"/>
      <x:c r="M36" s="14"/>
      <x:c r="N36" s="14"/>
      <x:c r="O36" s="14"/>
      <x:c r="P36" s="14" t="n">
        <x:v>10.33</x:v>
      </x:c>
      <x:c r="Q36" s="14" t="n">
        <x:v>57.48</x:v>
      </x:c>
      <x:c r="R36" s="15"/>
      <x:c r="S36" s="15"/>
      <x:c r="T36" s="15"/>
      <x:c r="U36" s="16"/>
      <x:c r="V36" t="str">
        <x:v>Alto Real Estate</x:v>
      </x:c>
      <x:c r="W36" t="str">
        <x:v>Ružinov</x:v>
      </x:c>
      <x:c r="X36" s="11" t="str">
        <x:v>sold</x:v>
      </x:c>
      <x:c r="Y36" s="11" t="str">
        <x:v>https://www.alvy.sk/byt/3-b-02</x:v>
      </x:c>
      <x:c r="Z36" s="11" t="n">
        <x:v>46251.740894027775</x:v>
      </x:c>
      <x:c r="AA36" s="11" t="n">
        <x:v>46254.51251577547</x:v>
      </x:c>
      <x:c r="AB36" s="11" t="n">
        <x:v>46254.51251577547</x:v>
      </x:c>
      <x:c r="AC36" t="str">
        <x:v>alvy</x:v>
      </x:c>
    </x:row>
    <x:row r="37" ht="22" customHeight="1">
      <x:c r="A37" t="str">
        <x:v>ALVY</x:v>
      </x:c>
      <x:c r="B37" t="str">
        <x:v>3.b.03</x:v>
      </x:c>
      <x:c r="C37" t="str">
        <x:v>sold</x:v>
      </x:c>
      <x:c r="D37" t="str">
        <x:v>present</x:v>
      </x:c>
      <x:c r="E37" t="str">
        <x:v>baseline</x:v>
      </x:c>
      <x:c r="F37" s="11" t="n">
        <x:v>46251.740894027775</x:v>
      </x:c>
      <x:c r="G37" t="str">
        <x:v>flat</x:v>
      </x:c>
      <x:c r="H37" s="12" t="n">
        <x:v>2</x:v>
      </x:c>
      <x:c r="I37" s="13" t="n">
        <x:v>3</x:v>
      </x:c>
      <x:c r="J37" t="str">
        <x:v>SO 100</x:v>
      </x:c>
      <x:c r="K37" s="14" t="n">
        <x:v>47.23</x:v>
      </x:c>
      <x:c r="L37" s="14"/>
      <x:c r="M37" s="14"/>
      <x:c r="N37" s="14"/>
      <x:c r="O37" s="14"/>
      <x:c r="P37" s="14" t="n">
        <x:v>10.33</x:v>
      </x:c>
      <x:c r="Q37" s="14" t="n">
        <x:v>57.56</x:v>
      </x:c>
      <x:c r="R37" s="15"/>
      <x:c r="S37" s="15"/>
      <x:c r="T37" s="15"/>
      <x:c r="U37" s="16"/>
      <x:c r="V37" t="str">
        <x:v>Alto Real Estate</x:v>
      </x:c>
      <x:c r="W37" t="str">
        <x:v>Ružinov</x:v>
      </x:c>
      <x:c r="X37" s="11" t="str">
        <x:v>sold</x:v>
      </x:c>
      <x:c r="Y37" s="11" t="str">
        <x:v>https://www.alvy.sk/byt/3-b-03</x:v>
      </x:c>
      <x:c r="Z37" s="11" t="n">
        <x:v>46251.740894027775</x:v>
      </x:c>
      <x:c r="AA37" s="11" t="n">
        <x:v>46254.51251577547</x:v>
      </x:c>
      <x:c r="AB37" s="11" t="n">
        <x:v>46254.51251577547</x:v>
      </x:c>
      <x:c r="AC37" t="str">
        <x:v>alvy</x:v>
      </x:c>
    </x:row>
    <x:row r="38" ht="22" customHeight="1">
      <x:c r="A38" t="str">
        <x:v>ALVY</x:v>
      </x:c>
      <x:c r="B38" t="str">
        <x:v>3.b.04</x:v>
      </x:c>
      <x:c r="C38" t="str">
        <x:v>sold</x:v>
      </x:c>
      <x:c r="D38" t="str">
        <x:v>present</x:v>
      </x:c>
      <x:c r="E38" t="str">
        <x:v>baseline</x:v>
      </x:c>
      <x:c r="F38" s="11" t="n">
        <x:v>46251.740894027775</x:v>
      </x:c>
      <x:c r="G38" t="str">
        <x:v>flat</x:v>
      </x:c>
      <x:c r="H38" s="12" t="n">
        <x:v>2</x:v>
      </x:c>
      <x:c r="I38" s="13" t="n">
        <x:v>3</x:v>
      </x:c>
      <x:c r="J38" t="str">
        <x:v>SO 100</x:v>
      </x:c>
      <x:c r="K38" s="14" t="n">
        <x:v>47.09</x:v>
      </x:c>
      <x:c r="L38" s="14"/>
      <x:c r="M38" s="14"/>
      <x:c r="N38" s="14"/>
      <x:c r="O38" s="14"/>
      <x:c r="P38" s="14" t="n">
        <x:v>10.33</x:v>
      </x:c>
      <x:c r="Q38" s="14" t="n">
        <x:v>57.42</x:v>
      </x:c>
      <x:c r="R38" s="15"/>
      <x:c r="S38" s="15"/>
      <x:c r="T38" s="15"/>
      <x:c r="U38" s="16"/>
      <x:c r="V38" t="str">
        <x:v>Alto Real Estate</x:v>
      </x:c>
      <x:c r="W38" t="str">
        <x:v>Ružinov</x:v>
      </x:c>
      <x:c r="X38" s="11" t="str">
        <x:v>sold</x:v>
      </x:c>
      <x:c r="Y38" s="11" t="str">
        <x:v>https://www.alvy.sk/byt/3-b-04</x:v>
      </x:c>
      <x:c r="Z38" s="11" t="n">
        <x:v>46251.740894027775</x:v>
      </x:c>
      <x:c r="AA38" s="11" t="n">
        <x:v>46254.51251577547</x:v>
      </x:c>
      <x:c r="AB38" s="11" t="n">
        <x:v>46254.51251577547</x:v>
      </x:c>
      <x:c r="AC38" t="str">
        <x:v>alvy</x:v>
      </x:c>
    </x:row>
    <x:row r="39" ht="22" customHeight="1">
      <x:c r="A39" t="str">
        <x:v>ALVY</x:v>
      </x:c>
      <x:c r="B39" t="str">
        <x:v>3.b.05</x:v>
      </x:c>
      <x:c r="C39" t="str">
        <x:v>pre_reserved</x:v>
      </x:c>
      <x:c r="D39" t="str">
        <x:v>present</x:v>
      </x:c>
      <x:c r="E39" t="str">
        <x:v>baseline</x:v>
      </x:c>
      <x:c r="F39" s="11" t="n">
        <x:v>46251.740894027775</x:v>
      </x:c>
      <x:c r="G39" t="str">
        <x:v>flat</x:v>
      </x:c>
      <x:c r="H39" s="12" t="n">
        <x:v>2</x:v>
      </x:c>
      <x:c r="I39" s="13" t="n">
        <x:v>3</x:v>
      </x:c>
      <x:c r="J39" t="str">
        <x:v>SO 100</x:v>
      </x:c>
      <x:c r="K39" s="14" t="n">
        <x:v>53.26</x:v>
      </x:c>
      <x:c r="L39" s="14"/>
      <x:c r="M39" s="14"/>
      <x:c r="N39" s="14"/>
      <x:c r="O39" s="14"/>
      <x:c r="P39" s="14" t="n">
        <x:v>10.33</x:v>
      </x:c>
      <x:c r="Q39" s="14" t="n">
        <x:v>63.59</x:v>
      </x:c>
      <x:c r="R39" s="15" t="n">
        <x:v>285360</x:v>
      </x:c>
      <x:c r="S39" s="15" t="n">
        <x:v>296160</x:v>
      </x:c>
      <x:c r="T39" s="15" t="n">
        <x:v>285360</x:v>
      </x:c>
      <x:c r="U39" s="16" t="n">
        <x:v>5357.87</x:v>
      </x:c>
      <x:c r="V39" t="str">
        <x:v>Alto Real Estate</x:v>
      </x:c>
      <x:c r="W39" t="str">
        <x:v>Ružinov</x:v>
      </x:c>
      <x:c r="X39" s="11" t="str">
        <x:v>pre-reserved</x:v>
      </x:c>
      <x:c r="Y39" s="11" t="str">
        <x:v>https://www.alvy.sk/byt/3-b-05</x:v>
      </x:c>
      <x:c r="Z39" s="11" t="n">
        <x:v>46251.740894027775</x:v>
      </x:c>
      <x:c r="AA39" s="11" t="n">
        <x:v>46254.51251577547</x:v>
      </x:c>
      <x:c r="AB39" s="11" t="n">
        <x:v>46254.51251577547</x:v>
      </x:c>
      <x:c r="AC39" t="str">
        <x:v>alvy</x:v>
      </x:c>
    </x:row>
    <x:row r="40" ht="22" customHeight="1">
      <x:c r="A40" t="str">
        <x:v>ALVY</x:v>
      </x:c>
      <x:c r="B40" t="str">
        <x:v>3.b.06</x:v>
      </x:c>
      <x:c r="C40" t="str">
        <x:v>sold</x:v>
      </x:c>
      <x:c r="D40" t="str">
        <x:v>present</x:v>
      </x:c>
      <x:c r="E40" t="str">
        <x:v>baseline</x:v>
      </x:c>
      <x:c r="F40" s="11" t="n">
        <x:v>46251.740894027775</x:v>
      </x:c>
      <x:c r="G40" t="str">
        <x:v>flat</x:v>
      </x:c>
      <x:c r="H40" s="12" t="n">
        <x:v>1</x:v>
      </x:c>
      <x:c r="I40" s="13" t="n">
        <x:v>3</x:v>
      </x:c>
      <x:c r="J40" t="str">
        <x:v>SO 100</x:v>
      </x:c>
      <x:c r="K40" s="14" t="n">
        <x:v>35.04</x:v>
      </x:c>
      <x:c r="L40" s="14"/>
      <x:c r="M40" s="14"/>
      <x:c r="N40" s="14"/>
      <x:c r="O40" s="14"/>
      <x:c r="P40" s="14" t="n">
        <x:v>6.18</x:v>
      </x:c>
      <x:c r="Q40" s="14" t="n">
        <x:v>41.22</x:v>
      </x:c>
      <x:c r="R40" s="15"/>
      <x:c r="S40" s="15"/>
      <x:c r="T40" s="15"/>
      <x:c r="U40" s="16"/>
      <x:c r="V40" t="str">
        <x:v>Alto Real Estate</x:v>
      </x:c>
      <x:c r="W40" t="str">
        <x:v>Ružinov</x:v>
      </x:c>
      <x:c r="X40" s="11" t="str">
        <x:v>sold</x:v>
      </x:c>
      <x:c r="Y40" s="11" t="str">
        <x:v>https://www.alvy.sk/byt/3-b-06</x:v>
      </x:c>
      <x:c r="Z40" s="11" t="n">
        <x:v>46251.740894027775</x:v>
      </x:c>
      <x:c r="AA40" s="11" t="n">
        <x:v>46254.51251577547</x:v>
      </x:c>
      <x:c r="AB40" s="11" t="n">
        <x:v>46254.51251577547</x:v>
      </x:c>
      <x:c r="AC40" t="str">
        <x:v>alvy</x:v>
      </x:c>
    </x:row>
    <x:row r="41" ht="22" customHeight="1">
      <x:c r="A41" t="str">
        <x:v>ALVY</x:v>
      </x:c>
      <x:c r="B41" t="str">
        <x:v>3.b.07</x:v>
      </x:c>
      <x:c r="C41" t="str">
        <x:v>available</x:v>
      </x:c>
      <x:c r="D41" t="str">
        <x:v>present</x:v>
      </x:c>
      <x:c r="E41" t="str">
        <x:v>baseline</x:v>
      </x:c>
      <x:c r="F41" s="11" t="n">
        <x:v>46251.740894027775</x:v>
      </x:c>
      <x:c r="G41" t="str">
        <x:v>flat</x:v>
      </x:c>
      <x:c r="H41" s="12" t="n">
        <x:v>3</x:v>
      </x:c>
      <x:c r="I41" s="13" t="n">
        <x:v>3</x:v>
      </x:c>
      <x:c r="J41" t="str">
        <x:v>SO 100</x:v>
      </x:c>
      <x:c r="K41" s="14" t="n">
        <x:v>73.78</x:v>
      </x:c>
      <x:c r="L41" s="14"/>
      <x:c r="M41" s="14"/>
      <x:c r="N41" s="14"/>
      <x:c r="O41" s="14"/>
      <x:c r="P41" s="14" t="n">
        <x:v>11.19</x:v>
      </x:c>
      <x:c r="Q41" s="14" t="n">
        <x:v>84.97</x:v>
      </x:c>
      <x:c r="R41" s="15" t="n">
        <x:v>364080</x:v>
      </x:c>
      <x:c r="S41" s="15" t="n">
        <x:v>378165</x:v>
      </x:c>
      <x:c r="T41" s="15" t="n">
        <x:v>364080</x:v>
      </x:c>
      <x:c r="U41" s="16" t="n">
        <x:v>4934.67</x:v>
      </x:c>
      <x:c r="V41" t="str">
        <x:v>Alto Real Estate</x:v>
      </x:c>
      <x:c r="W41" t="str">
        <x:v>Ružinov</x:v>
      </x:c>
      <x:c r="X41" s="11" t="str">
        <x:v>free</x:v>
      </x:c>
      <x:c r="Y41" s="11" t="str">
        <x:v>https://www.alvy.sk/byt/3-b-07</x:v>
      </x:c>
      <x:c r="Z41" s="11" t="n">
        <x:v>46251.740894027775</x:v>
      </x:c>
      <x:c r="AA41" s="11" t="n">
        <x:v>46254.51251577547</x:v>
      </x:c>
      <x:c r="AB41" s="11" t="n">
        <x:v>46254.51251577547</x:v>
      </x:c>
      <x:c r="AC41" t="str">
        <x:v>alvy</x:v>
      </x:c>
    </x:row>
    <x:row r="42" ht="22" customHeight="1">
      <x:c r="A42" t="str">
        <x:v>ALVY</x:v>
      </x:c>
      <x:c r="B42" t="str">
        <x:v>3.b.08</x:v>
      </x:c>
      <x:c r="C42" t="str">
        <x:v>sold</x:v>
      </x:c>
      <x:c r="D42" t="str">
        <x:v>present</x:v>
      </x:c>
      <x:c r="E42" t="str">
        <x:v>baseline</x:v>
      </x:c>
      <x:c r="F42" s="11" t="n">
        <x:v>46251.740894027775</x:v>
      </x:c>
      <x:c r="G42" t="str">
        <x:v>flat</x:v>
      </x:c>
      <x:c r="H42" s="12" t="n">
        <x:v>3</x:v>
      </x:c>
      <x:c r="I42" s="13" t="n">
        <x:v>3</x:v>
      </x:c>
      <x:c r="J42" t="str">
        <x:v>SO 100</x:v>
      </x:c>
      <x:c r="K42" s="14" t="n">
        <x:v>73.78</x:v>
      </x:c>
      <x:c r="L42" s="14"/>
      <x:c r="M42" s="14"/>
      <x:c r="N42" s="14"/>
      <x:c r="O42" s="14"/>
      <x:c r="P42" s="14" t="n">
        <x:v>11.19</x:v>
      </x:c>
      <x:c r="Q42" s="14" t="n">
        <x:v>84.97</x:v>
      </x:c>
      <x:c r="R42" s="15"/>
      <x:c r="S42" s="15"/>
      <x:c r="T42" s="15"/>
      <x:c r="U42" s="16"/>
      <x:c r="V42" t="str">
        <x:v>Alto Real Estate</x:v>
      </x:c>
      <x:c r="W42" t="str">
        <x:v>Ružinov</x:v>
      </x:c>
      <x:c r="X42" s="11" t="str">
        <x:v>sold</x:v>
      </x:c>
      <x:c r="Y42" s="11" t="str">
        <x:v>https://www.alvy.sk/byt/3-b-08</x:v>
      </x:c>
      <x:c r="Z42" s="11" t="n">
        <x:v>46251.740894027775</x:v>
      </x:c>
      <x:c r="AA42" s="11" t="n">
        <x:v>46254.51251577547</x:v>
      </x:c>
      <x:c r="AB42" s="11" t="n">
        <x:v>46254.51251577547</x:v>
      </x:c>
      <x:c r="AC42" t="str">
        <x:v>alvy</x:v>
      </x:c>
    </x:row>
    <x:row r="43" ht="22" customHeight="1">
      <x:c r="A43" t="str">
        <x:v>ALVY</x:v>
      </x:c>
      <x:c r="B43" t="str">
        <x:v>3.b.09</x:v>
      </x:c>
      <x:c r="C43" t="str">
        <x:v>sold</x:v>
      </x:c>
      <x:c r="D43" t="str">
        <x:v>present</x:v>
      </x:c>
      <x:c r="E43" t="str">
        <x:v>baseline</x:v>
      </x:c>
      <x:c r="F43" s="11" t="n">
        <x:v>46251.740894027775</x:v>
      </x:c>
      <x:c r="G43" t="str">
        <x:v>flat</x:v>
      </x:c>
      <x:c r="H43" s="12" t="n">
        <x:v>1</x:v>
      </x:c>
      <x:c r="I43" s="13" t="n">
        <x:v>3</x:v>
      </x:c>
      <x:c r="J43" t="str">
        <x:v>SO 100</x:v>
      </x:c>
      <x:c r="K43" s="14" t="n">
        <x:v>35.04</x:v>
      </x:c>
      <x:c r="L43" s="14"/>
      <x:c r="M43" s="14"/>
      <x:c r="N43" s="14"/>
      <x:c r="O43" s="14"/>
      <x:c r="P43" s="14" t="n">
        <x:v>6.18</x:v>
      </x:c>
      <x:c r="Q43" s="14" t="n">
        <x:v>41.22</x:v>
      </x:c>
      <x:c r="R43" s="15"/>
      <x:c r="S43" s="15"/>
      <x:c r="T43" s="15"/>
      <x:c r="U43" s="16"/>
      <x:c r="V43" t="str">
        <x:v>Alto Real Estate</x:v>
      </x:c>
      <x:c r="W43" t="str">
        <x:v>Ružinov</x:v>
      </x:c>
      <x:c r="X43" s="11" t="str">
        <x:v>sold</x:v>
      </x:c>
      <x:c r="Y43" s="11" t="str">
        <x:v>https://www.alvy.sk/byt/3-b-09</x:v>
      </x:c>
      <x:c r="Z43" s="11" t="n">
        <x:v>46251.740894027775</x:v>
      </x:c>
      <x:c r="AA43" s="11" t="n">
        <x:v>46254.51251577547</x:v>
      </x:c>
      <x:c r="AB43" s="11" t="n">
        <x:v>46254.51251577547</x:v>
      </x:c>
      <x:c r="AC43" t="str">
        <x:v>alvy</x:v>
      </x:c>
    </x:row>
    <x:row r="44" ht="22" customHeight="1">
      <x:c r="A44" t="str">
        <x:v>ALVY</x:v>
      </x:c>
      <x:c r="B44" t="str">
        <x:v>3.b.10</x:v>
      </x:c>
      <x:c r="C44" t="str">
        <x:v>sold</x:v>
      </x:c>
      <x:c r="D44" t="str">
        <x:v>present</x:v>
      </x:c>
      <x:c r="E44" t="str">
        <x:v>baseline</x:v>
      </x:c>
      <x:c r="F44" s="11" t="n">
        <x:v>46251.740894027775</x:v>
      </x:c>
      <x:c r="G44" t="str">
        <x:v>flat</x:v>
      </x:c>
      <x:c r="H44" s="12" t="n">
        <x:v>2</x:v>
      </x:c>
      <x:c r="I44" s="13" t="n">
        <x:v>3</x:v>
      </x:c>
      <x:c r="J44" t="str">
        <x:v>SO 100</x:v>
      </x:c>
      <x:c r="K44" s="14" t="n">
        <x:v>53.27</x:v>
      </x:c>
      <x:c r="L44" s="14"/>
      <x:c r="M44" s="14"/>
      <x:c r="N44" s="14"/>
      <x:c r="O44" s="14"/>
      <x:c r="P44" s="14" t="n">
        <x:v>10.33</x:v>
      </x:c>
      <x:c r="Q44" s="14" t="n">
        <x:v>63.6</x:v>
      </x:c>
      <x:c r="R44" s="15"/>
      <x:c r="S44" s="15"/>
      <x:c r="T44" s="15"/>
      <x:c r="U44" s="16"/>
      <x:c r="V44" t="str">
        <x:v>Alto Real Estate</x:v>
      </x:c>
      <x:c r="W44" t="str">
        <x:v>Ružinov</x:v>
      </x:c>
      <x:c r="X44" s="11" t="str">
        <x:v>sold</x:v>
      </x:c>
      <x:c r="Y44" s="11" t="str">
        <x:v>https://www.alvy.sk/byt/3-b-10</x:v>
      </x:c>
      <x:c r="Z44" s="11" t="n">
        <x:v>46251.740894027775</x:v>
      </x:c>
      <x:c r="AA44" s="11" t="n">
        <x:v>46254.51251577547</x:v>
      </x:c>
      <x:c r="AB44" s="11" t="n">
        <x:v>46254.51251577547</x:v>
      </x:c>
      <x:c r="AC44" t="str">
        <x:v>alvy</x:v>
      </x:c>
    </x:row>
    <x:row r="45" ht="22" customHeight="1">
      <x:c r="A45" t="str">
        <x:v>ALVY</x:v>
      </x:c>
      <x:c r="B45" t="str">
        <x:v>3.b.11</x:v>
      </x:c>
      <x:c r="C45" t="str">
        <x:v>sold</x:v>
      </x:c>
      <x:c r="D45" t="str">
        <x:v>present</x:v>
      </x:c>
      <x:c r="E45" t="str">
        <x:v>baseline</x:v>
      </x:c>
      <x:c r="F45" s="11" t="n">
        <x:v>46251.740894027775</x:v>
      </x:c>
      <x:c r="G45" t="str">
        <x:v>flat</x:v>
      </x:c>
      <x:c r="H45" s="12" t="n">
        <x:v>2</x:v>
      </x:c>
      <x:c r="I45" s="13" t="n">
        <x:v>3</x:v>
      </x:c>
      <x:c r="J45" t="str">
        <x:v>SO 100</x:v>
      </x:c>
      <x:c r="K45" s="14" t="n">
        <x:v>47.07</x:v>
      </x:c>
      <x:c r="L45" s="14"/>
      <x:c r="M45" s="14"/>
      <x:c r="N45" s="14"/>
      <x:c r="O45" s="14"/>
      <x:c r="P45" s="14" t="n">
        <x:v>10.33</x:v>
      </x:c>
      <x:c r="Q45" s="14" t="n">
        <x:v>57.4</x:v>
      </x:c>
      <x:c r="R45" s="15"/>
      <x:c r="S45" s="15"/>
      <x:c r="T45" s="15"/>
      <x:c r="U45" s="16"/>
      <x:c r="V45" t="str">
        <x:v>Alto Real Estate</x:v>
      </x:c>
      <x:c r="W45" t="str">
        <x:v>Ružinov</x:v>
      </x:c>
      <x:c r="X45" s="11" t="str">
        <x:v>sold</x:v>
      </x:c>
      <x:c r="Y45" s="11" t="str">
        <x:v>https://www.alvy.sk/byt/3-b-11</x:v>
      </x:c>
      <x:c r="Z45" s="11" t="n">
        <x:v>46251.740894027775</x:v>
      </x:c>
      <x:c r="AA45" s="11" t="n">
        <x:v>46254.51251577547</x:v>
      </x:c>
      <x:c r="AB45" s="11" t="n">
        <x:v>46254.51251577547</x:v>
      </x:c>
      <x:c r="AC45" t="str">
        <x:v>alvy</x:v>
      </x:c>
    </x:row>
    <x:row r="46" ht="22" customHeight="1">
      <x:c r="A46" t="str">
        <x:v>ALVY</x:v>
      </x:c>
      <x:c r="B46" t="str">
        <x:v>3.b.12</x:v>
      </x:c>
      <x:c r="C46" t="str">
        <x:v>sold</x:v>
      </x:c>
      <x:c r="D46" t="str">
        <x:v>present</x:v>
      </x:c>
      <x:c r="E46" t="str">
        <x:v>baseline</x:v>
      </x:c>
      <x:c r="F46" s="11" t="n">
        <x:v>46251.740894027775</x:v>
      </x:c>
      <x:c r="G46" t="str">
        <x:v>flat</x:v>
      </x:c>
      <x:c r="H46" s="12" t="n">
        <x:v>2</x:v>
      </x:c>
      <x:c r="I46" s="13" t="n">
        <x:v>3</x:v>
      </x:c>
      <x:c r="J46" t="str">
        <x:v>SO 100</x:v>
      </x:c>
      <x:c r="K46" s="14" t="n">
        <x:v>47.08</x:v>
      </x:c>
      <x:c r="L46" s="14"/>
      <x:c r="M46" s="14"/>
      <x:c r="N46" s="14"/>
      <x:c r="O46" s="14"/>
      <x:c r="P46" s="14" t="n">
        <x:v>10.33</x:v>
      </x:c>
      <x:c r="Q46" s="14" t="n">
        <x:v>57.41</x:v>
      </x:c>
      <x:c r="R46" s="15"/>
      <x:c r="S46" s="15"/>
      <x:c r="T46" s="15"/>
      <x:c r="U46" s="16"/>
      <x:c r="V46" t="str">
        <x:v>Alto Real Estate</x:v>
      </x:c>
      <x:c r="W46" t="str">
        <x:v>Ružinov</x:v>
      </x:c>
      <x:c r="X46" s="11" t="str">
        <x:v>sold</x:v>
      </x:c>
      <x:c r="Y46" s="11" t="str">
        <x:v>https://www.alvy.sk/byt/3-b-12</x:v>
      </x:c>
      <x:c r="Z46" s="11" t="n">
        <x:v>46251.740894027775</x:v>
      </x:c>
      <x:c r="AA46" s="11" t="n">
        <x:v>46254.51251577547</x:v>
      </x:c>
      <x:c r="AB46" s="11" t="n">
        <x:v>46254.51251577547</x:v>
      </x:c>
      <x:c r="AC46" t="str">
        <x:v>alvy</x:v>
      </x:c>
    </x:row>
    <x:row r="47" ht="22" customHeight="1">
      <x:c r="A47" t="str">
        <x:v>ALVY</x:v>
      </x:c>
      <x:c r="B47" t="str">
        <x:v>3.b.13</x:v>
      </x:c>
      <x:c r="C47" t="str">
        <x:v>sold</x:v>
      </x:c>
      <x:c r="D47" t="str">
        <x:v>present</x:v>
      </x:c>
      <x:c r="E47" t="str">
        <x:v>baseline</x:v>
      </x:c>
      <x:c r="F47" s="11" t="n">
        <x:v>46251.740894027775</x:v>
      </x:c>
      <x:c r="G47" t="str">
        <x:v>flat</x:v>
      </x:c>
      <x:c r="H47" s="12" t="n">
        <x:v>2</x:v>
      </x:c>
      <x:c r="I47" s="13" t="n">
        <x:v>3</x:v>
      </x:c>
      <x:c r="J47" t="str">
        <x:v>SO 100</x:v>
      </x:c>
      <x:c r="K47" s="14" t="n">
        <x:v>47.14</x:v>
      </x:c>
      <x:c r="L47" s="14"/>
      <x:c r="M47" s="14"/>
      <x:c r="N47" s="14"/>
      <x:c r="O47" s="14"/>
      <x:c r="P47" s="14" t="n">
        <x:v>10.33</x:v>
      </x:c>
      <x:c r="Q47" s="14" t="n">
        <x:v>57.47</x:v>
      </x:c>
      <x:c r="R47" s="15"/>
      <x:c r="S47" s="15"/>
      <x:c r="T47" s="15"/>
      <x:c r="U47" s="16"/>
      <x:c r="V47" t="str">
        <x:v>Alto Real Estate</x:v>
      </x:c>
      <x:c r="W47" t="str">
        <x:v>Ružinov</x:v>
      </x:c>
      <x:c r="X47" s="11" t="str">
        <x:v>sold</x:v>
      </x:c>
      <x:c r="Y47" s="11" t="str">
        <x:v>https://www.alvy.sk/byt/3-b-13</x:v>
      </x:c>
      <x:c r="Z47" s="11" t="n">
        <x:v>46251.740894027775</x:v>
      </x:c>
      <x:c r="AA47" s="11" t="n">
        <x:v>46254.51251577547</x:v>
      </x:c>
      <x:c r="AB47" s="11" t="n">
        <x:v>46254.51251577547</x:v>
      </x:c>
      <x:c r="AC47" t="str">
        <x:v>alvy</x:v>
      </x:c>
    </x:row>
    <x:row r="48" ht="22" customHeight="1">
      <x:c r="A48" t="str">
        <x:v>ALVY</x:v>
      </x:c>
      <x:c r="B48" t="str">
        <x:v>3.b.14</x:v>
      </x:c>
      <x:c r="C48" t="str">
        <x:v>available</x:v>
      </x:c>
      <x:c r="D48" t="str">
        <x:v>present</x:v>
      </x:c>
      <x:c r="E48" t="str">
        <x:v>baseline</x:v>
      </x:c>
      <x:c r="F48" s="11" t="n">
        <x:v>46251.740894027775</x:v>
      </x:c>
      <x:c r="G48" t="str">
        <x:v>flat</x:v>
      </x:c>
      <x:c r="H48" s="12" t="n">
        <x:v>3</x:v>
      </x:c>
      <x:c r="I48" s="13" t="n">
        <x:v>3</x:v>
      </x:c>
      <x:c r="J48" t="str">
        <x:v>SO 100</x:v>
      </x:c>
      <x:c r="K48" s="14" t="n">
        <x:v>77.47</x:v>
      </x:c>
      <x:c r="L48" s="14"/>
      <x:c r="M48" s="14"/>
      <x:c r="N48" s="14"/>
      <x:c r="O48" s="14"/>
      <x:c r="P48" s="14" t="n">
        <x:v>27.2</x:v>
      </x:c>
      <x:c r="Q48" s="14" t="n">
        <x:v>104.67</x:v>
      </x:c>
      <x:c r="R48" s="15" t="n">
        <x:v>393600</x:v>
      </x:c>
      <x:c r="S48" s="15" t="n">
        <x:v>409861</x:v>
      </x:c>
      <x:c r="T48" s="15" t="n">
        <x:v>393600</x:v>
      </x:c>
      <x:c r="U48" s="16" t="n">
        <x:v>5080.68</x:v>
      </x:c>
      <x:c r="V48" t="str">
        <x:v>Alto Real Estate</x:v>
      </x:c>
      <x:c r="W48" t="str">
        <x:v>Ružinov</x:v>
      </x:c>
      <x:c r="X48" s="11" t="str">
        <x:v>free</x:v>
      </x:c>
      <x:c r="Y48" s="11" t="str">
        <x:v>https://www.alvy.sk/byt/3-b-14</x:v>
      </x:c>
      <x:c r="Z48" s="11" t="n">
        <x:v>46251.740894027775</x:v>
      </x:c>
      <x:c r="AA48" s="11" t="n">
        <x:v>46254.51251577547</x:v>
      </x:c>
      <x:c r="AB48" s="11" t="n">
        <x:v>46254.51251577547</x:v>
      </x:c>
      <x:c r="AC48" t="str">
        <x:v>alvy</x:v>
      </x:c>
    </x:row>
    <x:row r="49" ht="22" customHeight="1">
      <x:c r="A49" t="str">
        <x:v>ALVY</x:v>
      </x:c>
      <x:c r="B49" t="str">
        <x:v>3.b.15</x:v>
      </x:c>
      <x:c r="C49" t="str">
        <x:v>sold</x:v>
      </x:c>
      <x:c r="D49" t="str">
        <x:v>present</x:v>
      </x:c>
      <x:c r="E49" t="str">
        <x:v>baseline</x:v>
      </x:c>
      <x:c r="F49" s="11" t="n">
        <x:v>46251.740894027775</x:v>
      </x:c>
      <x:c r="G49" t="str">
        <x:v>flat</x:v>
      </x:c>
      <x:c r="H49" s="12" t="n">
        <x:v>2</x:v>
      </x:c>
      <x:c r="I49" s="13" t="n">
        <x:v>3</x:v>
      </x:c>
      <x:c r="J49" t="str">
        <x:v>SO 100</x:v>
      </x:c>
      <x:c r="K49" s="14" t="n">
        <x:v>49.11</x:v>
      </x:c>
      <x:c r="L49" s="14"/>
      <x:c r="M49" s="14"/>
      <x:c r="N49" s="14"/>
      <x:c r="O49" s="14"/>
      <x:c r="P49" s="14" t="n">
        <x:v>9.63</x:v>
      </x:c>
      <x:c r="Q49" s="14" t="n">
        <x:v>58.74</x:v>
      </x:c>
      <x:c r="R49" s="15"/>
      <x:c r="S49" s="15"/>
      <x:c r="T49" s="15"/>
      <x:c r="U49" s="16"/>
      <x:c r="V49" t="str">
        <x:v>Alto Real Estate</x:v>
      </x:c>
      <x:c r="W49" t="str">
        <x:v>Ružinov</x:v>
      </x:c>
      <x:c r="X49" s="11" t="str">
        <x:v>sold</x:v>
      </x:c>
      <x:c r="Y49" s="11" t="str">
        <x:v>https://www.alvy.sk/byt/3-b-15</x:v>
      </x:c>
      <x:c r="Z49" s="11" t="n">
        <x:v>46251.740894027775</x:v>
      </x:c>
      <x:c r="AA49" s="11" t="n">
        <x:v>46254.51251577547</x:v>
      </x:c>
      <x:c r="AB49" s="11" t="n">
        <x:v>46254.51251577547</x:v>
      </x:c>
      <x:c r="AC49" t="str">
        <x:v>alvy</x:v>
      </x:c>
    </x:row>
    <x:row r="50" ht="22" customHeight="1">
      <x:c r="A50" t="str">
        <x:v>ALVY</x:v>
      </x:c>
      <x:c r="B50" t="str">
        <x:v>4.b.01</x:v>
      </x:c>
      <x:c r="C50" t="str">
        <x:v>available</x:v>
      </x:c>
      <x:c r="D50" t="str">
        <x:v>present</x:v>
      </x:c>
      <x:c r="E50" t="str">
        <x:v>baseline</x:v>
      </x:c>
      <x:c r="F50" s="11" t="n">
        <x:v>46251.740894027775</x:v>
      </x:c>
      <x:c r="G50" t="str">
        <x:v>flat</x:v>
      </x:c>
      <x:c r="H50" s="12" t="n">
        <x:v>3</x:v>
      </x:c>
      <x:c r="I50" s="13" t="n">
        <x:v>4</x:v>
      </x:c>
      <x:c r="J50" t="str">
        <x:v>SO 100</x:v>
      </x:c>
      <x:c r="K50" s="14" t="n">
        <x:v>77.44</x:v>
      </x:c>
      <x:c r="L50" s="14"/>
      <x:c r="M50" s="14"/>
      <x:c r="N50" s="14"/>
      <x:c r="O50" s="14"/>
      <x:c r="P50" s="14" t="n">
        <x:v>27.2</x:v>
      </x:c>
      <x:c r="Q50" s="14" t="n">
        <x:v>104.64</x:v>
      </x:c>
      <x:c r="R50" s="15" t="n">
        <x:v>419430</x:v>
      </x:c>
      <x:c r="S50" s="15" t="n">
        <x:v>436596</x:v>
      </x:c>
      <x:c r="T50" s="15" t="n">
        <x:v>419430</x:v>
      </x:c>
      <x:c r="U50" s="16" t="n">
        <x:v>5416.19</x:v>
      </x:c>
      <x:c r="V50" t="str">
        <x:v>Alto Real Estate</x:v>
      </x:c>
      <x:c r="W50" t="str">
        <x:v>Ružinov</x:v>
      </x:c>
      <x:c r="X50" s="11" t="str">
        <x:v>free</x:v>
      </x:c>
      <x:c r="Y50" s="11" t="str">
        <x:v>https://www.alvy.sk/byt/4-b-01</x:v>
      </x:c>
      <x:c r="Z50" s="11" t="n">
        <x:v>46251.740894027775</x:v>
      </x:c>
      <x:c r="AA50" s="11" t="n">
        <x:v>46254.51251577547</x:v>
      </x:c>
      <x:c r="AB50" s="11" t="n">
        <x:v>46254.51251577547</x:v>
      </x:c>
      <x:c r="AC50" t="str">
        <x:v>alvy</x:v>
      </x:c>
    </x:row>
    <x:row r="51" ht="22" customHeight="1">
      <x:c r="A51" t="str">
        <x:v>ALVY</x:v>
      </x:c>
      <x:c r="B51" t="str">
        <x:v>4.b.02</x:v>
      </x:c>
      <x:c r="C51" t="str">
        <x:v>sold</x:v>
      </x:c>
      <x:c r="D51" t="str">
        <x:v>present</x:v>
      </x:c>
      <x:c r="E51" t="str">
        <x:v>baseline</x:v>
      </x:c>
      <x:c r="F51" s="11" t="n">
        <x:v>46251.740894027775</x:v>
      </x:c>
      <x:c r="G51" t="str">
        <x:v>flat</x:v>
      </x:c>
      <x:c r="H51" s="12" t="n">
        <x:v>2</x:v>
      </x:c>
      <x:c r="I51" s="13" t="n">
        <x:v>4</x:v>
      </x:c>
      <x:c r="J51" t="str">
        <x:v>SO 100</x:v>
      </x:c>
      <x:c r="K51" s="14" t="n">
        <x:v>47.15</x:v>
      </x:c>
      <x:c r="L51" s="14"/>
      <x:c r="M51" s="14"/>
      <x:c r="N51" s="14"/>
      <x:c r="O51" s="14"/>
      <x:c r="P51" s="14" t="n">
        <x:v>10.33</x:v>
      </x:c>
      <x:c r="Q51" s="14" t="n">
        <x:v>57.48</x:v>
      </x:c>
      <x:c r="R51" s="15"/>
      <x:c r="S51" s="15"/>
      <x:c r="T51" s="15"/>
      <x:c r="U51" s="16"/>
      <x:c r="V51" t="str">
        <x:v>Alto Real Estate</x:v>
      </x:c>
      <x:c r="W51" t="str">
        <x:v>Ružinov</x:v>
      </x:c>
      <x:c r="X51" s="11" t="str">
        <x:v>sold</x:v>
      </x:c>
      <x:c r="Y51" s="11" t="str">
        <x:v>https://www.alvy.sk/byt/4-b-02</x:v>
      </x:c>
      <x:c r="Z51" s="11" t="n">
        <x:v>46251.740894027775</x:v>
      </x:c>
      <x:c r="AA51" s="11" t="n">
        <x:v>46254.51251577547</x:v>
      </x:c>
      <x:c r="AB51" s="11" t="n">
        <x:v>46254.51251577547</x:v>
      </x:c>
      <x:c r="AC51" t="str">
        <x:v>alvy</x:v>
      </x:c>
    </x:row>
    <x:row r="52" ht="22" customHeight="1">
      <x:c r="A52" t="str">
        <x:v>ALVY</x:v>
      </x:c>
      <x:c r="B52" t="str">
        <x:v>4.b.03</x:v>
      </x:c>
      <x:c r="C52" t="str">
        <x:v>sold</x:v>
      </x:c>
      <x:c r="D52" t="str">
        <x:v>present</x:v>
      </x:c>
      <x:c r="E52" t="str">
        <x:v>baseline</x:v>
      </x:c>
      <x:c r="F52" s="11" t="n">
        <x:v>46251.740894027775</x:v>
      </x:c>
      <x:c r="G52" t="str">
        <x:v>flat</x:v>
      </x:c>
      <x:c r="H52" s="12" t="n">
        <x:v>2</x:v>
      </x:c>
      <x:c r="I52" s="13" t="n">
        <x:v>4</x:v>
      </x:c>
      <x:c r="J52" t="str">
        <x:v>SO 100</x:v>
      </x:c>
      <x:c r="K52" s="14" t="n">
        <x:v>47.23</x:v>
      </x:c>
      <x:c r="L52" s="14"/>
      <x:c r="M52" s="14"/>
      <x:c r="N52" s="14"/>
      <x:c r="O52" s="14"/>
      <x:c r="P52" s="14" t="n">
        <x:v>10.33</x:v>
      </x:c>
      <x:c r="Q52" s="14" t="n">
        <x:v>57.56</x:v>
      </x:c>
      <x:c r="R52" s="15"/>
      <x:c r="S52" s="15"/>
      <x:c r="T52" s="15"/>
      <x:c r="U52" s="16"/>
      <x:c r="V52" t="str">
        <x:v>Alto Real Estate</x:v>
      </x:c>
      <x:c r="W52" t="str">
        <x:v>Ružinov</x:v>
      </x:c>
      <x:c r="X52" s="11" t="str">
        <x:v>sold</x:v>
      </x:c>
      <x:c r="Y52" s="11" t="str">
        <x:v>https://www.alvy.sk/byt/4-b-03</x:v>
      </x:c>
      <x:c r="Z52" s="11" t="n">
        <x:v>46251.740894027775</x:v>
      </x:c>
      <x:c r="AA52" s="11" t="n">
        <x:v>46254.51251577547</x:v>
      </x:c>
      <x:c r="AB52" s="11" t="n">
        <x:v>46254.51251577547</x:v>
      </x:c>
      <x:c r="AC52" t="str">
        <x:v>alvy</x:v>
      </x:c>
    </x:row>
    <x:row r="53" ht="22" customHeight="1">
      <x:c r="A53" t="str">
        <x:v>ALVY</x:v>
      </x:c>
      <x:c r="B53" t="str">
        <x:v>4.b.04</x:v>
      </x:c>
      <x:c r="C53" t="str">
        <x:v>sold</x:v>
      </x:c>
      <x:c r="D53" t="str">
        <x:v>present</x:v>
      </x:c>
      <x:c r="E53" t="str">
        <x:v>baseline</x:v>
      </x:c>
      <x:c r="F53" s="11" t="n">
        <x:v>46251.740894027775</x:v>
      </x:c>
      <x:c r="G53" t="str">
        <x:v>flat</x:v>
      </x:c>
      <x:c r="H53" s="12" t="n">
        <x:v>2</x:v>
      </x:c>
      <x:c r="I53" s="13" t="n">
        <x:v>4</x:v>
      </x:c>
      <x:c r="J53" t="str">
        <x:v>SO 100</x:v>
      </x:c>
      <x:c r="K53" s="14" t="n">
        <x:v>47.09</x:v>
      </x:c>
      <x:c r="L53" s="14"/>
      <x:c r="M53" s="14"/>
      <x:c r="N53" s="14"/>
      <x:c r="O53" s="14"/>
      <x:c r="P53" s="14" t="n">
        <x:v>10.33</x:v>
      </x:c>
      <x:c r="Q53" s="14" t="n">
        <x:v>57.42</x:v>
      </x:c>
      <x:c r="R53" s="15"/>
      <x:c r="S53" s="15"/>
      <x:c r="T53" s="15"/>
      <x:c r="U53" s="16"/>
      <x:c r="V53" t="str">
        <x:v>Alto Real Estate</x:v>
      </x:c>
      <x:c r="W53" t="str">
        <x:v>Ružinov</x:v>
      </x:c>
      <x:c r="X53" s="11" t="str">
        <x:v>sold</x:v>
      </x:c>
      <x:c r="Y53" s="11" t="str">
        <x:v>https://www.alvy.sk/byt/4-b-04</x:v>
      </x:c>
      <x:c r="Z53" s="11" t="n">
        <x:v>46251.740894027775</x:v>
      </x:c>
      <x:c r="AA53" s="11" t="n">
        <x:v>46254.51251577547</x:v>
      </x:c>
      <x:c r="AB53" s="11" t="n">
        <x:v>46254.51251577547</x:v>
      </x:c>
      <x:c r="AC53" t="str">
        <x:v>alvy</x:v>
      </x:c>
    </x:row>
    <x:row r="54" ht="22" customHeight="1">
      <x:c r="A54" t="str">
        <x:v>ALVY</x:v>
      </x:c>
      <x:c r="B54" t="str">
        <x:v>4.b.05</x:v>
      </x:c>
      <x:c r="C54" t="str">
        <x:v>pre_reserved</x:v>
      </x:c>
      <x:c r="D54" t="str">
        <x:v>present</x:v>
      </x:c>
      <x:c r="E54" t="str">
        <x:v>baseline</x:v>
      </x:c>
      <x:c r="F54" s="11" t="n">
        <x:v>46251.740894027775</x:v>
      </x:c>
      <x:c r="G54" t="str">
        <x:v>flat</x:v>
      </x:c>
      <x:c r="H54" s="12" t="n">
        <x:v>2</x:v>
      </x:c>
      <x:c r="I54" s="13" t="n">
        <x:v>4</x:v>
      </x:c>
      <x:c r="J54" t="str">
        <x:v>SO 100</x:v>
      </x:c>
      <x:c r="K54" s="14" t="n">
        <x:v>53.26</x:v>
      </x:c>
      <x:c r="L54" s="14"/>
      <x:c r="M54" s="14"/>
      <x:c r="N54" s="14"/>
      <x:c r="O54" s="14"/>
      <x:c r="P54" s="14" t="n">
        <x:v>10.33</x:v>
      </x:c>
      <x:c r="Q54" s="14" t="n">
        <x:v>63.59</x:v>
      </x:c>
      <x:c r="R54" s="15" t="n">
        <x:v>289050</x:v>
      </x:c>
      <x:c r="S54" s="15" t="n">
        <x:v>300890</x:v>
      </x:c>
      <x:c r="T54" s="15" t="n">
        <x:v>289050</x:v>
      </x:c>
      <x:c r="U54" s="16" t="n">
        <x:v>5427.15</x:v>
      </x:c>
      <x:c r="V54" t="str">
        <x:v>Alto Real Estate</x:v>
      </x:c>
      <x:c r="W54" t="str">
        <x:v>Ružinov</x:v>
      </x:c>
      <x:c r="X54" s="11" t="str">
        <x:v>pre-reserved</x:v>
      </x:c>
      <x:c r="Y54" s="11" t="str">
        <x:v>https://www.alvy.sk/byt/4-b-05</x:v>
      </x:c>
      <x:c r="Z54" s="11" t="n">
        <x:v>46251.740894027775</x:v>
      </x:c>
      <x:c r="AA54" s="11" t="n">
        <x:v>46254.51251577547</x:v>
      </x:c>
      <x:c r="AB54" s="11" t="n">
        <x:v>46254.51251577547</x:v>
      </x:c>
      <x:c r="AC54" t="str">
        <x:v>alvy</x:v>
      </x:c>
    </x:row>
    <x:row r="55" ht="22" customHeight="1">
      <x:c r="A55" t="str">
        <x:v>ALVY</x:v>
      </x:c>
      <x:c r="B55" t="str">
        <x:v>4.b.06</x:v>
      </x:c>
      <x:c r="C55" t="str">
        <x:v>sold</x:v>
      </x:c>
      <x:c r="D55" t="str">
        <x:v>present</x:v>
      </x:c>
      <x:c r="E55" t="str">
        <x:v>baseline</x:v>
      </x:c>
      <x:c r="F55" s="11" t="n">
        <x:v>46251.740894027775</x:v>
      </x:c>
      <x:c r="G55" t="str">
        <x:v>flat</x:v>
      </x:c>
      <x:c r="H55" s="12" t="n">
        <x:v>1</x:v>
      </x:c>
      <x:c r="I55" s="13" t="n">
        <x:v>4</x:v>
      </x:c>
      <x:c r="J55" t="str">
        <x:v>SO 100</x:v>
      </x:c>
      <x:c r="K55" s="14" t="n">
        <x:v>35.04</x:v>
      </x:c>
      <x:c r="L55" s="14"/>
      <x:c r="M55" s="14"/>
      <x:c r="N55" s="14"/>
      <x:c r="O55" s="14"/>
      <x:c r="P55" s="14" t="n">
        <x:v>6.18</x:v>
      </x:c>
      <x:c r="Q55" s="14" t="n">
        <x:v>41.22</x:v>
      </x:c>
      <x:c r="R55" s="15"/>
      <x:c r="S55" s="15"/>
      <x:c r="T55" s="15"/>
      <x:c r="U55" s="16"/>
      <x:c r="V55" t="str">
        <x:v>Alto Real Estate</x:v>
      </x:c>
      <x:c r="W55" t="str">
        <x:v>Ružinov</x:v>
      </x:c>
      <x:c r="X55" s="11" t="str">
        <x:v>sold</x:v>
      </x:c>
      <x:c r="Y55" s="11" t="str">
        <x:v>https://www.alvy.sk/byt/4-b-06</x:v>
      </x:c>
      <x:c r="Z55" s="11" t="n">
        <x:v>46251.740894027775</x:v>
      </x:c>
      <x:c r="AA55" s="11" t="n">
        <x:v>46254.51251577547</x:v>
      </x:c>
      <x:c r="AB55" s="11" t="n">
        <x:v>46254.51251577547</x:v>
      </x:c>
      <x:c r="AC55" t="str">
        <x:v>alvy</x:v>
      </x:c>
    </x:row>
    <x:row r="56" ht="22" customHeight="1">
      <x:c r="A56" t="str">
        <x:v>ALVY</x:v>
      </x:c>
      <x:c r="B56" t="str">
        <x:v>4.b.07</x:v>
      </x:c>
      <x:c r="C56" t="str">
        <x:v>available</x:v>
      </x:c>
      <x:c r="D56" t="str">
        <x:v>present</x:v>
      </x:c>
      <x:c r="E56" t="str">
        <x:v>baseline</x:v>
      </x:c>
      <x:c r="F56" s="11" t="n">
        <x:v>46251.740894027775</x:v>
      </x:c>
      <x:c r="G56" t="str">
        <x:v>flat</x:v>
      </x:c>
      <x:c r="H56" s="12" t="n">
        <x:v>3</x:v>
      </x:c>
      <x:c r="I56" s="13" t="n">
        <x:v>4</x:v>
      </x:c>
      <x:c r="J56" t="str">
        <x:v>SO 100</x:v>
      </x:c>
      <x:c r="K56" s="14" t="n">
        <x:v>73.78</x:v>
      </x:c>
      <x:c r="L56" s="14"/>
      <x:c r="M56" s="14"/>
      <x:c r="N56" s="14"/>
      <x:c r="O56" s="14"/>
      <x:c r="P56" s="14" t="n">
        <x:v>11.19</x:v>
      </x:c>
      <x:c r="Q56" s="14" t="n">
        <x:v>84.97</x:v>
      </x:c>
      <x:c r="R56" s="15" t="n">
        <x:v>369000</x:v>
      </x:c>
      <x:c r="S56" s="15" t="n">
        <x:v>384205</x:v>
      </x:c>
      <x:c r="T56" s="15" t="n">
        <x:v>369000</x:v>
      </x:c>
      <x:c r="U56" s="16" t="n">
        <x:v>5001.36</x:v>
      </x:c>
      <x:c r="V56" t="str">
        <x:v>Alto Real Estate</x:v>
      </x:c>
      <x:c r="W56" t="str">
        <x:v>Ružinov</x:v>
      </x:c>
      <x:c r="X56" s="11" t="str">
        <x:v>free</x:v>
      </x:c>
      <x:c r="Y56" s="11" t="str">
        <x:v>https://www.alvy.sk/byt/4-b-07</x:v>
      </x:c>
      <x:c r="Z56" s="11" t="n">
        <x:v>46251.740894027775</x:v>
      </x:c>
      <x:c r="AA56" s="11" t="n">
        <x:v>46254.51251577547</x:v>
      </x:c>
      <x:c r="AB56" s="11" t="n">
        <x:v>46254.51251577547</x:v>
      </x:c>
      <x:c r="AC56" t="str">
        <x:v>alvy</x:v>
      </x:c>
    </x:row>
    <x:row r="57" ht="22" customHeight="1">
      <x:c r="A57" t="str">
        <x:v>ALVY</x:v>
      </x:c>
      <x:c r="B57" t="str">
        <x:v>4.b.08</x:v>
      </x:c>
      <x:c r="C57" t="str">
        <x:v>reserved</x:v>
      </x:c>
      <x:c r="D57" t="str">
        <x:v>present</x:v>
      </x:c>
      <x:c r="E57" t="str">
        <x:v>baseline</x:v>
      </x:c>
      <x:c r="F57" s="11" t="n">
        <x:v>46251.740894027775</x:v>
      </x:c>
      <x:c r="G57" t="str">
        <x:v>flat</x:v>
      </x:c>
      <x:c r="H57" s="12" t="n">
        <x:v>3</x:v>
      </x:c>
      <x:c r="I57" s="13" t="n">
        <x:v>4</x:v>
      </x:c>
      <x:c r="J57" t="str">
        <x:v>SO 100</x:v>
      </x:c>
      <x:c r="K57" s="14" t="n">
        <x:v>73.78</x:v>
      </x:c>
      <x:c r="L57" s="14"/>
      <x:c r="M57" s="14"/>
      <x:c r="N57" s="14"/>
      <x:c r="O57" s="14"/>
      <x:c r="P57" s="14" t="n">
        <x:v>11.19</x:v>
      </x:c>
      <x:c r="Q57" s="14" t="n">
        <x:v>84.97</x:v>
      </x:c>
      <x:c r="R57" s="15"/>
      <x:c r="S57" s="15"/>
      <x:c r="T57" s="15"/>
      <x:c r="U57" s="16"/>
      <x:c r="V57" t="str">
        <x:v>Alto Real Estate</x:v>
      </x:c>
      <x:c r="W57" t="str">
        <x:v>Ružinov</x:v>
      </x:c>
      <x:c r="X57" s="11" t="str">
        <x:v>reserved</x:v>
      </x:c>
      <x:c r="Y57" s="11" t="str">
        <x:v>https://www.alvy.sk/byt/4-b-08</x:v>
      </x:c>
      <x:c r="Z57" s="11" t="n">
        <x:v>46251.740894027775</x:v>
      </x:c>
      <x:c r="AA57" s="11" t="n">
        <x:v>46254.51251577547</x:v>
      </x:c>
      <x:c r="AB57" s="11" t="n">
        <x:v>46254.51251577547</x:v>
      </x:c>
      <x:c r="AC57" t="str">
        <x:v>alvy</x:v>
      </x:c>
    </x:row>
    <x:row r="58" ht="22" customHeight="1">
      <x:c r="A58" t="str">
        <x:v>ALVY</x:v>
      </x:c>
      <x:c r="B58" t="str">
        <x:v>4.b.09</x:v>
      </x:c>
      <x:c r="C58" t="str">
        <x:v>sold</x:v>
      </x:c>
      <x:c r="D58" t="str">
        <x:v>present</x:v>
      </x:c>
      <x:c r="E58" t="str">
        <x:v>baseline</x:v>
      </x:c>
      <x:c r="F58" s="11" t="n">
        <x:v>46251.740894027775</x:v>
      </x:c>
      <x:c r="G58" t="str">
        <x:v>flat</x:v>
      </x:c>
      <x:c r="H58" s="12" t="n">
        <x:v>1</x:v>
      </x:c>
      <x:c r="I58" s="13" t="n">
        <x:v>4</x:v>
      </x:c>
      <x:c r="J58" t="str">
        <x:v>SO 100</x:v>
      </x:c>
      <x:c r="K58" s="14" t="n">
        <x:v>35.04</x:v>
      </x:c>
      <x:c r="L58" s="14"/>
      <x:c r="M58" s="14"/>
      <x:c r="N58" s="14"/>
      <x:c r="O58" s="14"/>
      <x:c r="P58" s="14" t="n">
        <x:v>6.18</x:v>
      </x:c>
      <x:c r="Q58" s="14" t="n">
        <x:v>41.22</x:v>
      </x:c>
      <x:c r="R58" s="15"/>
      <x:c r="S58" s="15"/>
      <x:c r="T58" s="15"/>
      <x:c r="U58" s="16"/>
      <x:c r="V58" t="str">
        <x:v>Alto Real Estate</x:v>
      </x:c>
      <x:c r="W58" t="str">
        <x:v>Ružinov</x:v>
      </x:c>
      <x:c r="X58" s="11" t="str">
        <x:v>sold</x:v>
      </x:c>
      <x:c r="Y58" s="11" t="str">
        <x:v>https://www.alvy.sk/byt/4-b-09</x:v>
      </x:c>
      <x:c r="Z58" s="11" t="n">
        <x:v>46251.740894027775</x:v>
      </x:c>
      <x:c r="AA58" s="11" t="n">
        <x:v>46254.51251577547</x:v>
      </x:c>
      <x:c r="AB58" s="11" t="n">
        <x:v>46254.51251577547</x:v>
      </x:c>
      <x:c r="AC58" t="str">
        <x:v>alvy</x:v>
      </x:c>
    </x:row>
    <x:row r="59" ht="22" customHeight="1">
      <x:c r="A59" t="str">
        <x:v>ALVY</x:v>
      </x:c>
      <x:c r="B59" t="str">
        <x:v>4.b.10</x:v>
      </x:c>
      <x:c r="C59" t="str">
        <x:v>sold</x:v>
      </x:c>
      <x:c r="D59" t="str">
        <x:v>present</x:v>
      </x:c>
      <x:c r="E59" t="str">
        <x:v>baseline</x:v>
      </x:c>
      <x:c r="F59" s="11" t="n">
        <x:v>46251.740894027775</x:v>
      </x:c>
      <x:c r="G59" t="str">
        <x:v>flat</x:v>
      </x:c>
      <x:c r="H59" s="12" t="n">
        <x:v>2</x:v>
      </x:c>
      <x:c r="I59" s="13" t="n">
        <x:v>4</x:v>
      </x:c>
      <x:c r="J59" t="str">
        <x:v>SO 100</x:v>
      </x:c>
      <x:c r="K59" s="14" t="n">
        <x:v>53.27</x:v>
      </x:c>
      <x:c r="L59" s="14"/>
      <x:c r="M59" s="14"/>
      <x:c r="N59" s="14"/>
      <x:c r="O59" s="14"/>
      <x:c r="P59" s="14" t="n">
        <x:v>10.33</x:v>
      </x:c>
      <x:c r="Q59" s="14" t="n">
        <x:v>63.6</x:v>
      </x:c>
      <x:c r="R59" s="15"/>
      <x:c r="S59" s="15"/>
      <x:c r="T59" s="15"/>
      <x:c r="U59" s="16"/>
      <x:c r="V59" t="str">
        <x:v>Alto Real Estate</x:v>
      </x:c>
      <x:c r="W59" t="str">
        <x:v>Ružinov</x:v>
      </x:c>
      <x:c r="X59" s="11" t="str">
        <x:v>sold</x:v>
      </x:c>
      <x:c r="Y59" s="11" t="str">
        <x:v>https://www.alvy.sk/byt/4-b-10</x:v>
      </x:c>
      <x:c r="Z59" s="11" t="n">
        <x:v>46251.740894027775</x:v>
      </x:c>
      <x:c r="AA59" s="11" t="n">
        <x:v>46254.51251577547</x:v>
      </x:c>
      <x:c r="AB59" s="11" t="n">
        <x:v>46254.51251577547</x:v>
      </x:c>
      <x:c r="AC59" t="str">
        <x:v>alvy</x:v>
      </x:c>
    </x:row>
    <x:row r="60" ht="22" customHeight="1">
      <x:c r="A60" t="str">
        <x:v>ALVY</x:v>
      </x:c>
      <x:c r="B60" t="str">
        <x:v>4.b.11</x:v>
      </x:c>
      <x:c r="C60" t="str">
        <x:v>sold</x:v>
      </x:c>
      <x:c r="D60" t="str">
        <x:v>present</x:v>
      </x:c>
      <x:c r="E60" t="str">
        <x:v>baseline</x:v>
      </x:c>
      <x:c r="F60" s="11" t="n">
        <x:v>46251.740894027775</x:v>
      </x:c>
      <x:c r="G60" t="str">
        <x:v>flat</x:v>
      </x:c>
      <x:c r="H60" s="12" t="n">
        <x:v>2</x:v>
      </x:c>
      <x:c r="I60" s="13" t="n">
        <x:v>4</x:v>
      </x:c>
      <x:c r="J60" t="str">
        <x:v>SO 100</x:v>
      </x:c>
      <x:c r="K60" s="14" t="n">
        <x:v>47.07</x:v>
      </x:c>
      <x:c r="L60" s="14"/>
      <x:c r="M60" s="14"/>
      <x:c r="N60" s="14"/>
      <x:c r="O60" s="14"/>
      <x:c r="P60" s="14" t="n">
        <x:v>10.33</x:v>
      </x:c>
      <x:c r="Q60" s="14" t="n">
        <x:v>57.4</x:v>
      </x:c>
      <x:c r="R60" s="15"/>
      <x:c r="S60" s="15"/>
      <x:c r="T60" s="15"/>
      <x:c r="U60" s="16"/>
      <x:c r="V60" t="str">
        <x:v>Alto Real Estate</x:v>
      </x:c>
      <x:c r="W60" t="str">
        <x:v>Ružinov</x:v>
      </x:c>
      <x:c r="X60" s="11" t="str">
        <x:v>sold</x:v>
      </x:c>
      <x:c r="Y60" s="11" t="str">
        <x:v>https://www.alvy.sk/byt/4-b-11</x:v>
      </x:c>
      <x:c r="Z60" s="11" t="n">
        <x:v>46251.740894027775</x:v>
      </x:c>
      <x:c r="AA60" s="11" t="n">
        <x:v>46254.51251577547</x:v>
      </x:c>
      <x:c r="AB60" s="11" t="n">
        <x:v>46254.51251577547</x:v>
      </x:c>
      <x:c r="AC60" t="str">
        <x:v>alvy</x:v>
      </x:c>
    </x:row>
    <x:row r="61" ht="22" customHeight="1">
      <x:c r="A61" t="str">
        <x:v>ALVY</x:v>
      </x:c>
      <x:c r="B61" t="str">
        <x:v>4.b.12</x:v>
      </x:c>
      <x:c r="C61" t="str">
        <x:v>sold</x:v>
      </x:c>
      <x:c r="D61" t="str">
        <x:v>present</x:v>
      </x:c>
      <x:c r="E61" t="str">
        <x:v>baseline</x:v>
      </x:c>
      <x:c r="F61" s="11" t="n">
        <x:v>46251.740894027775</x:v>
      </x:c>
      <x:c r="G61" t="str">
        <x:v>flat</x:v>
      </x:c>
      <x:c r="H61" s="12" t="n">
        <x:v>2</x:v>
      </x:c>
      <x:c r="I61" s="13" t="n">
        <x:v>4</x:v>
      </x:c>
      <x:c r="J61" t="str">
        <x:v>SO 100</x:v>
      </x:c>
      <x:c r="K61" s="14" t="n">
        <x:v>47.08</x:v>
      </x:c>
      <x:c r="L61" s="14"/>
      <x:c r="M61" s="14"/>
      <x:c r="N61" s="14"/>
      <x:c r="O61" s="14"/>
      <x:c r="P61" s="14" t="n">
        <x:v>10.33</x:v>
      </x:c>
      <x:c r="Q61" s="14" t="n">
        <x:v>57.41</x:v>
      </x:c>
      <x:c r="R61" s="15"/>
      <x:c r="S61" s="15"/>
      <x:c r="T61" s="15"/>
      <x:c r="U61" s="16"/>
      <x:c r="V61" t="str">
        <x:v>Alto Real Estate</x:v>
      </x:c>
      <x:c r="W61" t="str">
        <x:v>Ružinov</x:v>
      </x:c>
      <x:c r="X61" s="11" t="str">
        <x:v>sold</x:v>
      </x:c>
      <x:c r="Y61" s="11" t="str">
        <x:v>https://www.alvy.sk/byt/4-b-12</x:v>
      </x:c>
      <x:c r="Z61" s="11" t="n">
        <x:v>46251.740894027775</x:v>
      </x:c>
      <x:c r="AA61" s="11" t="n">
        <x:v>46254.51251577547</x:v>
      </x:c>
      <x:c r="AB61" s="11" t="n">
        <x:v>46254.51251577547</x:v>
      </x:c>
      <x:c r="AC61" t="str">
        <x:v>alvy</x:v>
      </x:c>
    </x:row>
    <x:row r="62" ht="22" customHeight="1">
      <x:c r="A62" t="str">
        <x:v>ALVY</x:v>
      </x:c>
      <x:c r="B62" t="str">
        <x:v>4.b.13</x:v>
      </x:c>
      <x:c r="C62" t="str">
        <x:v>sold</x:v>
      </x:c>
      <x:c r="D62" t="str">
        <x:v>present</x:v>
      </x:c>
      <x:c r="E62" t="str">
        <x:v>baseline</x:v>
      </x:c>
      <x:c r="F62" s="11" t="n">
        <x:v>46251.740894027775</x:v>
      </x:c>
      <x:c r="G62" t="str">
        <x:v>flat</x:v>
      </x:c>
      <x:c r="H62" s="12" t="n">
        <x:v>2</x:v>
      </x:c>
      <x:c r="I62" s="13" t="n">
        <x:v>4</x:v>
      </x:c>
      <x:c r="J62" t="str">
        <x:v>SO 100</x:v>
      </x:c>
      <x:c r="K62" s="14" t="n">
        <x:v>47.14</x:v>
      </x:c>
      <x:c r="L62" s="14"/>
      <x:c r="M62" s="14"/>
      <x:c r="N62" s="14"/>
      <x:c r="O62" s="14"/>
      <x:c r="P62" s="14" t="n">
        <x:v>10.33</x:v>
      </x:c>
      <x:c r="Q62" s="14" t="n">
        <x:v>57.47</x:v>
      </x:c>
      <x:c r="R62" s="15"/>
      <x:c r="S62" s="15"/>
      <x:c r="T62" s="15"/>
      <x:c r="U62" s="16"/>
      <x:c r="V62" t="str">
        <x:v>Alto Real Estate</x:v>
      </x:c>
      <x:c r="W62" t="str">
        <x:v>Ružinov</x:v>
      </x:c>
      <x:c r="X62" s="11" t="str">
        <x:v>sold</x:v>
      </x:c>
      <x:c r="Y62" s="11" t="str">
        <x:v>https://www.alvy.sk/byt/4-b-13</x:v>
      </x:c>
      <x:c r="Z62" s="11" t="n">
        <x:v>46251.740894027775</x:v>
      </x:c>
      <x:c r="AA62" s="11" t="n">
        <x:v>46254.51251577547</x:v>
      </x:c>
      <x:c r="AB62" s="11" t="n">
        <x:v>46254.51251577547</x:v>
      </x:c>
      <x:c r="AC62" t="str">
        <x:v>alvy</x:v>
      </x:c>
    </x:row>
    <x:row r="63" ht="22" customHeight="1">
      <x:c r="A63" t="str">
        <x:v>ALVY</x:v>
      </x:c>
      <x:c r="B63" t="str">
        <x:v>4.b.14</x:v>
      </x:c>
      <x:c r="C63" t="str">
        <x:v>available</x:v>
      </x:c>
      <x:c r="D63" t="str">
        <x:v>present</x:v>
      </x:c>
      <x:c r="E63" t="str">
        <x:v>baseline</x:v>
      </x:c>
      <x:c r="F63" s="11" t="n">
        <x:v>46251.740894027775</x:v>
      </x:c>
      <x:c r="G63" t="str">
        <x:v>flat</x:v>
      </x:c>
      <x:c r="H63" s="12" t="n">
        <x:v>3</x:v>
      </x:c>
      <x:c r="I63" s="13" t="n">
        <x:v>4</x:v>
      </x:c>
      <x:c r="J63" t="str">
        <x:v>SO 100</x:v>
      </x:c>
      <x:c r="K63" s="14" t="n">
        <x:v>77.47</x:v>
      </x:c>
      <x:c r="L63" s="14"/>
      <x:c r="M63" s="14"/>
      <x:c r="N63" s="14"/>
      <x:c r="O63" s="14"/>
      <x:c r="P63" s="14" t="n">
        <x:v>27.2</x:v>
      </x:c>
      <x:c r="Q63" s="14" t="n">
        <x:v>104.67</x:v>
      </x:c>
      <x:c r="R63" s="15" t="n">
        <x:v>400980</x:v>
      </x:c>
      <x:c r="S63" s="15" t="n">
        <x:v>416407</x:v>
      </x:c>
      <x:c r="T63" s="15" t="n">
        <x:v>400980</x:v>
      </x:c>
      <x:c r="U63" s="16" t="n">
        <x:v>5175.94</x:v>
      </x:c>
      <x:c r="V63" t="str">
        <x:v>Alto Real Estate</x:v>
      </x:c>
      <x:c r="W63" t="str">
        <x:v>Ružinov</x:v>
      </x:c>
      <x:c r="X63" s="11" t="str">
        <x:v>free</x:v>
      </x:c>
      <x:c r="Y63" s="11" t="str">
        <x:v>https://www.alvy.sk/byt/4-b-14</x:v>
      </x:c>
      <x:c r="Z63" s="11" t="n">
        <x:v>46251.740894027775</x:v>
      </x:c>
      <x:c r="AA63" s="11" t="n">
        <x:v>46254.51251577547</x:v>
      </x:c>
      <x:c r="AB63" s="11" t="n">
        <x:v>46254.51251577547</x:v>
      </x:c>
      <x:c r="AC63" t="str">
        <x:v>alvy</x:v>
      </x:c>
    </x:row>
    <x:row r="64" ht="22" customHeight="1">
      <x:c r="A64" t="str">
        <x:v>ALVY</x:v>
      </x:c>
      <x:c r="B64" t="str">
        <x:v>4.b.15</x:v>
      </x:c>
      <x:c r="C64" t="str">
        <x:v>sold</x:v>
      </x:c>
      <x:c r="D64" t="str">
        <x:v>present</x:v>
      </x:c>
      <x:c r="E64" t="str">
        <x:v>baseline</x:v>
      </x:c>
      <x:c r="F64" s="11" t="n">
        <x:v>46251.740894027775</x:v>
      </x:c>
      <x:c r="G64" t="str">
        <x:v>flat</x:v>
      </x:c>
      <x:c r="H64" s="12" t="n">
        <x:v>2</x:v>
      </x:c>
      <x:c r="I64" s="13" t="n">
        <x:v>4</x:v>
      </x:c>
      <x:c r="J64" t="str">
        <x:v>SO 100</x:v>
      </x:c>
      <x:c r="K64" s="14" t="n">
        <x:v>49.11</x:v>
      </x:c>
      <x:c r="L64" s="14"/>
      <x:c r="M64" s="14"/>
      <x:c r="N64" s="14"/>
      <x:c r="O64" s="14"/>
      <x:c r="P64" s="14" t="n">
        <x:v>9.63</x:v>
      </x:c>
      <x:c r="Q64" s="14" t="n">
        <x:v>58.74</x:v>
      </x:c>
      <x:c r="R64" s="15"/>
      <x:c r="S64" s="15"/>
      <x:c r="T64" s="15"/>
      <x:c r="U64" s="16"/>
      <x:c r="V64" t="str">
        <x:v>Alto Real Estate</x:v>
      </x:c>
      <x:c r="W64" t="str">
        <x:v>Ružinov</x:v>
      </x:c>
      <x:c r="X64" s="11" t="str">
        <x:v>sold</x:v>
      </x:c>
      <x:c r="Y64" s="11" t="str">
        <x:v>https://www.alvy.sk/byt/4-b-15</x:v>
      </x:c>
      <x:c r="Z64" s="11" t="n">
        <x:v>46251.740894027775</x:v>
      </x:c>
      <x:c r="AA64" s="11" t="n">
        <x:v>46254.51251577547</x:v>
      </x:c>
      <x:c r="AB64" s="11" t="n">
        <x:v>46254.51251577547</x:v>
      </x:c>
      <x:c r="AC64" t="str">
        <x:v>alvy</x:v>
      </x:c>
    </x:row>
    <x:row r="65" ht="22" customHeight="1">
      <x:c r="A65" t="str">
        <x:v>ALVY</x:v>
      </x:c>
      <x:c r="B65" t="str">
        <x:v>5.b.01</x:v>
      </x:c>
      <x:c r="C65" t="str">
        <x:v>available</x:v>
      </x:c>
      <x:c r="D65" t="str">
        <x:v>present</x:v>
      </x:c>
      <x:c r="E65" t="str">
        <x:v>baseline</x:v>
      </x:c>
      <x:c r="F65" s="11" t="n">
        <x:v>46251.740894027775</x:v>
      </x:c>
      <x:c r="G65" t="str">
        <x:v>flat</x:v>
      </x:c>
      <x:c r="H65" s="12" t="n">
        <x:v>3</x:v>
      </x:c>
      <x:c r="I65" s="13" t="n">
        <x:v>5</x:v>
      </x:c>
      <x:c r="J65" t="str">
        <x:v>SO 100</x:v>
      </x:c>
      <x:c r="K65" s="14" t="n">
        <x:v>77.44</x:v>
      </x:c>
      <x:c r="L65" s="14"/>
      <x:c r="M65" s="14"/>
      <x:c r="N65" s="14"/>
      <x:c r="O65" s="14"/>
      <x:c r="P65" s="14" t="n">
        <x:v>27.2</x:v>
      </x:c>
      <x:c r="Q65" s="14" t="n">
        <x:v>104.64</x:v>
      </x:c>
      <x:c r="R65" s="15" t="n">
        <x:v>426810</x:v>
      </x:c>
      <x:c r="S65" s="15" t="n">
        <x:v>443460</x:v>
      </x:c>
      <x:c r="T65" s="15" t="n">
        <x:v>426810</x:v>
      </x:c>
      <x:c r="U65" s="16" t="n">
        <x:v>5511.49</x:v>
      </x:c>
      <x:c r="V65" t="str">
        <x:v>Alto Real Estate</x:v>
      </x:c>
      <x:c r="W65" t="str">
        <x:v>Ružinov</x:v>
      </x:c>
      <x:c r="X65" s="11" t="str">
        <x:v>free</x:v>
      </x:c>
      <x:c r="Y65" s="11" t="str">
        <x:v>https://www.alvy.sk/byt/5-b-01</x:v>
      </x:c>
      <x:c r="Z65" s="11" t="n">
        <x:v>46251.740894027775</x:v>
      </x:c>
      <x:c r="AA65" s="11" t="n">
        <x:v>46254.51251577547</x:v>
      </x:c>
      <x:c r="AB65" s="11" t="n">
        <x:v>46254.51251577547</x:v>
      </x:c>
      <x:c r="AC65" t="str">
        <x:v>alvy</x:v>
      </x:c>
    </x:row>
    <x:row r="66" ht="22" customHeight="1">
      <x:c r="A66" t="str">
        <x:v>ALVY</x:v>
      </x:c>
      <x:c r="B66" t="str">
        <x:v>5.b.02</x:v>
      </x:c>
      <x:c r="C66" t="str">
        <x:v>sold</x:v>
      </x:c>
      <x:c r="D66" t="str">
        <x:v>present</x:v>
      </x:c>
      <x:c r="E66" t="str">
        <x:v>baseline</x:v>
      </x:c>
      <x:c r="F66" s="11" t="n">
        <x:v>46251.740894027775</x:v>
      </x:c>
      <x:c r="G66" t="str">
        <x:v>flat</x:v>
      </x:c>
      <x:c r="H66" s="12" t="n">
        <x:v>2</x:v>
      </x:c>
      <x:c r="I66" s="13" t="n">
        <x:v>5</x:v>
      </x:c>
      <x:c r="J66" t="str">
        <x:v>SO 100</x:v>
      </x:c>
      <x:c r="K66" s="14" t="n">
        <x:v>47.15</x:v>
      </x:c>
      <x:c r="L66" s="14"/>
      <x:c r="M66" s="14"/>
      <x:c r="N66" s="14"/>
      <x:c r="O66" s="14"/>
      <x:c r="P66" s="14" t="n">
        <x:v>10.33</x:v>
      </x:c>
      <x:c r="Q66" s="14" t="n">
        <x:v>57.48</x:v>
      </x:c>
      <x:c r="R66" s="15"/>
      <x:c r="S66" s="15"/>
      <x:c r="T66" s="15"/>
      <x:c r="U66" s="16"/>
      <x:c r="V66" t="str">
        <x:v>Alto Real Estate</x:v>
      </x:c>
      <x:c r="W66" t="str">
        <x:v>Ružinov</x:v>
      </x:c>
      <x:c r="X66" s="11" t="str">
        <x:v>sold</x:v>
      </x:c>
      <x:c r="Y66" s="11" t="str">
        <x:v>https://www.alvy.sk/byt/5-b-02</x:v>
      </x:c>
      <x:c r="Z66" s="11" t="n">
        <x:v>46251.740894027775</x:v>
      </x:c>
      <x:c r="AA66" s="11" t="n">
        <x:v>46254.51251577547</x:v>
      </x:c>
      <x:c r="AB66" s="11" t="n">
        <x:v>46254.51251577547</x:v>
      </x:c>
      <x:c r="AC66" t="str">
        <x:v>alvy</x:v>
      </x:c>
    </x:row>
    <x:row r="67" ht="22" customHeight="1">
      <x:c r="A67" t="str">
        <x:v>ALVY</x:v>
      </x:c>
      <x:c r="B67" t="str">
        <x:v>5.b.03</x:v>
      </x:c>
      <x:c r="C67" t="str">
        <x:v>sold</x:v>
      </x:c>
      <x:c r="D67" t="str">
        <x:v>present</x:v>
      </x:c>
      <x:c r="E67" t="str">
        <x:v>baseline</x:v>
      </x:c>
      <x:c r="F67" s="11" t="n">
        <x:v>46251.740894027775</x:v>
      </x:c>
      <x:c r="G67" t="str">
        <x:v>flat</x:v>
      </x:c>
      <x:c r="H67" s="12" t="n">
        <x:v>2</x:v>
      </x:c>
      <x:c r="I67" s="13" t="n">
        <x:v>5</x:v>
      </x:c>
      <x:c r="J67" t="str">
        <x:v>SO 100</x:v>
      </x:c>
      <x:c r="K67" s="14" t="n">
        <x:v>47.23</x:v>
      </x:c>
      <x:c r="L67" s="14"/>
      <x:c r="M67" s="14"/>
      <x:c r="N67" s="14"/>
      <x:c r="O67" s="14"/>
      <x:c r="P67" s="14" t="n">
        <x:v>10.33</x:v>
      </x:c>
      <x:c r="Q67" s="14" t="n">
        <x:v>57.56</x:v>
      </x:c>
      <x:c r="R67" s="15"/>
      <x:c r="S67" s="15"/>
      <x:c r="T67" s="15"/>
      <x:c r="U67" s="16"/>
      <x:c r="V67" t="str">
        <x:v>Alto Real Estate</x:v>
      </x:c>
      <x:c r="W67" t="str">
        <x:v>Ružinov</x:v>
      </x:c>
      <x:c r="X67" s="11" t="str">
        <x:v>sold</x:v>
      </x:c>
      <x:c r="Y67" s="11" t="str">
        <x:v>https://www.alvy.sk/byt/5-b-03</x:v>
      </x:c>
      <x:c r="Z67" s="11" t="n">
        <x:v>46251.740894027775</x:v>
      </x:c>
      <x:c r="AA67" s="11" t="n">
        <x:v>46254.51251577547</x:v>
      </x:c>
      <x:c r="AB67" s="11" t="n">
        <x:v>46254.51251577547</x:v>
      </x:c>
      <x:c r="AC67" t="str">
        <x:v>alvy</x:v>
      </x:c>
    </x:row>
    <x:row r="68" ht="22" customHeight="1">
      <x:c r="A68" t="str">
        <x:v>ALVY</x:v>
      </x:c>
      <x:c r="B68" t="str">
        <x:v>5.b.04</x:v>
      </x:c>
      <x:c r="C68" t="str">
        <x:v>sold</x:v>
      </x:c>
      <x:c r="D68" t="str">
        <x:v>present</x:v>
      </x:c>
      <x:c r="E68" t="str">
        <x:v>baseline</x:v>
      </x:c>
      <x:c r="F68" s="11" t="n">
        <x:v>46251.740894027775</x:v>
      </x:c>
      <x:c r="G68" t="str">
        <x:v>flat</x:v>
      </x:c>
      <x:c r="H68" s="12" t="n">
        <x:v>2</x:v>
      </x:c>
      <x:c r="I68" s="13" t="n">
        <x:v>5</x:v>
      </x:c>
      <x:c r="J68" t="str">
        <x:v>SO 100</x:v>
      </x:c>
      <x:c r="K68" s="14" t="n">
        <x:v>47.09</x:v>
      </x:c>
      <x:c r="L68" s="14"/>
      <x:c r="M68" s="14"/>
      <x:c r="N68" s="14"/>
      <x:c r="O68" s="14"/>
      <x:c r="P68" s="14" t="n">
        <x:v>10.33</x:v>
      </x:c>
      <x:c r="Q68" s="14" t="n">
        <x:v>57.42</x:v>
      </x:c>
      <x:c r="R68" s="15"/>
      <x:c r="S68" s="15"/>
      <x:c r="T68" s="15"/>
      <x:c r="U68" s="16"/>
      <x:c r="V68" t="str">
        <x:v>Alto Real Estate</x:v>
      </x:c>
      <x:c r="W68" t="str">
        <x:v>Ružinov</x:v>
      </x:c>
      <x:c r="X68" s="11" t="str">
        <x:v>sold</x:v>
      </x:c>
      <x:c r="Y68" s="11" t="str">
        <x:v>https://www.alvy.sk/byt/5-b-04</x:v>
      </x:c>
      <x:c r="Z68" s="11" t="n">
        <x:v>46251.740894027775</x:v>
      </x:c>
      <x:c r="AA68" s="11" t="n">
        <x:v>46254.51251577547</x:v>
      </x:c>
      <x:c r="AB68" s="11" t="n">
        <x:v>46254.51251577547</x:v>
      </x:c>
      <x:c r="AC68" t="str">
        <x:v>alvy</x:v>
      </x:c>
    </x:row>
    <x:row r="69" ht="22" customHeight="1">
      <x:c r="A69" t="str">
        <x:v>ALVY</x:v>
      </x:c>
      <x:c r="B69" t="str">
        <x:v>5.b.05</x:v>
      </x:c>
      <x:c r="C69" t="str">
        <x:v>sold</x:v>
      </x:c>
      <x:c r="D69" t="str">
        <x:v>present</x:v>
      </x:c>
      <x:c r="E69" t="str">
        <x:v>baseline</x:v>
      </x:c>
      <x:c r="F69" s="11" t="n">
        <x:v>46251.740894027775</x:v>
      </x:c>
      <x:c r="G69" t="str">
        <x:v>flat</x:v>
      </x:c>
      <x:c r="H69" s="12" t="n">
        <x:v>2</x:v>
      </x:c>
      <x:c r="I69" s="13" t="n">
        <x:v>5</x:v>
      </x:c>
      <x:c r="J69" t="str">
        <x:v>SO 100</x:v>
      </x:c>
      <x:c r="K69" s="14" t="n">
        <x:v>53.26</x:v>
      </x:c>
      <x:c r="L69" s="14"/>
      <x:c r="M69" s="14"/>
      <x:c r="N69" s="14"/>
      <x:c r="O69" s="14"/>
      <x:c r="P69" s="14" t="n">
        <x:v>10.33</x:v>
      </x:c>
      <x:c r="Q69" s="14" t="n">
        <x:v>63.59</x:v>
      </x:c>
      <x:c r="R69" s="15"/>
      <x:c r="S69" s="15"/>
      <x:c r="T69" s="15"/>
      <x:c r="U69" s="16"/>
      <x:c r="V69" t="str">
        <x:v>Alto Real Estate</x:v>
      </x:c>
      <x:c r="W69" t="str">
        <x:v>Ružinov</x:v>
      </x:c>
      <x:c r="X69" s="11" t="str">
        <x:v>sold</x:v>
      </x:c>
      <x:c r="Y69" s="11" t="str">
        <x:v>https://www.alvy.sk/byt/5-b-05</x:v>
      </x:c>
      <x:c r="Z69" s="11" t="n">
        <x:v>46251.740894027775</x:v>
      </x:c>
      <x:c r="AA69" s="11" t="n">
        <x:v>46254.51251577547</x:v>
      </x:c>
      <x:c r="AB69" s="11" t="n">
        <x:v>46254.51251577547</x:v>
      </x:c>
      <x:c r="AC69" t="str">
        <x:v>alvy</x:v>
      </x:c>
    </x:row>
    <x:row r="70" ht="22" customHeight="1">
      <x:c r="A70" t="str">
        <x:v>ALVY</x:v>
      </x:c>
      <x:c r="B70" t="str">
        <x:v>5.b.06</x:v>
      </x:c>
      <x:c r="C70" t="str">
        <x:v>sold</x:v>
      </x:c>
      <x:c r="D70" t="str">
        <x:v>present</x:v>
      </x:c>
      <x:c r="E70" t="str">
        <x:v>baseline</x:v>
      </x:c>
      <x:c r="F70" s="11" t="n">
        <x:v>46251.740894027775</x:v>
      </x:c>
      <x:c r="G70" t="str">
        <x:v>flat</x:v>
      </x:c>
      <x:c r="H70" s="12" t="n">
        <x:v>1</x:v>
      </x:c>
      <x:c r="I70" s="13" t="n">
        <x:v>5</x:v>
      </x:c>
      <x:c r="J70" t="str">
        <x:v>SO 100</x:v>
      </x:c>
      <x:c r="K70" s="14" t="n">
        <x:v>35.04</x:v>
      </x:c>
      <x:c r="L70" s="14"/>
      <x:c r="M70" s="14"/>
      <x:c r="N70" s="14"/>
      <x:c r="O70" s="14"/>
      <x:c r="P70" s="14" t="n">
        <x:v>6.18</x:v>
      </x:c>
      <x:c r="Q70" s="14" t="n">
        <x:v>41.22</x:v>
      </x:c>
      <x:c r="R70" s="15"/>
      <x:c r="S70" s="15"/>
      <x:c r="T70" s="15"/>
      <x:c r="U70" s="16"/>
      <x:c r="V70" t="str">
        <x:v>Alto Real Estate</x:v>
      </x:c>
      <x:c r="W70" t="str">
        <x:v>Ružinov</x:v>
      </x:c>
      <x:c r="X70" s="11" t="str">
        <x:v>sold</x:v>
      </x:c>
      <x:c r="Y70" s="11" t="str">
        <x:v>https://www.alvy.sk/byt/5-b-06</x:v>
      </x:c>
      <x:c r="Z70" s="11" t="n">
        <x:v>46251.740894027775</x:v>
      </x:c>
      <x:c r="AA70" s="11" t="n">
        <x:v>46254.51251577547</x:v>
      </x:c>
      <x:c r="AB70" s="11" t="n">
        <x:v>46254.51251577547</x:v>
      </x:c>
      <x:c r="AC70" t="str">
        <x:v>alvy</x:v>
      </x:c>
    </x:row>
    <x:row r="71" ht="22" customHeight="1">
      <x:c r="A71" t="str">
        <x:v>ALVY</x:v>
      </x:c>
      <x:c r="B71" t="str">
        <x:v>5.b.07</x:v>
      </x:c>
      <x:c r="C71" t="str">
        <x:v>available</x:v>
      </x:c>
      <x:c r="D71" t="str">
        <x:v>present</x:v>
      </x:c>
      <x:c r="E71" t="str">
        <x:v>baseline</x:v>
      </x:c>
      <x:c r="F71" s="11" t="n">
        <x:v>46251.740894027775</x:v>
      </x:c>
      <x:c r="G71" t="str">
        <x:v>flat</x:v>
      </x:c>
      <x:c r="H71" s="12" t="n">
        <x:v>3</x:v>
      </x:c>
      <x:c r="I71" s="13" t="n">
        <x:v>5</x:v>
      </x:c>
      <x:c r="J71" t="str">
        <x:v>SO 100</x:v>
      </x:c>
      <x:c r="K71" s="14" t="n">
        <x:v>73.78</x:v>
      </x:c>
      <x:c r="L71" s="14"/>
      <x:c r="M71" s="14"/>
      <x:c r="N71" s="14"/>
      <x:c r="O71" s="14"/>
      <x:c r="P71" s="14" t="n">
        <x:v>11.19</x:v>
      </x:c>
      <x:c r="Q71" s="14" t="n">
        <x:v>84.97</x:v>
      </x:c>
      <x:c r="R71" s="15" t="n">
        <x:v>378840</x:v>
      </x:c>
      <x:c r="S71" s="15" t="n">
        <x:v>394148</x:v>
      </x:c>
      <x:c r="T71" s="15" t="n">
        <x:v>378840</x:v>
      </x:c>
      <x:c r="U71" s="16" t="n">
        <x:v>5134.72</x:v>
      </x:c>
      <x:c r="V71" t="str">
        <x:v>Alto Real Estate</x:v>
      </x:c>
      <x:c r="W71" t="str">
        <x:v>Ružinov</x:v>
      </x:c>
      <x:c r="X71" s="11" t="str">
        <x:v>free</x:v>
      </x:c>
      <x:c r="Y71" s="11" t="str">
        <x:v>https://www.alvy.sk/byt/5-b-07</x:v>
      </x:c>
      <x:c r="Z71" s="11" t="n">
        <x:v>46251.740894027775</x:v>
      </x:c>
      <x:c r="AA71" s="11" t="n">
        <x:v>46254.51251577547</x:v>
      </x:c>
      <x:c r="AB71" s="11" t="n">
        <x:v>46254.51251577547</x:v>
      </x:c>
      <x:c r="AC71" t="str">
        <x:v>alvy</x:v>
      </x:c>
    </x:row>
    <x:row r="72" ht="22" customHeight="1">
      <x:c r="A72" t="str">
        <x:v>ALVY</x:v>
      </x:c>
      <x:c r="B72" t="str">
        <x:v>5.b.08</x:v>
      </x:c>
      <x:c r="C72" t="str">
        <x:v>reserved</x:v>
      </x:c>
      <x:c r="D72" t="str">
        <x:v>present</x:v>
      </x:c>
      <x:c r="E72" t="str">
        <x:v>baseline</x:v>
      </x:c>
      <x:c r="F72" s="11" t="n">
        <x:v>46251.740894027775</x:v>
      </x:c>
      <x:c r="G72" t="str">
        <x:v>flat</x:v>
      </x:c>
      <x:c r="H72" s="12" t="n">
        <x:v>3</x:v>
      </x:c>
      <x:c r="I72" s="13" t="n">
        <x:v>5</x:v>
      </x:c>
      <x:c r="J72" t="str">
        <x:v>SO 100</x:v>
      </x:c>
      <x:c r="K72" s="14" t="n">
        <x:v>73.78</x:v>
      </x:c>
      <x:c r="L72" s="14"/>
      <x:c r="M72" s="14"/>
      <x:c r="N72" s="14"/>
      <x:c r="O72" s="14"/>
      <x:c r="P72" s="14" t="n">
        <x:v>11.19</x:v>
      </x:c>
      <x:c r="Q72" s="14" t="n">
        <x:v>84.97</x:v>
      </x:c>
      <x:c r="R72" s="15"/>
      <x:c r="S72" s="15"/>
      <x:c r="T72" s="15"/>
      <x:c r="U72" s="16"/>
      <x:c r="V72" t="str">
        <x:v>Alto Real Estate</x:v>
      </x:c>
      <x:c r="W72" t="str">
        <x:v>Ružinov</x:v>
      </x:c>
      <x:c r="X72" s="11" t="str">
        <x:v>reserved</x:v>
      </x:c>
      <x:c r="Y72" s="11" t="str">
        <x:v>https://www.alvy.sk/byt/5-b-08</x:v>
      </x:c>
      <x:c r="Z72" s="11" t="n">
        <x:v>46251.740894027775</x:v>
      </x:c>
      <x:c r="AA72" s="11" t="n">
        <x:v>46254.51251577547</x:v>
      </x:c>
      <x:c r="AB72" s="11" t="n">
        <x:v>46254.51251577547</x:v>
      </x:c>
      <x:c r="AC72" t="str">
        <x:v>alvy</x:v>
      </x:c>
    </x:row>
    <x:row r="73" ht="22" customHeight="1">
      <x:c r="A73" t="str">
        <x:v>ALVY</x:v>
      </x:c>
      <x:c r="B73" t="str">
        <x:v>5.b.09</x:v>
      </x:c>
      <x:c r="C73" t="str">
        <x:v>sold</x:v>
      </x:c>
      <x:c r="D73" t="str">
        <x:v>present</x:v>
      </x:c>
      <x:c r="E73" t="str">
        <x:v>baseline</x:v>
      </x:c>
      <x:c r="F73" s="11" t="n">
        <x:v>46251.740894027775</x:v>
      </x:c>
      <x:c r="G73" t="str">
        <x:v>flat</x:v>
      </x:c>
      <x:c r="H73" s="12" t="n">
        <x:v>1</x:v>
      </x:c>
      <x:c r="I73" s="13" t="n">
        <x:v>5</x:v>
      </x:c>
      <x:c r="J73" t="str">
        <x:v>SO 100</x:v>
      </x:c>
      <x:c r="K73" s="14" t="n">
        <x:v>35.04</x:v>
      </x:c>
      <x:c r="L73" s="14"/>
      <x:c r="M73" s="14"/>
      <x:c r="N73" s="14"/>
      <x:c r="O73" s="14"/>
      <x:c r="P73" s="14" t="n">
        <x:v>6.18</x:v>
      </x:c>
      <x:c r="Q73" s="14" t="n">
        <x:v>41.22</x:v>
      </x:c>
      <x:c r="R73" s="15"/>
      <x:c r="S73" s="15"/>
      <x:c r="T73" s="15"/>
      <x:c r="U73" s="16"/>
      <x:c r="V73" t="str">
        <x:v>Alto Real Estate</x:v>
      </x:c>
      <x:c r="W73" t="str">
        <x:v>Ružinov</x:v>
      </x:c>
      <x:c r="X73" s="11" t="str">
        <x:v>sold</x:v>
      </x:c>
      <x:c r="Y73" s="11" t="str">
        <x:v>https://www.alvy.sk/byt/5-b-09</x:v>
      </x:c>
      <x:c r="Z73" s="11" t="n">
        <x:v>46251.740894027775</x:v>
      </x:c>
      <x:c r="AA73" s="11" t="n">
        <x:v>46254.51251577547</x:v>
      </x:c>
      <x:c r="AB73" s="11" t="n">
        <x:v>46254.51251577547</x:v>
      </x:c>
      <x:c r="AC73" t="str">
        <x:v>alvy</x:v>
      </x:c>
    </x:row>
    <x:row r="74" ht="22" customHeight="1">
      <x:c r="A74" t="str">
        <x:v>ALVY</x:v>
      </x:c>
      <x:c r="B74" t="str">
        <x:v>5.b.10</x:v>
      </x:c>
      <x:c r="C74" t="str">
        <x:v>sold</x:v>
      </x:c>
      <x:c r="D74" t="str">
        <x:v>present</x:v>
      </x:c>
      <x:c r="E74" t="str">
        <x:v>baseline</x:v>
      </x:c>
      <x:c r="F74" s="11" t="n">
        <x:v>46251.740894027775</x:v>
      </x:c>
      <x:c r="G74" t="str">
        <x:v>flat</x:v>
      </x:c>
      <x:c r="H74" s="12" t="n">
        <x:v>2</x:v>
      </x:c>
      <x:c r="I74" s="13" t="n">
        <x:v>5</x:v>
      </x:c>
      <x:c r="J74" t="str">
        <x:v>SO 100</x:v>
      </x:c>
      <x:c r="K74" s="14" t="n">
        <x:v>53.27</x:v>
      </x:c>
      <x:c r="L74" s="14"/>
      <x:c r="M74" s="14"/>
      <x:c r="N74" s="14"/>
      <x:c r="O74" s="14"/>
      <x:c r="P74" s="14" t="n">
        <x:v>10.33</x:v>
      </x:c>
      <x:c r="Q74" s="14" t="n">
        <x:v>63.6</x:v>
      </x:c>
      <x:c r="R74" s="15"/>
      <x:c r="S74" s="15"/>
      <x:c r="T74" s="15"/>
      <x:c r="U74" s="16"/>
      <x:c r="V74" t="str">
        <x:v>Alto Real Estate</x:v>
      </x:c>
      <x:c r="W74" t="str">
        <x:v>Ružinov</x:v>
      </x:c>
      <x:c r="X74" s="11" t="str">
        <x:v>sold</x:v>
      </x:c>
      <x:c r="Y74" s="11" t="str">
        <x:v>https://www.alvy.sk/byt/5-b-10</x:v>
      </x:c>
      <x:c r="Z74" s="11" t="n">
        <x:v>46251.740894027775</x:v>
      </x:c>
      <x:c r="AA74" s="11" t="n">
        <x:v>46254.51251577547</x:v>
      </x:c>
      <x:c r="AB74" s="11" t="n">
        <x:v>46254.51251577547</x:v>
      </x:c>
      <x:c r="AC74" t="str">
        <x:v>alvy</x:v>
      </x:c>
    </x:row>
    <x:row r="75" ht="22" customHeight="1">
      <x:c r="A75" t="str">
        <x:v>ALVY</x:v>
      </x:c>
      <x:c r="B75" t="str">
        <x:v>5.b.11</x:v>
      </x:c>
      <x:c r="C75" t="str">
        <x:v>sold</x:v>
      </x:c>
      <x:c r="D75" t="str">
        <x:v>present</x:v>
      </x:c>
      <x:c r="E75" t="str">
        <x:v>baseline</x:v>
      </x:c>
      <x:c r="F75" s="11" t="n">
        <x:v>46251.740894027775</x:v>
      </x:c>
      <x:c r="G75" t="str">
        <x:v>flat</x:v>
      </x:c>
      <x:c r="H75" s="12" t="n">
        <x:v>2</x:v>
      </x:c>
      <x:c r="I75" s="13" t="n">
        <x:v>5</x:v>
      </x:c>
      <x:c r="J75" t="str">
        <x:v>SO 100</x:v>
      </x:c>
      <x:c r="K75" s="14" t="n">
        <x:v>47.07</x:v>
      </x:c>
      <x:c r="L75" s="14"/>
      <x:c r="M75" s="14"/>
      <x:c r="N75" s="14"/>
      <x:c r="O75" s="14"/>
      <x:c r="P75" s="14" t="n">
        <x:v>10.33</x:v>
      </x:c>
      <x:c r="Q75" s="14" t="n">
        <x:v>57.4</x:v>
      </x:c>
      <x:c r="R75" s="15"/>
      <x:c r="S75" s="15"/>
      <x:c r="T75" s="15"/>
      <x:c r="U75" s="16"/>
      <x:c r="V75" t="str">
        <x:v>Alto Real Estate</x:v>
      </x:c>
      <x:c r="W75" t="str">
        <x:v>Ružinov</x:v>
      </x:c>
      <x:c r="X75" s="11" t="str">
        <x:v>sold</x:v>
      </x:c>
      <x:c r="Y75" s="11" t="str">
        <x:v>https://www.alvy.sk/byt/5-b-11</x:v>
      </x:c>
      <x:c r="Z75" s="11" t="n">
        <x:v>46251.740894027775</x:v>
      </x:c>
      <x:c r="AA75" s="11" t="n">
        <x:v>46254.51251577547</x:v>
      </x:c>
      <x:c r="AB75" s="11" t="n">
        <x:v>46254.51251577547</x:v>
      </x:c>
      <x:c r="AC75" t="str">
        <x:v>alvy</x:v>
      </x:c>
    </x:row>
    <x:row r="76" ht="22" customHeight="1">
      <x:c r="A76" t="str">
        <x:v>ALVY</x:v>
      </x:c>
      <x:c r="B76" t="str">
        <x:v>5.b.12</x:v>
      </x:c>
      <x:c r="C76" t="str">
        <x:v>sold</x:v>
      </x:c>
      <x:c r="D76" t="str">
        <x:v>present</x:v>
      </x:c>
      <x:c r="E76" t="str">
        <x:v>baseline</x:v>
      </x:c>
      <x:c r="F76" s="11" t="n">
        <x:v>46251.740894027775</x:v>
      </x:c>
      <x:c r="G76" t="str">
        <x:v>flat</x:v>
      </x:c>
      <x:c r="H76" s="12" t="n">
        <x:v>2</x:v>
      </x:c>
      <x:c r="I76" s="13" t="n">
        <x:v>5</x:v>
      </x:c>
      <x:c r="J76" t="str">
        <x:v>SO 100</x:v>
      </x:c>
      <x:c r="K76" s="14" t="n">
        <x:v>47.08</x:v>
      </x:c>
      <x:c r="L76" s="14"/>
      <x:c r="M76" s="14"/>
      <x:c r="N76" s="14"/>
      <x:c r="O76" s="14"/>
      <x:c r="P76" s="14" t="n">
        <x:v>10.33</x:v>
      </x:c>
      <x:c r="Q76" s="14" t="n">
        <x:v>57.41</x:v>
      </x:c>
      <x:c r="R76" s="15"/>
      <x:c r="S76" s="15"/>
      <x:c r="T76" s="15"/>
      <x:c r="U76" s="16"/>
      <x:c r="V76" t="str">
        <x:v>Alto Real Estate</x:v>
      </x:c>
      <x:c r="W76" t="str">
        <x:v>Ružinov</x:v>
      </x:c>
      <x:c r="X76" s="11" t="str">
        <x:v>sold</x:v>
      </x:c>
      <x:c r="Y76" s="11" t="str">
        <x:v>https://www.alvy.sk/byt/5-b-12</x:v>
      </x:c>
      <x:c r="Z76" s="11" t="n">
        <x:v>46251.740894027775</x:v>
      </x:c>
      <x:c r="AA76" s="11" t="n">
        <x:v>46254.51251577547</x:v>
      </x:c>
      <x:c r="AB76" s="11" t="n">
        <x:v>46254.51251577547</x:v>
      </x:c>
      <x:c r="AC76" t="str">
        <x:v>alvy</x:v>
      </x:c>
    </x:row>
    <x:row r="77" ht="22" customHeight="1">
      <x:c r="A77" t="str">
        <x:v>ALVY</x:v>
      </x:c>
      <x:c r="B77" t="str">
        <x:v>5.b.13</x:v>
      </x:c>
      <x:c r="C77" t="str">
        <x:v>sold</x:v>
      </x:c>
      <x:c r="D77" t="str">
        <x:v>present</x:v>
      </x:c>
      <x:c r="E77" t="str">
        <x:v>baseline</x:v>
      </x:c>
      <x:c r="F77" s="11" t="n">
        <x:v>46251.740894027775</x:v>
      </x:c>
      <x:c r="G77" t="str">
        <x:v>flat</x:v>
      </x:c>
      <x:c r="H77" s="12" t="n">
        <x:v>2</x:v>
      </x:c>
      <x:c r="I77" s="13" t="n">
        <x:v>5</x:v>
      </x:c>
      <x:c r="J77" t="str">
        <x:v>SO 100</x:v>
      </x:c>
      <x:c r="K77" s="14" t="n">
        <x:v>47.14</x:v>
      </x:c>
      <x:c r="L77" s="14"/>
      <x:c r="M77" s="14"/>
      <x:c r="N77" s="14"/>
      <x:c r="O77" s="14"/>
      <x:c r="P77" s="14" t="n">
        <x:v>10.33</x:v>
      </x:c>
      <x:c r="Q77" s="14" t="n">
        <x:v>57.47</x:v>
      </x:c>
      <x:c r="R77" s="15"/>
      <x:c r="S77" s="15"/>
      <x:c r="T77" s="15"/>
      <x:c r="U77" s="16"/>
      <x:c r="V77" t="str">
        <x:v>Alto Real Estate</x:v>
      </x:c>
      <x:c r="W77" t="str">
        <x:v>Ružinov</x:v>
      </x:c>
      <x:c r="X77" s="11" t="str">
        <x:v>sold</x:v>
      </x:c>
      <x:c r="Y77" s="11" t="str">
        <x:v>https://www.alvy.sk/byt/5-b-13</x:v>
      </x:c>
      <x:c r="Z77" s="11" t="n">
        <x:v>46251.740894027775</x:v>
      </x:c>
      <x:c r="AA77" s="11" t="n">
        <x:v>46254.51251577547</x:v>
      </x:c>
      <x:c r="AB77" s="11" t="n">
        <x:v>46254.51251577547</x:v>
      </x:c>
      <x:c r="AC77" t="str">
        <x:v>alvy</x:v>
      </x:c>
    </x:row>
    <x:row r="78" ht="22" customHeight="1">
      <x:c r="A78" t="str">
        <x:v>ALVY</x:v>
      </x:c>
      <x:c r="B78" t="str">
        <x:v>5.b.14</x:v>
      </x:c>
      <x:c r="C78" t="str">
        <x:v>available</x:v>
      </x:c>
      <x:c r="D78" t="str">
        <x:v>present</x:v>
      </x:c>
      <x:c r="E78" t="str">
        <x:v>baseline</x:v>
      </x:c>
      <x:c r="F78" s="11" t="n">
        <x:v>46251.740894027775</x:v>
      </x:c>
      <x:c r="G78" t="str">
        <x:v>flat</x:v>
      </x:c>
      <x:c r="H78" s="12" t="n">
        <x:v>3</x:v>
      </x:c>
      <x:c r="I78" s="13" t="n">
        <x:v>5</x:v>
      </x:c>
      <x:c r="J78" t="str">
        <x:v>SO 100</x:v>
      </x:c>
      <x:c r="K78" s="14" t="n">
        <x:v>77.47</x:v>
      </x:c>
      <x:c r="L78" s="14"/>
      <x:c r="M78" s="14"/>
      <x:c r="N78" s="14"/>
      <x:c r="O78" s="14"/>
      <x:c r="P78" s="14" t="n">
        <x:v>27.2</x:v>
      </x:c>
      <x:c r="Q78" s="14" t="n">
        <x:v>104.67</x:v>
      </x:c>
      <x:c r="R78" s="15" t="n">
        <x:v>407130</x:v>
      </x:c>
      <x:c r="S78" s="15" t="n">
        <x:v>422954</x:v>
      </x:c>
      <x:c r="T78" s="15" t="n">
        <x:v>407130</x:v>
      </x:c>
      <x:c r="U78" s="16" t="n">
        <x:v>5255.32</x:v>
      </x:c>
      <x:c r="V78" t="str">
        <x:v>Alto Real Estate</x:v>
      </x:c>
      <x:c r="W78" t="str">
        <x:v>Ružinov</x:v>
      </x:c>
      <x:c r="X78" s="11" t="str">
        <x:v>free</x:v>
      </x:c>
      <x:c r="Y78" s="11" t="str">
        <x:v>https://www.alvy.sk/byt/5-b-14</x:v>
      </x:c>
      <x:c r="Z78" s="11" t="n">
        <x:v>46251.740894027775</x:v>
      </x:c>
      <x:c r="AA78" s="11" t="n">
        <x:v>46254.51251577547</x:v>
      </x:c>
      <x:c r="AB78" s="11" t="n">
        <x:v>46254.51251577547</x:v>
      </x:c>
      <x:c r="AC78" t="str">
        <x:v>alvy</x:v>
      </x:c>
    </x:row>
    <x:row r="79" ht="22" customHeight="1">
      <x:c r="A79" t="str">
        <x:v>ALVY</x:v>
      </x:c>
      <x:c r="B79" t="str">
        <x:v>5.b.15</x:v>
      </x:c>
      <x:c r="C79" t="str">
        <x:v>sold</x:v>
      </x:c>
      <x:c r="D79" t="str">
        <x:v>present</x:v>
      </x:c>
      <x:c r="E79" t="str">
        <x:v>baseline</x:v>
      </x:c>
      <x:c r="F79" s="11" t="n">
        <x:v>46251.740894027775</x:v>
      </x:c>
      <x:c r="G79" t="str">
        <x:v>flat</x:v>
      </x:c>
      <x:c r="H79" s="12" t="n">
        <x:v>2</x:v>
      </x:c>
      <x:c r="I79" s="13" t="n">
        <x:v>5</x:v>
      </x:c>
      <x:c r="J79" t="str">
        <x:v>SO 100</x:v>
      </x:c>
      <x:c r="K79" s="14" t="n">
        <x:v>49.11</x:v>
      </x:c>
      <x:c r="L79" s="14"/>
      <x:c r="M79" s="14"/>
      <x:c r="N79" s="14"/>
      <x:c r="O79" s="14"/>
      <x:c r="P79" s="14" t="n">
        <x:v>9.63</x:v>
      </x:c>
      <x:c r="Q79" s="14" t="n">
        <x:v>58.74</x:v>
      </x:c>
      <x:c r="R79" s="15"/>
      <x:c r="S79" s="15"/>
      <x:c r="T79" s="15"/>
      <x:c r="U79" s="16"/>
      <x:c r="V79" t="str">
        <x:v>Alto Real Estate</x:v>
      </x:c>
      <x:c r="W79" t="str">
        <x:v>Ružinov</x:v>
      </x:c>
      <x:c r="X79" s="11" t="str">
        <x:v>sold</x:v>
      </x:c>
      <x:c r="Y79" s="11" t="str">
        <x:v>https://www.alvy.sk/byt/5-b-15</x:v>
      </x:c>
      <x:c r="Z79" s="11" t="n">
        <x:v>46251.740894027775</x:v>
      </x:c>
      <x:c r="AA79" s="11" t="n">
        <x:v>46254.51251577547</x:v>
      </x:c>
      <x:c r="AB79" s="11" t="n">
        <x:v>46254.51251577547</x:v>
      </x:c>
      <x:c r="AC79" t="str">
        <x:v>alvy</x:v>
      </x:c>
    </x:row>
    <x:row r="80" ht="22" customHeight="1">
      <x:c r="A80" t="str">
        <x:v>ALVY</x:v>
      </x:c>
      <x:c r="B80" t="str">
        <x:v>6.b.01</x:v>
      </x:c>
      <x:c r="C80" t="str">
        <x:v>pre_reserved</x:v>
      </x:c>
      <x:c r="D80" t="str">
        <x:v>present</x:v>
      </x:c>
      <x:c r="E80" t="str">
        <x:v>baseline</x:v>
      </x:c>
      <x:c r="F80" s="11" t="n">
        <x:v>46251.740894027775</x:v>
      </x:c>
      <x:c r="G80" t="str">
        <x:v>flat</x:v>
      </x:c>
      <x:c r="H80" s="12" t="n">
        <x:v>3</x:v>
      </x:c>
      <x:c r="I80" s="13" t="n">
        <x:v>6</x:v>
      </x:c>
      <x:c r="J80" t="str">
        <x:v>SO 100</x:v>
      </x:c>
      <x:c r="K80" s="14" t="n">
        <x:v>77.44</x:v>
      </x:c>
      <x:c r="L80" s="14"/>
      <x:c r="M80" s="14"/>
      <x:c r="N80" s="14"/>
      <x:c r="O80" s="14"/>
      <x:c r="P80" s="14" t="n">
        <x:v>27.2</x:v>
      </x:c>
      <x:c r="Q80" s="14" t="n">
        <x:v>104.64</x:v>
      </x:c>
      <x:c r="R80" s="15" t="n">
        <x:v>453870</x:v>
      </x:c>
      <x:c r="S80" s="15" t="n">
        <x:v>453870</x:v>
      </x:c>
      <x:c r="T80" s="15"/>
      <x:c r="U80" s="16" t="n">
        <x:v>5860.92</x:v>
      </x:c>
      <x:c r="V80" t="str">
        <x:v>Alto Real Estate</x:v>
      </x:c>
      <x:c r="W80" t="str">
        <x:v>Ružinov</x:v>
      </x:c>
      <x:c r="X80" s="11" t="str">
        <x:v>pre-reserved</x:v>
      </x:c>
      <x:c r="Y80" s="11" t="str">
        <x:v>https://www.alvy.sk/byt/6-b-01</x:v>
      </x:c>
      <x:c r="Z80" s="11" t="n">
        <x:v>46251.740894027775</x:v>
      </x:c>
      <x:c r="AA80" s="11" t="n">
        <x:v>46254.51251577547</x:v>
      </x:c>
      <x:c r="AB80" s="11" t="n">
        <x:v>46254.51251577547</x:v>
      </x:c>
      <x:c r="AC80" t="str">
        <x:v>alvy</x:v>
      </x:c>
    </x:row>
    <x:row r="81" ht="22" customHeight="1">
      <x:c r="A81" t="str">
        <x:v>ALVY</x:v>
      </x:c>
      <x:c r="B81" t="str">
        <x:v>6.b.02</x:v>
      </x:c>
      <x:c r="C81" t="str">
        <x:v>pre_reserved</x:v>
      </x:c>
      <x:c r="D81" t="str">
        <x:v>present</x:v>
      </x:c>
      <x:c r="E81" t="str">
        <x:v>baseline</x:v>
      </x:c>
      <x:c r="F81" s="11" t="n">
        <x:v>46251.740894027775</x:v>
      </x:c>
      <x:c r="G81" t="str">
        <x:v>flat</x:v>
      </x:c>
      <x:c r="H81" s="12" t="n">
        <x:v>2</x:v>
      </x:c>
      <x:c r="I81" s="13" t="n">
        <x:v>6</x:v>
      </x:c>
      <x:c r="J81" t="str">
        <x:v>SO 100</x:v>
      </x:c>
      <x:c r="K81" s="14" t="n">
        <x:v>47.15</x:v>
      </x:c>
      <x:c r="L81" s="14"/>
      <x:c r="M81" s="14"/>
      <x:c r="N81" s="14"/>
      <x:c r="O81" s="14"/>
      <x:c r="P81" s="14" t="n">
        <x:v>10.33</x:v>
      </x:c>
      <x:c r="Q81" s="14" t="n">
        <x:v>57.48</x:v>
      </x:c>
      <x:c r="R81" s="15" t="n">
        <x:v>282162</x:v>
      </x:c>
      <x:c r="S81" s="15" t="n">
        <x:v>282162</x:v>
      </x:c>
      <x:c r="T81" s="15"/>
      <x:c r="U81" s="16" t="n">
        <x:v>5984.35</x:v>
      </x:c>
      <x:c r="V81" t="str">
        <x:v>Alto Real Estate</x:v>
      </x:c>
      <x:c r="W81" t="str">
        <x:v>Ružinov</x:v>
      </x:c>
      <x:c r="X81" s="11" t="str">
        <x:v>pre-reserved</x:v>
      </x:c>
      <x:c r="Y81" s="11" t="str">
        <x:v>https://www.alvy.sk/byt/6-b-02</x:v>
      </x:c>
      <x:c r="Z81" s="11" t="n">
        <x:v>46251.740894027775</x:v>
      </x:c>
      <x:c r="AA81" s="11" t="n">
        <x:v>46254.51251577547</x:v>
      </x:c>
      <x:c r="AB81" s="11" t="n">
        <x:v>46254.51251577547</x:v>
      </x:c>
      <x:c r="AC81" t="str">
        <x:v>alvy</x:v>
      </x:c>
    </x:row>
    <x:row r="82" ht="22" customHeight="1">
      <x:c r="A82" t="str">
        <x:v>ALVY</x:v>
      </x:c>
      <x:c r="B82" t="str">
        <x:v>6.b.03</x:v>
      </x:c>
      <x:c r="C82" t="str">
        <x:v>sold</x:v>
      </x:c>
      <x:c r="D82" t="str">
        <x:v>present</x:v>
      </x:c>
      <x:c r="E82" t="str">
        <x:v>baseline</x:v>
      </x:c>
      <x:c r="F82" s="11" t="n">
        <x:v>46251.740894027775</x:v>
      </x:c>
      <x:c r="G82" t="str">
        <x:v>flat</x:v>
      </x:c>
      <x:c r="H82" s="12" t="n">
        <x:v>2</x:v>
      </x:c>
      <x:c r="I82" s="13" t="n">
        <x:v>6</x:v>
      </x:c>
      <x:c r="J82" t="str">
        <x:v>SO 100</x:v>
      </x:c>
      <x:c r="K82" s="14" t="n">
        <x:v>47.23</x:v>
      </x:c>
      <x:c r="L82" s="14"/>
      <x:c r="M82" s="14"/>
      <x:c r="N82" s="14"/>
      <x:c r="O82" s="14"/>
      <x:c r="P82" s="14" t="n">
        <x:v>10.33</x:v>
      </x:c>
      <x:c r="Q82" s="14" t="n">
        <x:v>57.56</x:v>
      </x:c>
      <x:c r="R82" s="15"/>
      <x:c r="S82" s="15"/>
      <x:c r="T82" s="15"/>
      <x:c r="U82" s="16"/>
      <x:c r="V82" t="str">
        <x:v>Alto Real Estate</x:v>
      </x:c>
      <x:c r="W82" t="str">
        <x:v>Ružinov</x:v>
      </x:c>
      <x:c r="X82" s="11" t="str">
        <x:v>sold</x:v>
      </x:c>
      <x:c r="Y82" s="11" t="str">
        <x:v>https://www.alvy.sk/byt/6-b-03</x:v>
      </x:c>
      <x:c r="Z82" s="11" t="n">
        <x:v>46251.740894027775</x:v>
      </x:c>
      <x:c r="AA82" s="11" t="n">
        <x:v>46254.51251577547</x:v>
      </x:c>
      <x:c r="AB82" s="11" t="n">
        <x:v>46254.51251577547</x:v>
      </x:c>
      <x:c r="AC82" t="str">
        <x:v>alvy</x:v>
      </x:c>
    </x:row>
    <x:row r="83" ht="22" customHeight="1">
      <x:c r="A83" t="str">
        <x:v>ALVY</x:v>
      </x:c>
      <x:c r="B83" t="str">
        <x:v>6.b.04</x:v>
      </x:c>
      <x:c r="C83" t="str">
        <x:v>sold</x:v>
      </x:c>
      <x:c r="D83" t="str">
        <x:v>present</x:v>
      </x:c>
      <x:c r="E83" t="str">
        <x:v>baseline</x:v>
      </x:c>
      <x:c r="F83" s="11" t="n">
        <x:v>46251.740894027775</x:v>
      </x:c>
      <x:c r="G83" t="str">
        <x:v>flat</x:v>
      </x:c>
      <x:c r="H83" s="12" t="n">
        <x:v>2</x:v>
      </x:c>
      <x:c r="I83" s="13" t="n">
        <x:v>6</x:v>
      </x:c>
      <x:c r="J83" t="str">
        <x:v>SO 100</x:v>
      </x:c>
      <x:c r="K83" s="14" t="n">
        <x:v>47.09</x:v>
      </x:c>
      <x:c r="L83" s="14"/>
      <x:c r="M83" s="14"/>
      <x:c r="N83" s="14"/>
      <x:c r="O83" s="14"/>
      <x:c r="P83" s="14" t="n">
        <x:v>10.33</x:v>
      </x:c>
      <x:c r="Q83" s="14" t="n">
        <x:v>57.42</x:v>
      </x:c>
      <x:c r="R83" s="15"/>
      <x:c r="S83" s="15"/>
      <x:c r="T83" s="15"/>
      <x:c r="U83" s="16"/>
      <x:c r="V83" t="str">
        <x:v>Alto Real Estate</x:v>
      </x:c>
      <x:c r="W83" t="str">
        <x:v>Ružinov</x:v>
      </x:c>
      <x:c r="X83" s="11" t="str">
        <x:v>sold</x:v>
      </x:c>
      <x:c r="Y83" s="11" t="str">
        <x:v>https://www.alvy.sk/byt/6-b-04</x:v>
      </x:c>
      <x:c r="Z83" s="11" t="n">
        <x:v>46251.740894027775</x:v>
      </x:c>
      <x:c r="AA83" s="11" t="n">
        <x:v>46254.51251577547</x:v>
      </x:c>
      <x:c r="AB83" s="11" t="n">
        <x:v>46254.51251577547</x:v>
      </x:c>
      <x:c r="AC83" t="str">
        <x:v>alvy</x:v>
      </x:c>
    </x:row>
    <x:row r="84" ht="22" customHeight="1">
      <x:c r="A84" t="str">
        <x:v>ALVY</x:v>
      </x:c>
      <x:c r="B84" t="str">
        <x:v>6.b.05</x:v>
      </x:c>
      <x:c r="C84" t="str">
        <x:v>available</x:v>
      </x:c>
      <x:c r="D84" t="str">
        <x:v>present</x:v>
      </x:c>
      <x:c r="E84" t="str">
        <x:v>baseline</x:v>
      </x:c>
      <x:c r="F84" s="11" t="n">
        <x:v>46251.740894027775</x:v>
      </x:c>
      <x:c r="G84" t="str">
        <x:v>flat</x:v>
      </x:c>
      <x:c r="H84" s="12" t="n">
        <x:v>2</x:v>
      </x:c>
      <x:c r="I84" s="13" t="n">
        <x:v>6</x:v>
      </x:c>
      <x:c r="J84" t="str">
        <x:v>SO 100</x:v>
      </x:c>
      <x:c r="K84" s="14" t="n">
        <x:v>53.26</x:v>
      </x:c>
      <x:c r="L84" s="14"/>
      <x:c r="M84" s="14"/>
      <x:c r="N84" s="14"/>
      <x:c r="O84" s="14"/>
      <x:c r="P84" s="14" t="n">
        <x:v>10.33</x:v>
      </x:c>
      <x:c r="Q84" s="14" t="n">
        <x:v>63.59</x:v>
      </x:c>
      <x:c r="R84" s="15" t="n">
        <x:v>312789</x:v>
      </x:c>
      <x:c r="S84" s="15" t="n">
        <x:v>312789</x:v>
      </x:c>
      <x:c r="T84" s="15"/>
      <x:c r="U84" s="16" t="n">
        <x:v>5872.87</x:v>
      </x:c>
      <x:c r="V84" t="str">
        <x:v>Alto Real Estate</x:v>
      </x:c>
      <x:c r="W84" t="str">
        <x:v>Ružinov</x:v>
      </x:c>
      <x:c r="X84" s="11" t="str">
        <x:v>free</x:v>
      </x:c>
      <x:c r="Y84" s="11" t="str">
        <x:v>https://www.alvy.sk/byt/6-b-05</x:v>
      </x:c>
      <x:c r="Z84" s="11" t="n">
        <x:v>46251.740894027775</x:v>
      </x:c>
      <x:c r="AA84" s="11" t="n">
        <x:v>46254.51251577547</x:v>
      </x:c>
      <x:c r="AB84" s="11" t="n">
        <x:v>46254.51251577547</x:v>
      </x:c>
      <x:c r="AC84" t="str">
        <x:v>alvy</x:v>
      </x:c>
    </x:row>
    <x:row r="85" ht="22" customHeight="1">
      <x:c r="A85" t="str">
        <x:v>ALVY</x:v>
      </x:c>
      <x:c r="B85" t="str">
        <x:v>6.b.06</x:v>
      </x:c>
      <x:c r="C85" t="str">
        <x:v>not_for_sale</x:v>
      </x:c>
      <x:c r="D85" t="str">
        <x:v>present</x:v>
      </x:c>
      <x:c r="E85" t="str">
        <x:v>baseline</x:v>
      </x:c>
      <x:c r="F85" s="11" t="n">
        <x:v>46251.740894027775</x:v>
      </x:c>
      <x:c r="G85" t="str">
        <x:v>flat</x:v>
      </x:c>
      <x:c r="H85" s="12" t="n">
        <x:v>1</x:v>
      </x:c>
      <x:c r="I85" s="13" t="n">
        <x:v>6</x:v>
      </x:c>
      <x:c r="J85" t="str">
        <x:v>SO 100</x:v>
      </x:c>
      <x:c r="K85" s="14" t="n">
        <x:v>35.04</x:v>
      </x:c>
      <x:c r="L85" s="14"/>
      <x:c r="M85" s="14"/>
      <x:c r="N85" s="14"/>
      <x:c r="O85" s="14"/>
      <x:c r="P85" s="14" t="n">
        <x:v>6.18</x:v>
      </x:c>
      <x:c r="Q85" s="14" t="n">
        <x:v>41.22</x:v>
      </x:c>
      <x:c r="R85" s="15"/>
      <x:c r="S85" s="15"/>
      <x:c r="T85" s="15"/>
      <x:c r="U85" s="16"/>
      <x:c r="V85" t="str">
        <x:v>Alto Real Estate</x:v>
      </x:c>
      <x:c r="W85" t="str">
        <x:v>Ružinov</x:v>
      </x:c>
      <x:c r="X85" s="11" t="str">
        <x:v>unavailable</x:v>
      </x:c>
      <x:c r="Y85" s="11" t="str">
        <x:v>https://www.alvy.sk/byt/6-b-06</x:v>
      </x:c>
      <x:c r="Z85" s="11" t="n">
        <x:v>46251.740894027775</x:v>
      </x:c>
      <x:c r="AA85" s="11" t="n">
        <x:v>46254.51251577547</x:v>
      </x:c>
      <x:c r="AB85" s="11" t="n">
        <x:v>46254.51251577547</x:v>
      </x:c>
      <x:c r="AC85" t="str">
        <x:v>alvy</x:v>
      </x:c>
    </x:row>
    <x:row r="86" ht="22" customHeight="1">
      <x:c r="A86" t="str">
        <x:v>ALVY</x:v>
      </x:c>
      <x:c r="B86" t="str">
        <x:v>6.b.07</x:v>
      </x:c>
      <x:c r="C86" t="str">
        <x:v>available</x:v>
      </x:c>
      <x:c r="D86" t="str">
        <x:v>present</x:v>
      </x:c>
      <x:c r="E86" t="str">
        <x:v>baseline</x:v>
      </x:c>
      <x:c r="F86" s="11" t="n">
        <x:v>46251.740894027775</x:v>
      </x:c>
      <x:c r="G86" t="str">
        <x:v>flat</x:v>
      </x:c>
      <x:c r="H86" s="12" t="n">
        <x:v>3</x:v>
      </x:c>
      <x:c r="I86" s="13" t="n">
        <x:v>6</x:v>
      </x:c>
      <x:c r="J86" t="str">
        <x:v>SO 100</x:v>
      </x:c>
      <x:c r="K86" s="14" t="n">
        <x:v>73.78</x:v>
      </x:c>
      <x:c r="L86" s="14"/>
      <x:c r="M86" s="14"/>
      <x:c r="N86" s="14"/>
      <x:c r="O86" s="14"/>
      <x:c r="P86" s="14" t="n">
        <x:v>11.19</x:v>
      </x:c>
      <x:c r="Q86" s="14" t="n">
        <x:v>84.97</x:v>
      </x:c>
      <x:c r="R86" s="15" t="n">
        <x:v>395322</x:v>
      </x:c>
      <x:c r="S86" s="15" t="n">
        <x:v>395322</x:v>
      </x:c>
      <x:c r="T86" s="15"/>
      <x:c r="U86" s="16" t="n">
        <x:v>5358.12</x:v>
      </x:c>
      <x:c r="V86" t="str">
        <x:v>Alto Real Estate</x:v>
      </x:c>
      <x:c r="W86" t="str">
        <x:v>Ružinov</x:v>
      </x:c>
      <x:c r="X86" s="11" t="str">
        <x:v>free</x:v>
      </x:c>
      <x:c r="Y86" s="11" t="str">
        <x:v>https://www.alvy.sk/byt/6-b-07</x:v>
      </x:c>
      <x:c r="Z86" s="11" t="n">
        <x:v>46251.740894027775</x:v>
      </x:c>
      <x:c r="AA86" s="11" t="n">
        <x:v>46254.51251577547</x:v>
      </x:c>
      <x:c r="AB86" s="11" t="n">
        <x:v>46254.51251577547</x:v>
      </x:c>
      <x:c r="AC86" t="str">
        <x:v>alvy</x:v>
      </x:c>
    </x:row>
    <x:row r="87" ht="22" customHeight="1">
      <x:c r="A87" t="str">
        <x:v>ALVY</x:v>
      </x:c>
      <x:c r="B87" t="str">
        <x:v>6.b.08</x:v>
      </x:c>
      <x:c r="C87" t="str">
        <x:v>available</x:v>
      </x:c>
      <x:c r="D87" t="str">
        <x:v>present</x:v>
      </x:c>
      <x:c r="E87" t="str">
        <x:v>baseline</x:v>
      </x:c>
      <x:c r="F87" s="11" t="n">
        <x:v>46251.740894027775</x:v>
      </x:c>
      <x:c r="G87" t="str">
        <x:v>flat</x:v>
      </x:c>
      <x:c r="H87" s="12" t="n">
        <x:v>3</x:v>
      </x:c>
      <x:c r="I87" s="13" t="n">
        <x:v>6</x:v>
      </x:c>
      <x:c r="J87" t="str">
        <x:v>SO 100</x:v>
      </x:c>
      <x:c r="K87" s="14" t="n">
        <x:v>73.78</x:v>
      </x:c>
      <x:c r="L87" s="14"/>
      <x:c r="M87" s="14"/>
      <x:c r="N87" s="14"/>
      <x:c r="O87" s="14"/>
      <x:c r="P87" s="14" t="n">
        <x:v>11.19</x:v>
      </x:c>
      <x:c r="Q87" s="14" t="n">
        <x:v>84.97</x:v>
      </x:c>
      <x:c r="R87" s="15" t="n">
        <x:v>369246</x:v>
      </x:c>
      <x:c r="S87" s="15" t="n">
        <x:v>369246</x:v>
      </x:c>
      <x:c r="T87" s="15"/>
      <x:c r="U87" s="16" t="n">
        <x:v>5004.69</x:v>
      </x:c>
      <x:c r="V87" t="str">
        <x:v>Alto Real Estate</x:v>
      </x:c>
      <x:c r="W87" t="str">
        <x:v>Ružinov</x:v>
      </x:c>
      <x:c r="X87" s="11" t="str">
        <x:v>free</x:v>
      </x:c>
      <x:c r="Y87" s="11" t="str">
        <x:v>https://www.alvy.sk/byt/6-b-08</x:v>
      </x:c>
      <x:c r="Z87" s="11" t="n">
        <x:v>46251.740894027775</x:v>
      </x:c>
      <x:c r="AA87" s="11" t="n">
        <x:v>46254.51251577547</x:v>
      </x:c>
      <x:c r="AB87" s="11" t="n">
        <x:v>46254.51251577547</x:v>
      </x:c>
      <x:c r="AC87" t="str">
        <x:v>alvy</x:v>
      </x:c>
    </x:row>
    <x:row r="88" ht="22" customHeight="1">
      <x:c r="A88" t="str">
        <x:v>ALVY</x:v>
      </x:c>
      <x:c r="B88" t="str">
        <x:v>6.b.09</x:v>
      </x:c>
      <x:c r="C88" t="str">
        <x:v>sold</x:v>
      </x:c>
      <x:c r="D88" t="str">
        <x:v>present</x:v>
      </x:c>
      <x:c r="E88" t="str">
        <x:v>baseline</x:v>
      </x:c>
      <x:c r="F88" s="11" t="n">
        <x:v>46251.740894027775</x:v>
      </x:c>
      <x:c r="G88" t="str">
        <x:v>flat</x:v>
      </x:c>
      <x:c r="H88" s="12" t="n">
        <x:v>1</x:v>
      </x:c>
      <x:c r="I88" s="13" t="n">
        <x:v>6</x:v>
      </x:c>
      <x:c r="J88" t="str">
        <x:v>SO 100</x:v>
      </x:c>
      <x:c r="K88" s="14" t="n">
        <x:v>35.04</x:v>
      </x:c>
      <x:c r="L88" s="14"/>
      <x:c r="M88" s="14"/>
      <x:c r="N88" s="14"/>
      <x:c r="O88" s="14"/>
      <x:c r="P88" s="14" t="n">
        <x:v>6.18</x:v>
      </x:c>
      <x:c r="Q88" s="14" t="n">
        <x:v>41.22</x:v>
      </x:c>
      <x:c r="R88" s="15"/>
      <x:c r="S88" s="15"/>
      <x:c r="T88" s="15"/>
      <x:c r="U88" s="16"/>
      <x:c r="V88" t="str">
        <x:v>Alto Real Estate</x:v>
      </x:c>
      <x:c r="W88" t="str">
        <x:v>Ružinov</x:v>
      </x:c>
      <x:c r="X88" s="11" t="str">
        <x:v>sold</x:v>
      </x:c>
      <x:c r="Y88" s="11" t="str">
        <x:v>https://www.alvy.sk/byt/6-b-09</x:v>
      </x:c>
      <x:c r="Z88" s="11" t="n">
        <x:v>46251.740894027775</x:v>
      </x:c>
      <x:c r="AA88" s="11" t="n">
        <x:v>46254.51251577547</x:v>
      </x:c>
      <x:c r="AB88" s="11" t="n">
        <x:v>46254.51251577547</x:v>
      </x:c>
      <x:c r="AC88" t="str">
        <x:v>alvy</x:v>
      </x:c>
    </x:row>
    <x:row r="89" ht="22" customHeight="1">
      <x:c r="A89" t="str">
        <x:v>ALVY</x:v>
      </x:c>
      <x:c r="B89" t="str">
        <x:v>6.b.10</x:v>
      </x:c>
      <x:c r="C89" t="str">
        <x:v>available</x:v>
      </x:c>
      <x:c r="D89" t="str">
        <x:v>present</x:v>
      </x:c>
      <x:c r="E89" t="str">
        <x:v>baseline</x:v>
      </x:c>
      <x:c r="F89" s="11" t="n">
        <x:v>46251.740894027775</x:v>
      </x:c>
      <x:c r="G89" t="str">
        <x:v>flat</x:v>
      </x:c>
      <x:c r="H89" s="12" t="n">
        <x:v>2</x:v>
      </x:c>
      <x:c r="I89" s="13" t="n">
        <x:v>6</x:v>
      </x:c>
      <x:c r="J89" t="str">
        <x:v>SO 100</x:v>
      </x:c>
      <x:c r="K89" s="14" t="n">
        <x:v>53.27</x:v>
      </x:c>
      <x:c r="L89" s="14"/>
      <x:c r="M89" s="14"/>
      <x:c r="N89" s="14"/>
      <x:c r="O89" s="14"/>
      <x:c r="P89" s="14" t="n">
        <x:v>10.33</x:v>
      </x:c>
      <x:c r="Q89" s="14" t="n">
        <x:v>63.6</x:v>
      </x:c>
      <x:c r="R89" s="15" t="n">
        <x:v>283884</x:v>
      </x:c>
      <x:c r="S89" s="15" t="n">
        <x:v>283884</x:v>
      </x:c>
      <x:c r="T89" s="15"/>
      <x:c r="U89" s="16" t="n">
        <x:v>5329.15</x:v>
      </x:c>
      <x:c r="V89" t="str">
        <x:v>Alto Real Estate</x:v>
      </x:c>
      <x:c r="W89" t="str">
        <x:v>Ružinov</x:v>
      </x:c>
      <x:c r="X89" s="11" t="str">
        <x:v>free</x:v>
      </x:c>
      <x:c r="Y89" s="11" t="str">
        <x:v>https://www.alvy.sk/byt/6-b-10</x:v>
      </x:c>
      <x:c r="Z89" s="11" t="n">
        <x:v>46251.740894027775</x:v>
      </x:c>
      <x:c r="AA89" s="11" t="n">
        <x:v>46254.51251577547</x:v>
      </x:c>
      <x:c r="AB89" s="11" t="n">
        <x:v>46254.51251577547</x:v>
      </x:c>
      <x:c r="AC89" t="str">
        <x:v>alvy</x:v>
      </x:c>
    </x:row>
    <x:row r="90" ht="22" customHeight="1">
      <x:c r="A90" t="str">
        <x:v>ALVY</x:v>
      </x:c>
      <x:c r="B90" t="str">
        <x:v>6.b.11</x:v>
      </x:c>
      <x:c r="C90" t="str">
        <x:v>sold</x:v>
      </x:c>
      <x:c r="D90" t="str">
        <x:v>present</x:v>
      </x:c>
      <x:c r="E90" t="str">
        <x:v>baseline</x:v>
      </x:c>
      <x:c r="F90" s="11" t="n">
        <x:v>46251.740894027775</x:v>
      </x:c>
      <x:c r="G90" t="str">
        <x:v>flat</x:v>
      </x:c>
      <x:c r="H90" s="12" t="n">
        <x:v>2</x:v>
      </x:c>
      <x:c r="I90" s="13" t="n">
        <x:v>6</x:v>
      </x:c>
      <x:c r="J90" t="str">
        <x:v>SO 100</x:v>
      </x:c>
      <x:c r="K90" s="14" t="n">
        <x:v>47.07</x:v>
      </x:c>
      <x:c r="L90" s="14"/>
      <x:c r="M90" s="14"/>
      <x:c r="N90" s="14"/>
      <x:c r="O90" s="14"/>
      <x:c r="P90" s="14" t="n">
        <x:v>10.33</x:v>
      </x:c>
      <x:c r="Q90" s="14" t="n">
        <x:v>57.4</x:v>
      </x:c>
      <x:c r="R90" s="15"/>
      <x:c r="S90" s="15"/>
      <x:c r="T90" s="15"/>
      <x:c r="U90" s="16"/>
      <x:c r="V90" t="str">
        <x:v>Alto Real Estate</x:v>
      </x:c>
      <x:c r="W90" t="str">
        <x:v>Ružinov</x:v>
      </x:c>
      <x:c r="X90" s="11" t="str">
        <x:v>sold</x:v>
      </x:c>
      <x:c r="Y90" s="11" t="str">
        <x:v>https://www.alvy.sk/byt/6-b-11</x:v>
      </x:c>
      <x:c r="Z90" s="11" t="n">
        <x:v>46251.740894027775</x:v>
      </x:c>
      <x:c r="AA90" s="11" t="n">
        <x:v>46254.51251577547</x:v>
      </x:c>
      <x:c r="AB90" s="11" t="n">
        <x:v>46254.51251577547</x:v>
      </x:c>
      <x:c r="AC90" t="str">
        <x:v>alvy</x:v>
      </x:c>
    </x:row>
    <x:row r="91" ht="22" customHeight="1">
      <x:c r="A91" t="str">
        <x:v>ALVY</x:v>
      </x:c>
      <x:c r="B91" t="str">
        <x:v>6.b.12</x:v>
      </x:c>
      <x:c r="C91" t="str">
        <x:v>sold</x:v>
      </x:c>
      <x:c r="D91" t="str">
        <x:v>present</x:v>
      </x:c>
      <x:c r="E91" t="str">
        <x:v>baseline</x:v>
      </x:c>
      <x:c r="F91" s="11" t="n">
        <x:v>46251.740894027775</x:v>
      </x:c>
      <x:c r="G91" t="str">
        <x:v>flat</x:v>
      </x:c>
      <x:c r="H91" s="12" t="n">
        <x:v>2</x:v>
      </x:c>
      <x:c r="I91" s="13" t="n">
        <x:v>6</x:v>
      </x:c>
      <x:c r="J91" t="str">
        <x:v>SO 100</x:v>
      </x:c>
      <x:c r="K91" s="14" t="n">
        <x:v>47.08</x:v>
      </x:c>
      <x:c r="L91" s="14"/>
      <x:c r="M91" s="14"/>
      <x:c r="N91" s="14"/>
      <x:c r="O91" s="14"/>
      <x:c r="P91" s="14" t="n">
        <x:v>10.33</x:v>
      </x:c>
      <x:c r="Q91" s="14" t="n">
        <x:v>57.41</x:v>
      </x:c>
      <x:c r="R91" s="15"/>
      <x:c r="S91" s="15"/>
      <x:c r="T91" s="15"/>
      <x:c r="U91" s="16"/>
      <x:c r="V91" t="str">
        <x:v>Alto Real Estate</x:v>
      </x:c>
      <x:c r="W91" t="str">
        <x:v>Ružinov</x:v>
      </x:c>
      <x:c r="X91" s="11" t="str">
        <x:v>sold</x:v>
      </x:c>
      <x:c r="Y91" s="11" t="str">
        <x:v>https://www.alvy.sk/byt/6-b-12</x:v>
      </x:c>
      <x:c r="Z91" s="11" t="n">
        <x:v>46251.740894027775</x:v>
      </x:c>
      <x:c r="AA91" s="11" t="n">
        <x:v>46254.51251577547</x:v>
      </x:c>
      <x:c r="AB91" s="11" t="n">
        <x:v>46254.51251577547</x:v>
      </x:c>
      <x:c r="AC91" t="str">
        <x:v>alvy</x:v>
      </x:c>
    </x:row>
    <x:row r="92" ht="22" customHeight="1">
      <x:c r="A92" t="str">
        <x:v>ALVY</x:v>
      </x:c>
      <x:c r="B92" t="str">
        <x:v>6.b.13</x:v>
      </x:c>
      <x:c r="C92" t="str">
        <x:v>sold</x:v>
      </x:c>
      <x:c r="D92" t="str">
        <x:v>present</x:v>
      </x:c>
      <x:c r="E92" t="str">
        <x:v>baseline</x:v>
      </x:c>
      <x:c r="F92" s="11" t="n">
        <x:v>46251.740894027775</x:v>
      </x:c>
      <x:c r="G92" t="str">
        <x:v>flat</x:v>
      </x:c>
      <x:c r="H92" s="12" t="n">
        <x:v>2</x:v>
      </x:c>
      <x:c r="I92" s="13" t="n">
        <x:v>6</x:v>
      </x:c>
      <x:c r="J92" t="str">
        <x:v>SO 100</x:v>
      </x:c>
      <x:c r="K92" s="14" t="n">
        <x:v>47.14</x:v>
      </x:c>
      <x:c r="L92" s="14"/>
      <x:c r="M92" s="14"/>
      <x:c r="N92" s="14"/>
      <x:c r="O92" s="14"/>
      <x:c r="P92" s="14" t="n">
        <x:v>10.33</x:v>
      </x:c>
      <x:c r="Q92" s="14" t="n">
        <x:v>57.47</x:v>
      </x:c>
      <x:c r="R92" s="15"/>
      <x:c r="S92" s="15"/>
      <x:c r="T92" s="15"/>
      <x:c r="U92" s="16"/>
      <x:c r="V92" t="str">
        <x:v>Alto Real Estate</x:v>
      </x:c>
      <x:c r="W92" t="str">
        <x:v>Ružinov</x:v>
      </x:c>
      <x:c r="X92" s="11" t="str">
        <x:v>sold</x:v>
      </x:c>
      <x:c r="Y92" s="11" t="str">
        <x:v>https://www.alvy.sk/byt/6-b-13</x:v>
      </x:c>
      <x:c r="Z92" s="11" t="n">
        <x:v>46251.740894027775</x:v>
      </x:c>
      <x:c r="AA92" s="11" t="n">
        <x:v>46254.51251577547</x:v>
      </x:c>
      <x:c r="AB92" s="11" t="n">
        <x:v>46254.51251577547</x:v>
      </x:c>
      <x:c r="AC92" t="str">
        <x:v>alvy</x:v>
      </x:c>
    </x:row>
    <x:row r="93" ht="22" customHeight="1">
      <x:c r="A93" t="str">
        <x:v>ALVY</x:v>
      </x:c>
      <x:c r="B93" t="str">
        <x:v>6.b.14</x:v>
      </x:c>
      <x:c r="C93" t="str">
        <x:v>pre_reserved</x:v>
      </x:c>
      <x:c r="D93" t="str">
        <x:v>present</x:v>
      </x:c>
      <x:c r="E93" t="str">
        <x:v>baseline</x:v>
      </x:c>
      <x:c r="F93" s="11" t="n">
        <x:v>46251.740894027775</x:v>
      </x:c>
      <x:c r="G93" t="str">
        <x:v>flat</x:v>
      </x:c>
      <x:c r="H93" s="12" t="n">
        <x:v>3</x:v>
      </x:c>
      <x:c r="I93" s="13" t="n">
        <x:v>6</x:v>
      </x:c>
      <x:c r="J93" t="str">
        <x:v>SO 100</x:v>
      </x:c>
      <x:c r="K93" s="14" t="n">
        <x:v>77.47</x:v>
      </x:c>
      <x:c r="L93" s="14"/>
      <x:c r="M93" s="14"/>
      <x:c r="N93" s="14"/>
      <x:c r="O93" s="14"/>
      <x:c r="P93" s="14" t="n">
        <x:v>27.2</x:v>
      </x:c>
      <x:c r="Q93" s="14" t="n">
        <x:v>104.67</x:v>
      </x:c>
      <x:c r="R93" s="15" t="n">
        <x:v>428532</x:v>
      </x:c>
      <x:c r="S93" s="15" t="n">
        <x:v>428532</x:v>
      </x:c>
      <x:c r="T93" s="15"/>
      <x:c r="U93" s="16" t="n">
        <x:v>5531.59</x:v>
      </x:c>
      <x:c r="V93" t="str">
        <x:v>Alto Real Estate</x:v>
      </x:c>
      <x:c r="W93" t="str">
        <x:v>Ružinov</x:v>
      </x:c>
      <x:c r="X93" s="11" t="str">
        <x:v>pre-reserved</x:v>
      </x:c>
      <x:c r="Y93" s="11" t="str">
        <x:v>https://www.alvy.sk/byt/6-b-14</x:v>
      </x:c>
      <x:c r="Z93" s="11" t="n">
        <x:v>46251.740894027775</x:v>
      </x:c>
      <x:c r="AA93" s="11" t="n">
        <x:v>46254.51251577547</x:v>
      </x:c>
      <x:c r="AB93" s="11" t="n">
        <x:v>46254.51251577547</x:v>
      </x:c>
      <x:c r="AC93" t="str">
        <x:v>alvy</x:v>
      </x:c>
    </x:row>
    <x:row r="94" ht="22" customHeight="1">
      <x:c r="A94" t="str">
        <x:v>ALVY</x:v>
      </x:c>
      <x:c r="B94" t="str">
        <x:v>6.b.15</x:v>
      </x:c>
      <x:c r="C94" t="str">
        <x:v>pre_reserved</x:v>
      </x:c>
      <x:c r="D94" t="str">
        <x:v>present</x:v>
      </x:c>
      <x:c r="E94" t="str">
        <x:v>baseline</x:v>
      </x:c>
      <x:c r="F94" s="11" t="n">
        <x:v>46251.740894027775</x:v>
      </x:c>
      <x:c r="G94" t="str">
        <x:v>flat</x:v>
      </x:c>
      <x:c r="H94" s="12" t="n">
        <x:v>2</x:v>
      </x:c>
      <x:c r="I94" s="13" t="n">
        <x:v>6</x:v>
      </x:c>
      <x:c r="J94" t="str">
        <x:v>SO 100</x:v>
      </x:c>
      <x:c r="K94" s="14" t="n">
        <x:v>49.11</x:v>
      </x:c>
      <x:c r="L94" s="14"/>
      <x:c r="M94" s="14"/>
      <x:c r="N94" s="14"/>
      <x:c r="O94" s="14"/>
      <x:c r="P94" s="14" t="n">
        <x:v>9.63</x:v>
      </x:c>
      <x:c r="Q94" s="14" t="n">
        <x:v>58.74</x:v>
      </x:c>
      <x:c r="R94" s="15" t="n">
        <x:v>285852</x:v>
      </x:c>
      <x:c r="S94" s="15" t="n">
        <x:v>285852</x:v>
      </x:c>
      <x:c r="T94" s="15"/>
      <x:c r="U94" s="16" t="n">
        <x:v>5820.65</x:v>
      </x:c>
      <x:c r="V94" t="str">
        <x:v>Alto Real Estate</x:v>
      </x:c>
      <x:c r="W94" t="str">
        <x:v>Ružinov</x:v>
      </x:c>
      <x:c r="X94" s="11" t="str">
        <x:v>pre-reserved</x:v>
      </x:c>
      <x:c r="Y94" s="11" t="str">
        <x:v>https://www.alvy.sk/byt/6-b-15</x:v>
      </x:c>
      <x:c r="Z94" s="11" t="n">
        <x:v>46251.740894027775</x:v>
      </x:c>
      <x:c r="AA94" s="11" t="n">
        <x:v>46254.51251577547</x:v>
      </x:c>
      <x:c r="AB94" s="11" t="n">
        <x:v>46254.51251577547</x:v>
      </x:c>
      <x:c r="AC94" t="str">
        <x:v>alvy</x:v>
      </x:c>
    </x:row>
    <x:row r="95" ht="22" customHeight="1">
      <x:c r="A95" t="str">
        <x:v>ALVY</x:v>
      </x:c>
      <x:c r="B95" t="str">
        <x:v>7.b.01</x:v>
      </x:c>
      <x:c r="C95" t="str">
        <x:v>not_for_sale</x:v>
      </x:c>
      <x:c r="D95" t="str">
        <x:v>present</x:v>
      </x:c>
      <x:c r="E95" t="str">
        <x:v>baseline</x:v>
      </x:c>
      <x:c r="F95" s="11" t="n">
        <x:v>46251.740894027775</x:v>
      </x:c>
      <x:c r="G95" t="str">
        <x:v>flat</x:v>
      </x:c>
      <x:c r="H95" s="12" t="n">
        <x:v>3</x:v>
      </x:c>
      <x:c r="I95" s="13" t="n">
        <x:v>7</x:v>
      </x:c>
      <x:c r="J95" t="str">
        <x:v>SO 100</x:v>
      </x:c>
      <x:c r="K95" s="14" t="n">
        <x:v>77.44</x:v>
      </x:c>
      <x:c r="L95" s="14"/>
      <x:c r="M95" s="14"/>
      <x:c r="N95" s="14"/>
      <x:c r="O95" s="14"/>
      <x:c r="P95" s="14" t="n">
        <x:v>27.2</x:v>
      </x:c>
      <x:c r="Q95" s="14" t="n">
        <x:v>104.64</x:v>
      </x:c>
      <x:c r="R95" s="15"/>
      <x:c r="S95" s="15"/>
      <x:c r="T95" s="15"/>
      <x:c r="U95" s="16"/>
      <x:c r="V95" t="str">
        <x:v>Alto Real Estate</x:v>
      </x:c>
      <x:c r="W95" t="str">
        <x:v>Ružinov</x:v>
      </x:c>
      <x:c r="X95" s="11" t="str">
        <x:v>unavailable</x:v>
      </x:c>
      <x:c r="Y95" s="11" t="str">
        <x:v>https://www.alvy.sk/byt/7-b-01</x:v>
      </x:c>
      <x:c r="Z95" s="11" t="n">
        <x:v>46251.740894027775</x:v>
      </x:c>
      <x:c r="AA95" s="11" t="n">
        <x:v>46254.51251577547</x:v>
      </x:c>
      <x:c r="AB95" s="11" t="n">
        <x:v>46254.51251577547</x:v>
      </x:c>
      <x:c r="AC95" t="str">
        <x:v>alvy</x:v>
      </x:c>
    </x:row>
    <x:row r="96" ht="22" customHeight="1">
      <x:c r="A96" t="str">
        <x:v>ALVY</x:v>
      </x:c>
      <x:c r="B96" t="str">
        <x:v>7.b.02</x:v>
      </x:c>
      <x:c r="C96" t="str">
        <x:v>not_for_sale</x:v>
      </x:c>
      <x:c r="D96" t="str">
        <x:v>present</x:v>
      </x:c>
      <x:c r="E96" t="str">
        <x:v>baseline</x:v>
      </x:c>
      <x:c r="F96" s="11" t="n">
        <x:v>46251.740894027775</x:v>
      </x:c>
      <x:c r="G96" t="str">
        <x:v>flat</x:v>
      </x:c>
      <x:c r="H96" s="12" t="n">
        <x:v>2</x:v>
      </x:c>
      <x:c r="I96" s="13" t="n">
        <x:v>7</x:v>
      </x:c>
      <x:c r="J96" t="str">
        <x:v>SO 100</x:v>
      </x:c>
      <x:c r="K96" s="14" t="n">
        <x:v>47.15</x:v>
      </x:c>
      <x:c r="L96" s="14"/>
      <x:c r="M96" s="14"/>
      <x:c r="N96" s="14"/>
      <x:c r="O96" s="14"/>
      <x:c r="P96" s="14" t="n">
        <x:v>10.33</x:v>
      </x:c>
      <x:c r="Q96" s="14" t="n">
        <x:v>57.48</x:v>
      </x:c>
      <x:c r="R96" s="15"/>
      <x:c r="S96" s="15"/>
      <x:c r="T96" s="15"/>
      <x:c r="U96" s="16"/>
      <x:c r="V96" t="str">
        <x:v>Alto Real Estate</x:v>
      </x:c>
      <x:c r="W96" t="str">
        <x:v>Ružinov</x:v>
      </x:c>
      <x:c r="X96" s="11" t="str">
        <x:v>unavailable</x:v>
      </x:c>
      <x:c r="Y96" s="11" t="str">
        <x:v>https://www.alvy.sk/byt/7-b-02</x:v>
      </x:c>
      <x:c r="Z96" s="11" t="n">
        <x:v>46251.740894027775</x:v>
      </x:c>
      <x:c r="AA96" s="11" t="n">
        <x:v>46254.51251577547</x:v>
      </x:c>
      <x:c r="AB96" s="11" t="n">
        <x:v>46254.51251577547</x:v>
      </x:c>
      <x:c r="AC96" t="str">
        <x:v>alvy</x:v>
      </x:c>
    </x:row>
    <x:row r="97" ht="22" customHeight="1">
      <x:c r="A97" t="str">
        <x:v>ALVY</x:v>
      </x:c>
      <x:c r="B97" t="str">
        <x:v>7.b.03</x:v>
      </x:c>
      <x:c r="C97" t="str">
        <x:v>not_for_sale</x:v>
      </x:c>
      <x:c r="D97" t="str">
        <x:v>present</x:v>
      </x:c>
      <x:c r="E97" t="str">
        <x:v>baseline</x:v>
      </x:c>
      <x:c r="F97" s="11" t="n">
        <x:v>46251.740894027775</x:v>
      </x:c>
      <x:c r="G97" t="str">
        <x:v>flat</x:v>
      </x:c>
      <x:c r="H97" s="12" t="n">
        <x:v>2</x:v>
      </x:c>
      <x:c r="I97" s="13" t="n">
        <x:v>7</x:v>
      </x:c>
      <x:c r="J97" t="str">
        <x:v>SO 100</x:v>
      </x:c>
      <x:c r="K97" s="14" t="n">
        <x:v>47.23</x:v>
      </x:c>
      <x:c r="L97" s="14"/>
      <x:c r="M97" s="14"/>
      <x:c r="N97" s="14"/>
      <x:c r="O97" s="14"/>
      <x:c r="P97" s="14" t="n">
        <x:v>10.33</x:v>
      </x:c>
      <x:c r="Q97" s="14" t="n">
        <x:v>57.56</x:v>
      </x:c>
      <x:c r="R97" s="15"/>
      <x:c r="S97" s="15"/>
      <x:c r="T97" s="15"/>
      <x:c r="U97" s="16"/>
      <x:c r="V97" t="str">
        <x:v>Alto Real Estate</x:v>
      </x:c>
      <x:c r="W97" t="str">
        <x:v>Ružinov</x:v>
      </x:c>
      <x:c r="X97" s="11" t="str">
        <x:v>unavailable</x:v>
      </x:c>
      <x:c r="Y97" s="11" t="str">
        <x:v>https://www.alvy.sk/byt/7-b-03</x:v>
      </x:c>
      <x:c r="Z97" s="11" t="n">
        <x:v>46251.740894027775</x:v>
      </x:c>
      <x:c r="AA97" s="11" t="n">
        <x:v>46254.51251577547</x:v>
      </x:c>
      <x:c r="AB97" s="11" t="n">
        <x:v>46254.51251577547</x:v>
      </x:c>
      <x:c r="AC97" t="str">
        <x:v>alvy</x:v>
      </x:c>
    </x:row>
    <x:row r="98" ht="22" customHeight="1">
      <x:c r="A98" t="str">
        <x:v>ALVY</x:v>
      </x:c>
      <x:c r="B98" t="str">
        <x:v>7.b.04</x:v>
      </x:c>
      <x:c r="C98" t="str">
        <x:v>not_for_sale</x:v>
      </x:c>
      <x:c r="D98" t="str">
        <x:v>present</x:v>
      </x:c>
      <x:c r="E98" t="str">
        <x:v>baseline</x:v>
      </x:c>
      <x:c r="F98" s="11" t="n">
        <x:v>46251.740894027775</x:v>
      </x:c>
      <x:c r="G98" t="str">
        <x:v>flat</x:v>
      </x:c>
      <x:c r="H98" s="12" t="n">
        <x:v>2</x:v>
      </x:c>
      <x:c r="I98" s="13" t="n">
        <x:v>7</x:v>
      </x:c>
      <x:c r="J98" t="str">
        <x:v>SO 100</x:v>
      </x:c>
      <x:c r="K98" s="14" t="n">
        <x:v>47.09</x:v>
      </x:c>
      <x:c r="L98" s="14"/>
      <x:c r="M98" s="14"/>
      <x:c r="N98" s="14"/>
      <x:c r="O98" s="14"/>
      <x:c r="P98" s="14" t="n">
        <x:v>10.33</x:v>
      </x:c>
      <x:c r="Q98" s="14" t="n">
        <x:v>57.42</x:v>
      </x:c>
      <x:c r="R98" s="15"/>
      <x:c r="S98" s="15"/>
      <x:c r="T98" s="15"/>
      <x:c r="U98" s="16"/>
      <x:c r="V98" t="str">
        <x:v>Alto Real Estate</x:v>
      </x:c>
      <x:c r="W98" t="str">
        <x:v>Ružinov</x:v>
      </x:c>
      <x:c r="X98" s="11" t="str">
        <x:v>unavailable</x:v>
      </x:c>
      <x:c r="Y98" s="11" t="str">
        <x:v>https://www.alvy.sk/byt/7-b-04</x:v>
      </x:c>
      <x:c r="Z98" s="11" t="n">
        <x:v>46251.740894027775</x:v>
      </x:c>
      <x:c r="AA98" s="11" t="n">
        <x:v>46254.51251577547</x:v>
      </x:c>
      <x:c r="AB98" s="11" t="n">
        <x:v>46254.51251577547</x:v>
      </x:c>
      <x:c r="AC98" t="str">
        <x:v>alvy</x:v>
      </x:c>
    </x:row>
    <x:row r="99" ht="22" customHeight="1">
      <x:c r="A99" t="str">
        <x:v>ALVY</x:v>
      </x:c>
      <x:c r="B99" t="str">
        <x:v>7.b.05</x:v>
      </x:c>
      <x:c r="C99" t="str">
        <x:v>not_for_sale</x:v>
      </x:c>
      <x:c r="D99" t="str">
        <x:v>present</x:v>
      </x:c>
      <x:c r="E99" t="str">
        <x:v>baseline</x:v>
      </x:c>
      <x:c r="F99" s="11" t="n">
        <x:v>46251.740894027775</x:v>
      </x:c>
      <x:c r="G99" t="str">
        <x:v>flat</x:v>
      </x:c>
      <x:c r="H99" s="12" t="n">
        <x:v>2</x:v>
      </x:c>
      <x:c r="I99" s="13" t="n">
        <x:v>7</x:v>
      </x:c>
      <x:c r="J99" t="str">
        <x:v>SO 100</x:v>
      </x:c>
      <x:c r="K99" s="14" t="n">
        <x:v>53.26</x:v>
      </x:c>
      <x:c r="L99" s="14"/>
      <x:c r="M99" s="14"/>
      <x:c r="N99" s="14"/>
      <x:c r="O99" s="14"/>
      <x:c r="P99" s="14" t="n">
        <x:v>10.33</x:v>
      </x:c>
      <x:c r="Q99" s="14" t="n">
        <x:v>63.59</x:v>
      </x:c>
      <x:c r="R99" s="15"/>
      <x:c r="S99" s="15"/>
      <x:c r="T99" s="15"/>
      <x:c r="U99" s="16"/>
      <x:c r="V99" t="str">
        <x:v>Alto Real Estate</x:v>
      </x:c>
      <x:c r="W99" t="str">
        <x:v>Ružinov</x:v>
      </x:c>
      <x:c r="X99" s="11" t="str">
        <x:v>unavailable</x:v>
      </x:c>
      <x:c r="Y99" s="11" t="str">
        <x:v>https://www.alvy.sk/byt/7-b-05</x:v>
      </x:c>
      <x:c r="Z99" s="11" t="n">
        <x:v>46251.740894027775</x:v>
      </x:c>
      <x:c r="AA99" s="11" t="n">
        <x:v>46254.51251577547</x:v>
      </x:c>
      <x:c r="AB99" s="11" t="n">
        <x:v>46254.51251577547</x:v>
      </x:c>
      <x:c r="AC99" t="str">
        <x:v>alvy</x:v>
      </x:c>
    </x:row>
    <x:row r="100" ht="22" customHeight="1">
      <x:c r="A100" t="str">
        <x:v>ALVY</x:v>
      </x:c>
      <x:c r="B100" t="str">
        <x:v>7.b.06</x:v>
      </x:c>
      <x:c r="C100" t="str">
        <x:v>not_for_sale</x:v>
      </x:c>
      <x:c r="D100" t="str">
        <x:v>present</x:v>
      </x:c>
      <x:c r="E100" t="str">
        <x:v>baseline</x:v>
      </x:c>
      <x:c r="F100" s="11" t="n">
        <x:v>46251.740894027775</x:v>
      </x:c>
      <x:c r="G100" t="str">
        <x:v>flat</x:v>
      </x:c>
      <x:c r="H100" s="12" t="n">
        <x:v>1</x:v>
      </x:c>
      <x:c r="I100" s="13" t="n">
        <x:v>7</x:v>
      </x:c>
      <x:c r="J100" t="str">
        <x:v>SO 100</x:v>
      </x:c>
      <x:c r="K100" s="14" t="n">
        <x:v>35.04</x:v>
      </x:c>
      <x:c r="L100" s="14"/>
      <x:c r="M100" s="14"/>
      <x:c r="N100" s="14"/>
      <x:c r="O100" s="14"/>
      <x:c r="P100" s="14" t="n">
        <x:v>6.18</x:v>
      </x:c>
      <x:c r="Q100" s="14" t="n">
        <x:v>41.22</x:v>
      </x:c>
      <x:c r="R100" s="15"/>
      <x:c r="S100" s="15"/>
      <x:c r="T100" s="15"/>
      <x:c r="U100" s="16"/>
      <x:c r="V100" t="str">
        <x:v>Alto Real Estate</x:v>
      </x:c>
      <x:c r="W100" t="str">
        <x:v>Ružinov</x:v>
      </x:c>
      <x:c r="X100" s="11" t="str">
        <x:v>unavailable</x:v>
      </x:c>
      <x:c r="Y100" s="11" t="str">
        <x:v>https://www.alvy.sk/byt/7-b-06</x:v>
      </x:c>
      <x:c r="Z100" s="11" t="n">
        <x:v>46251.740894027775</x:v>
      </x:c>
      <x:c r="AA100" s="11" t="n">
        <x:v>46254.51251577547</x:v>
      </x:c>
      <x:c r="AB100" s="11" t="n">
        <x:v>46254.51251577547</x:v>
      </x:c>
      <x:c r="AC100" t="str">
        <x:v>alvy</x:v>
      </x:c>
    </x:row>
    <x:row r="101" ht="22" customHeight="1">
      <x:c r="A101" t="str">
        <x:v>ALVY</x:v>
      </x:c>
      <x:c r="B101" t="str">
        <x:v>7.b.07</x:v>
      </x:c>
      <x:c r="C101" t="str">
        <x:v>not_for_sale</x:v>
      </x:c>
      <x:c r="D101" t="str">
        <x:v>present</x:v>
      </x:c>
      <x:c r="E101" t="str">
        <x:v>baseline</x:v>
      </x:c>
      <x:c r="F101" s="11" t="n">
        <x:v>46251.740894027775</x:v>
      </x:c>
      <x:c r="G101" t="str">
        <x:v>flat</x:v>
      </x:c>
      <x:c r="H101" s="12" t="n">
        <x:v>3</x:v>
      </x:c>
      <x:c r="I101" s="13" t="n">
        <x:v>7</x:v>
      </x:c>
      <x:c r="J101" t="str">
        <x:v>SO 100</x:v>
      </x:c>
      <x:c r="K101" s="14" t="n">
        <x:v>73.78</x:v>
      </x:c>
      <x:c r="L101" s="14"/>
      <x:c r="M101" s="14"/>
      <x:c r="N101" s="14"/>
      <x:c r="O101" s="14"/>
      <x:c r="P101" s="14" t="n">
        <x:v>11.19</x:v>
      </x:c>
      <x:c r="Q101" s="14" t="n">
        <x:v>84.97</x:v>
      </x:c>
      <x:c r="R101" s="15"/>
      <x:c r="S101" s="15"/>
      <x:c r="T101" s="15"/>
      <x:c r="U101" s="16"/>
      <x:c r="V101" t="str">
        <x:v>Alto Real Estate</x:v>
      </x:c>
      <x:c r="W101" t="str">
        <x:v>Ružinov</x:v>
      </x:c>
      <x:c r="X101" s="11" t="str">
        <x:v>unavailable</x:v>
      </x:c>
      <x:c r="Y101" s="11" t="str">
        <x:v>https://www.alvy.sk/byt/7-b-07</x:v>
      </x:c>
      <x:c r="Z101" s="11" t="n">
        <x:v>46251.740894027775</x:v>
      </x:c>
      <x:c r="AA101" s="11" t="n">
        <x:v>46254.51251577547</x:v>
      </x:c>
      <x:c r="AB101" s="11" t="n">
        <x:v>46254.51251577547</x:v>
      </x:c>
      <x:c r="AC101" t="str">
        <x:v>alvy</x:v>
      </x:c>
    </x:row>
    <x:row r="102" ht="22" customHeight="1">
      <x:c r="A102" t="str">
        <x:v>ALVY</x:v>
      </x:c>
      <x:c r="B102" t="str">
        <x:v>7.b.08</x:v>
      </x:c>
      <x:c r="C102" t="str">
        <x:v>not_for_sale</x:v>
      </x:c>
      <x:c r="D102" t="str">
        <x:v>present</x:v>
      </x:c>
      <x:c r="E102" t="str">
        <x:v>baseline</x:v>
      </x:c>
      <x:c r="F102" s="11" t="n">
        <x:v>46251.740894027775</x:v>
      </x:c>
      <x:c r="G102" t="str">
        <x:v>flat</x:v>
      </x:c>
      <x:c r="H102" s="12" t="n">
        <x:v>3</x:v>
      </x:c>
      <x:c r="I102" s="13" t="n">
        <x:v>7</x:v>
      </x:c>
      <x:c r="J102" t="str">
        <x:v>SO 100</x:v>
      </x:c>
      <x:c r="K102" s="14" t="n">
        <x:v>73.78</x:v>
      </x:c>
      <x:c r="L102" s="14"/>
      <x:c r="M102" s="14"/>
      <x:c r="N102" s="14"/>
      <x:c r="O102" s="14"/>
      <x:c r="P102" s="14" t="n">
        <x:v>11.19</x:v>
      </x:c>
      <x:c r="Q102" s="14" t="n">
        <x:v>84.97</x:v>
      </x:c>
      <x:c r="R102" s="15"/>
      <x:c r="S102" s="15"/>
      <x:c r="T102" s="15"/>
      <x:c r="U102" s="16"/>
      <x:c r="V102" t="str">
        <x:v>Alto Real Estate</x:v>
      </x:c>
      <x:c r="W102" t="str">
        <x:v>Ružinov</x:v>
      </x:c>
      <x:c r="X102" s="11" t="str">
        <x:v>unavailable</x:v>
      </x:c>
      <x:c r="Y102" s="11" t="str">
        <x:v>https://www.alvy.sk/byt/7-b-08</x:v>
      </x:c>
      <x:c r="Z102" s="11" t="n">
        <x:v>46251.740894027775</x:v>
      </x:c>
      <x:c r="AA102" s="11" t="n">
        <x:v>46254.51251577547</x:v>
      </x:c>
      <x:c r="AB102" s="11" t="n">
        <x:v>46254.51251577547</x:v>
      </x:c>
      <x:c r="AC102" t="str">
        <x:v>alvy</x:v>
      </x:c>
    </x:row>
    <x:row r="103" ht="22" customHeight="1">
      <x:c r="A103" t="str">
        <x:v>ALVY</x:v>
      </x:c>
      <x:c r="B103" t="str">
        <x:v>7.b.09</x:v>
      </x:c>
      <x:c r="C103" t="str">
        <x:v>not_for_sale</x:v>
      </x:c>
      <x:c r="D103" t="str">
        <x:v>present</x:v>
      </x:c>
      <x:c r="E103" t="str">
        <x:v>baseline</x:v>
      </x:c>
      <x:c r="F103" s="11" t="n">
        <x:v>46251.740894027775</x:v>
      </x:c>
      <x:c r="G103" t="str">
        <x:v>flat</x:v>
      </x:c>
      <x:c r="H103" s="12" t="n">
        <x:v>1</x:v>
      </x:c>
      <x:c r="I103" s="13" t="n">
        <x:v>7</x:v>
      </x:c>
      <x:c r="J103" t="str">
        <x:v>SO 100</x:v>
      </x:c>
      <x:c r="K103" s="14" t="n">
        <x:v>35.04</x:v>
      </x:c>
      <x:c r="L103" s="14"/>
      <x:c r="M103" s="14"/>
      <x:c r="N103" s="14"/>
      <x:c r="O103" s="14"/>
      <x:c r="P103" s="14" t="n">
        <x:v>6.18</x:v>
      </x:c>
      <x:c r="Q103" s="14" t="n">
        <x:v>41.22</x:v>
      </x:c>
      <x:c r="R103" s="15"/>
      <x:c r="S103" s="15"/>
      <x:c r="T103" s="15"/>
      <x:c r="U103" s="16"/>
      <x:c r="V103" t="str">
        <x:v>Alto Real Estate</x:v>
      </x:c>
      <x:c r="W103" t="str">
        <x:v>Ružinov</x:v>
      </x:c>
      <x:c r="X103" s="11" t="str">
        <x:v>unavailable</x:v>
      </x:c>
      <x:c r="Y103" s="11" t="str">
        <x:v>https://www.alvy.sk/byt/7-b-09</x:v>
      </x:c>
      <x:c r="Z103" s="11" t="n">
        <x:v>46251.740894027775</x:v>
      </x:c>
      <x:c r="AA103" s="11" t="n">
        <x:v>46254.51251577547</x:v>
      </x:c>
      <x:c r="AB103" s="11" t="n">
        <x:v>46254.51251577547</x:v>
      </x:c>
      <x:c r="AC103" t="str">
        <x:v>alvy</x:v>
      </x:c>
    </x:row>
    <x:row r="104" ht="22" customHeight="1">
      <x:c r="A104" t="str">
        <x:v>ALVY</x:v>
      </x:c>
      <x:c r="B104" t="str">
        <x:v>7.b.10</x:v>
      </x:c>
      <x:c r="C104" t="str">
        <x:v>not_for_sale</x:v>
      </x:c>
      <x:c r="D104" t="str">
        <x:v>present</x:v>
      </x:c>
      <x:c r="E104" t="str">
        <x:v>baseline</x:v>
      </x:c>
      <x:c r="F104" s="11" t="n">
        <x:v>46251.740894027775</x:v>
      </x:c>
      <x:c r="G104" t="str">
        <x:v>flat</x:v>
      </x:c>
      <x:c r="H104" s="12" t="n">
        <x:v>2</x:v>
      </x:c>
      <x:c r="I104" s="13" t="n">
        <x:v>7</x:v>
      </x:c>
      <x:c r="J104" t="str">
        <x:v>SO 100</x:v>
      </x:c>
      <x:c r="K104" s="14" t="n">
        <x:v>53.27</x:v>
      </x:c>
      <x:c r="L104" s="14"/>
      <x:c r="M104" s="14"/>
      <x:c r="N104" s="14"/>
      <x:c r="O104" s="14"/>
      <x:c r="P104" s="14" t="n">
        <x:v>10.33</x:v>
      </x:c>
      <x:c r="Q104" s="14" t="n">
        <x:v>63.6</x:v>
      </x:c>
      <x:c r="R104" s="15"/>
      <x:c r="S104" s="15"/>
      <x:c r="T104" s="15"/>
      <x:c r="U104" s="16"/>
      <x:c r="V104" t="str">
        <x:v>Alto Real Estate</x:v>
      </x:c>
      <x:c r="W104" t="str">
        <x:v>Ružinov</x:v>
      </x:c>
      <x:c r="X104" s="11" t="str">
        <x:v>unavailable</x:v>
      </x:c>
      <x:c r="Y104" s="11" t="str">
        <x:v>https://www.alvy.sk/byt/7-b-10</x:v>
      </x:c>
      <x:c r="Z104" s="11" t="n">
        <x:v>46251.740894027775</x:v>
      </x:c>
      <x:c r="AA104" s="11" t="n">
        <x:v>46254.51251577547</x:v>
      </x:c>
      <x:c r="AB104" s="11" t="n">
        <x:v>46254.51251577547</x:v>
      </x:c>
      <x:c r="AC104" t="str">
        <x:v>alvy</x:v>
      </x:c>
    </x:row>
    <x:row r="105" ht="22" customHeight="1">
      <x:c r="A105" t="str">
        <x:v>ALVY</x:v>
      </x:c>
      <x:c r="B105" t="str">
        <x:v>7.b.11</x:v>
      </x:c>
      <x:c r="C105" t="str">
        <x:v>sold</x:v>
      </x:c>
      <x:c r="D105" t="str">
        <x:v>present</x:v>
      </x:c>
      <x:c r="E105" t="str">
        <x:v>baseline</x:v>
      </x:c>
      <x:c r="F105" s="11" t="n">
        <x:v>46251.740894027775</x:v>
      </x:c>
      <x:c r="G105" t="str">
        <x:v>flat</x:v>
      </x:c>
      <x:c r="H105" s="12" t="n">
        <x:v>2</x:v>
      </x:c>
      <x:c r="I105" s="13" t="n">
        <x:v>7</x:v>
      </x:c>
      <x:c r="J105" t="str">
        <x:v>SO 100</x:v>
      </x:c>
      <x:c r="K105" s="14" t="n">
        <x:v>47.07</x:v>
      </x:c>
      <x:c r="L105" s="14"/>
      <x:c r="M105" s="14"/>
      <x:c r="N105" s="14"/>
      <x:c r="O105" s="14"/>
      <x:c r="P105" s="14" t="n">
        <x:v>10.33</x:v>
      </x:c>
      <x:c r="Q105" s="14" t="n">
        <x:v>57.4</x:v>
      </x:c>
      <x:c r="R105" s="15"/>
      <x:c r="S105" s="15"/>
      <x:c r="T105" s="15"/>
      <x:c r="U105" s="16"/>
      <x:c r="V105" t="str">
        <x:v>Alto Real Estate</x:v>
      </x:c>
      <x:c r="W105" t="str">
        <x:v>Ružinov</x:v>
      </x:c>
      <x:c r="X105" s="11" t="str">
        <x:v>sold</x:v>
      </x:c>
      <x:c r="Y105" s="11" t="str">
        <x:v>https://www.alvy.sk/byt/7-b-11</x:v>
      </x:c>
      <x:c r="Z105" s="11" t="n">
        <x:v>46251.740894027775</x:v>
      </x:c>
      <x:c r="AA105" s="11" t="n">
        <x:v>46254.51251577547</x:v>
      </x:c>
      <x:c r="AB105" s="11" t="n">
        <x:v>46254.51251577547</x:v>
      </x:c>
      <x:c r="AC105" t="str">
        <x:v>alvy</x:v>
      </x:c>
    </x:row>
    <x:row r="106" ht="22" customHeight="1">
      <x:c r="A106" t="str">
        <x:v>ALVY</x:v>
      </x:c>
      <x:c r="B106" t="str">
        <x:v>7.b.12</x:v>
      </x:c>
      <x:c r="C106" t="str">
        <x:v>not_for_sale</x:v>
      </x:c>
      <x:c r="D106" t="str">
        <x:v>present</x:v>
      </x:c>
      <x:c r="E106" t="str">
        <x:v>baseline</x:v>
      </x:c>
      <x:c r="F106" s="11" t="n">
        <x:v>46251.740894027775</x:v>
      </x:c>
      <x:c r="G106" t="str">
        <x:v>flat</x:v>
      </x:c>
      <x:c r="H106" s="12" t="n">
        <x:v>2</x:v>
      </x:c>
      <x:c r="I106" s="13" t="n">
        <x:v>7</x:v>
      </x:c>
      <x:c r="J106" t="str">
        <x:v>SO 100</x:v>
      </x:c>
      <x:c r="K106" s="14" t="n">
        <x:v>47.08</x:v>
      </x:c>
      <x:c r="L106" s="14"/>
      <x:c r="M106" s="14"/>
      <x:c r="N106" s="14"/>
      <x:c r="O106" s="14"/>
      <x:c r="P106" s="14" t="n">
        <x:v>10.33</x:v>
      </x:c>
      <x:c r="Q106" s="14" t="n">
        <x:v>57.41</x:v>
      </x:c>
      <x:c r="R106" s="15"/>
      <x:c r="S106" s="15"/>
      <x:c r="T106" s="15"/>
      <x:c r="U106" s="16"/>
      <x:c r="V106" t="str">
        <x:v>Alto Real Estate</x:v>
      </x:c>
      <x:c r="W106" t="str">
        <x:v>Ružinov</x:v>
      </x:c>
      <x:c r="X106" s="11" t="str">
        <x:v>unavailable</x:v>
      </x:c>
      <x:c r="Y106" s="11" t="str">
        <x:v>https://www.alvy.sk/byt/7-b-12</x:v>
      </x:c>
      <x:c r="Z106" s="11" t="n">
        <x:v>46251.740894027775</x:v>
      </x:c>
      <x:c r="AA106" s="11" t="n">
        <x:v>46254.51251577547</x:v>
      </x:c>
      <x:c r="AB106" s="11" t="n">
        <x:v>46254.51251577547</x:v>
      </x:c>
      <x:c r="AC106" t="str">
        <x:v>alvy</x:v>
      </x:c>
    </x:row>
    <x:row r="107" ht="22" customHeight="1">
      <x:c r="A107" t="str">
        <x:v>ALVY</x:v>
      </x:c>
      <x:c r="B107" t="str">
        <x:v>7.b.13</x:v>
      </x:c>
      <x:c r="C107" t="str">
        <x:v>sold</x:v>
      </x:c>
      <x:c r="D107" t="str">
        <x:v>present</x:v>
      </x:c>
      <x:c r="E107" t="str">
        <x:v>baseline</x:v>
      </x:c>
      <x:c r="F107" s="11" t="n">
        <x:v>46251.740894027775</x:v>
      </x:c>
      <x:c r="G107" t="str">
        <x:v>flat</x:v>
      </x:c>
      <x:c r="H107" s="12" t="n">
        <x:v>2</x:v>
      </x:c>
      <x:c r="I107" s="13" t="n">
        <x:v>7</x:v>
      </x:c>
      <x:c r="J107" t="str">
        <x:v>SO 100</x:v>
      </x:c>
      <x:c r="K107" s="14" t="n">
        <x:v>47.14</x:v>
      </x:c>
      <x:c r="L107" s="14"/>
      <x:c r="M107" s="14"/>
      <x:c r="N107" s="14"/>
      <x:c r="O107" s="14"/>
      <x:c r="P107" s="14" t="n">
        <x:v>10.33</x:v>
      </x:c>
      <x:c r="Q107" s="14" t="n">
        <x:v>57.47</x:v>
      </x:c>
      <x:c r="R107" s="15"/>
      <x:c r="S107" s="15"/>
      <x:c r="T107" s="15"/>
      <x:c r="U107" s="16"/>
      <x:c r="V107" t="str">
        <x:v>Alto Real Estate</x:v>
      </x:c>
      <x:c r="W107" t="str">
        <x:v>Ružinov</x:v>
      </x:c>
      <x:c r="X107" s="11" t="str">
        <x:v>sold</x:v>
      </x:c>
      <x:c r="Y107" s="11" t="str">
        <x:v>https://www.alvy.sk/byt/7-b-13</x:v>
      </x:c>
      <x:c r="Z107" s="11" t="n">
        <x:v>46251.740894027775</x:v>
      </x:c>
      <x:c r="AA107" s="11" t="n">
        <x:v>46254.51251577547</x:v>
      </x:c>
      <x:c r="AB107" s="11" t="n">
        <x:v>46254.51251577547</x:v>
      </x:c>
      <x:c r="AC107" t="str">
        <x:v>alvy</x:v>
      </x:c>
    </x:row>
    <x:row r="108" ht="22" customHeight="1">
      <x:c r="A108" t="str">
        <x:v>ALVY</x:v>
      </x:c>
      <x:c r="B108" t="str">
        <x:v>7.b.14</x:v>
      </x:c>
      <x:c r="C108" t="str">
        <x:v>not_for_sale</x:v>
      </x:c>
      <x:c r="D108" t="str">
        <x:v>present</x:v>
      </x:c>
      <x:c r="E108" t="str">
        <x:v>baseline</x:v>
      </x:c>
      <x:c r="F108" s="11" t="n">
        <x:v>46251.740894027775</x:v>
      </x:c>
      <x:c r="G108" t="str">
        <x:v>flat</x:v>
      </x:c>
      <x:c r="H108" s="12" t="n">
        <x:v>3</x:v>
      </x:c>
      <x:c r="I108" s="13" t="n">
        <x:v>7</x:v>
      </x:c>
      <x:c r="J108" t="str">
        <x:v>SO 100</x:v>
      </x:c>
      <x:c r="K108" s="14" t="n">
        <x:v>77.47</x:v>
      </x:c>
      <x:c r="L108" s="14"/>
      <x:c r="M108" s="14"/>
      <x:c r="N108" s="14"/>
      <x:c r="O108" s="14"/>
      <x:c r="P108" s="14" t="n">
        <x:v>27.2</x:v>
      </x:c>
      <x:c r="Q108" s="14" t="n">
        <x:v>104.67</x:v>
      </x:c>
      <x:c r="R108" s="15"/>
      <x:c r="S108" s="15"/>
      <x:c r="T108" s="15"/>
      <x:c r="U108" s="16"/>
      <x:c r="V108" t="str">
        <x:v>Alto Real Estate</x:v>
      </x:c>
      <x:c r="W108" t="str">
        <x:v>Ružinov</x:v>
      </x:c>
      <x:c r="X108" s="11" t="str">
        <x:v>unavailable</x:v>
      </x:c>
      <x:c r="Y108" s="11" t="str">
        <x:v>https://www.alvy.sk/byt/7-b-14</x:v>
      </x:c>
      <x:c r="Z108" s="11" t="n">
        <x:v>46251.740894027775</x:v>
      </x:c>
      <x:c r="AA108" s="11" t="n">
        <x:v>46254.51251577547</x:v>
      </x:c>
      <x:c r="AB108" s="11" t="n">
        <x:v>46254.51251577547</x:v>
      </x:c>
      <x:c r="AC108" t="str">
        <x:v>alvy</x:v>
      </x:c>
    </x:row>
    <x:row r="109" ht="22" customHeight="1">
      <x:c r="A109" t="str">
        <x:v>ALVY</x:v>
      </x:c>
      <x:c r="B109" t="str">
        <x:v>7.b.15</x:v>
      </x:c>
      <x:c r="C109" t="str">
        <x:v>not_for_sale</x:v>
      </x:c>
      <x:c r="D109" t="str">
        <x:v>present</x:v>
      </x:c>
      <x:c r="E109" t="str">
        <x:v>baseline</x:v>
      </x:c>
      <x:c r="F109" s="11" t="n">
        <x:v>46251.740894027775</x:v>
      </x:c>
      <x:c r="G109" t="str">
        <x:v>flat</x:v>
      </x:c>
      <x:c r="H109" s="12" t="n">
        <x:v>2</x:v>
      </x:c>
      <x:c r="I109" s="13" t="n">
        <x:v>7</x:v>
      </x:c>
      <x:c r="J109" t="str">
        <x:v>SO 100</x:v>
      </x:c>
      <x:c r="K109" s="14" t="n">
        <x:v>49.11</x:v>
      </x:c>
      <x:c r="L109" s="14"/>
      <x:c r="M109" s="14"/>
      <x:c r="N109" s="14"/>
      <x:c r="O109" s="14"/>
      <x:c r="P109" s="14" t="n">
        <x:v>9.63</x:v>
      </x:c>
      <x:c r="Q109" s="14" t="n">
        <x:v>58.74</x:v>
      </x:c>
      <x:c r="R109" s="15"/>
      <x:c r="S109" s="15"/>
      <x:c r="T109" s="15"/>
      <x:c r="U109" s="16"/>
      <x:c r="V109" t="str">
        <x:v>Alto Real Estate</x:v>
      </x:c>
      <x:c r="W109" t="str">
        <x:v>Ružinov</x:v>
      </x:c>
      <x:c r="X109" s="11" t="str">
        <x:v>unavailable</x:v>
      </x:c>
      <x:c r="Y109" s="11" t="str">
        <x:v>https://www.alvy.sk/byt/7-b-15</x:v>
      </x:c>
      <x:c r="Z109" s="11" t="n">
        <x:v>46251.740894027775</x:v>
      </x:c>
      <x:c r="AA109" s="11" t="n">
        <x:v>46254.51251577547</x:v>
      </x:c>
      <x:c r="AB109" s="11" t="n">
        <x:v>46254.51251577547</x:v>
      </x:c>
      <x:c r="AC109" t="str">
        <x:v>alvy</x:v>
      </x:c>
    </x:row>
    <x:row r="110" ht="22" customHeight="1">
      <x:c r="A110" t="str">
        <x:v>ALVY</x:v>
      </x:c>
      <x:c r="B110" t="str">
        <x:v>8.b.01</x:v>
      </x:c>
      <x:c r="C110" t="str">
        <x:v>available</x:v>
      </x:c>
      <x:c r="D110" t="str">
        <x:v>present</x:v>
      </x:c>
      <x:c r="E110" t="str">
        <x:v>baseline</x:v>
      </x:c>
      <x:c r="F110" s="11" t="n">
        <x:v>46251.740894027775</x:v>
      </x:c>
      <x:c r="G110" t="str">
        <x:v>flat</x:v>
      </x:c>
      <x:c r="H110" s="12" t="n">
        <x:v>3</x:v>
      </x:c>
      <x:c r="I110" s="13" t="n">
        <x:v>8</x:v>
      </x:c>
      <x:c r="J110" t="str">
        <x:v>SO 100</x:v>
      </x:c>
      <x:c r="K110" s="14" t="n">
        <x:v>78.19</x:v>
      </x:c>
      <x:c r="L110" s="14"/>
      <x:c r="M110" s="14"/>
      <x:c r="N110" s="14"/>
      <x:c r="O110" s="14"/>
      <x:c r="P110" s="14" t="n">
        <x:v>27.2</x:v>
      </x:c>
      <x:c r="Q110" s="14" t="n">
        <x:v>105.39</x:v>
      </x:c>
      <x:c r="R110" s="15" t="n">
        <x:v>452640</x:v>
      </x:c>
      <x:c r="S110" s="15" t="n">
        <x:v>471442</x:v>
      </x:c>
      <x:c r="T110" s="15" t="n">
        <x:v>452640</x:v>
      </x:c>
      <x:c r="U110" s="16" t="n">
        <x:v>5788.98</x:v>
      </x:c>
      <x:c r="V110" t="str">
        <x:v>Alto Real Estate</x:v>
      </x:c>
      <x:c r="W110" t="str">
        <x:v>Ružinov</x:v>
      </x:c>
      <x:c r="X110" s="11" t="str">
        <x:v>free</x:v>
      </x:c>
      <x:c r="Y110" s="11" t="str">
        <x:v>https://www.alvy.sk/byt/8-b-01</x:v>
      </x:c>
      <x:c r="Z110" s="11" t="n">
        <x:v>46251.740894027775</x:v>
      </x:c>
      <x:c r="AA110" s="11" t="n">
        <x:v>46254.51251577547</x:v>
      </x:c>
      <x:c r="AB110" s="11" t="n">
        <x:v>46254.51251577547</x:v>
      </x:c>
      <x:c r="AC110" t="str">
        <x:v>alvy</x:v>
      </x:c>
    </x:row>
    <x:row r="111" ht="22" customHeight="1">
      <x:c r="A111" t="str">
        <x:v>ALVY</x:v>
      </x:c>
      <x:c r="B111" t="str">
        <x:v>8.b.02</x:v>
      </x:c>
      <x:c r="C111" t="str">
        <x:v>sold</x:v>
      </x:c>
      <x:c r="D111" t="str">
        <x:v>present</x:v>
      </x:c>
      <x:c r="E111" t="str">
        <x:v>baseline</x:v>
      </x:c>
      <x:c r="F111" s="11" t="n">
        <x:v>46251.740894027775</x:v>
      </x:c>
      <x:c r="G111" t="str">
        <x:v>flat</x:v>
      </x:c>
      <x:c r="H111" s="12" t="n">
        <x:v>2</x:v>
      </x:c>
      <x:c r="I111" s="13" t="n">
        <x:v>8</x:v>
      </x:c>
      <x:c r="J111" t="str">
        <x:v>SO 100</x:v>
      </x:c>
      <x:c r="K111" s="14" t="n">
        <x:v>47.72</x:v>
      </x:c>
      <x:c r="L111" s="14"/>
      <x:c r="M111" s="14"/>
      <x:c r="N111" s="14"/>
      <x:c r="O111" s="14"/>
      <x:c r="P111" s="14" t="n">
        <x:v>10.33</x:v>
      </x:c>
      <x:c r="Q111" s="14" t="n">
        <x:v>58.05</x:v>
      </x:c>
      <x:c r="R111" s="15"/>
      <x:c r="S111" s="15"/>
      <x:c r="T111" s="15"/>
      <x:c r="U111" s="16"/>
      <x:c r="V111" t="str">
        <x:v>Alto Real Estate</x:v>
      </x:c>
      <x:c r="W111" t="str">
        <x:v>Ružinov</x:v>
      </x:c>
      <x:c r="X111" s="11" t="str">
        <x:v>sold</x:v>
      </x:c>
      <x:c r="Y111" s="11" t="str">
        <x:v>https://www.alvy.sk/byt/8-b-02</x:v>
      </x:c>
      <x:c r="Z111" s="11" t="n">
        <x:v>46251.740894027775</x:v>
      </x:c>
      <x:c r="AA111" s="11" t="n">
        <x:v>46254.51251577547</x:v>
      </x:c>
      <x:c r="AB111" s="11" t="n">
        <x:v>46254.51251577547</x:v>
      </x:c>
      <x:c r="AC111" t="str">
        <x:v>alvy</x:v>
      </x:c>
    </x:row>
    <x:row r="112" ht="22" customHeight="1">
      <x:c r="A112" t="str">
        <x:v>ALVY</x:v>
      </x:c>
      <x:c r="B112" t="str">
        <x:v>8.b.03</x:v>
      </x:c>
      <x:c r="C112" t="str">
        <x:v>sold</x:v>
      </x:c>
      <x:c r="D112" t="str">
        <x:v>present</x:v>
      </x:c>
      <x:c r="E112" t="str">
        <x:v>baseline</x:v>
      </x:c>
      <x:c r="F112" s="11" t="n">
        <x:v>46251.740894027775</x:v>
      </x:c>
      <x:c r="G112" t="str">
        <x:v>flat</x:v>
      </x:c>
      <x:c r="H112" s="12" t="n">
        <x:v>2</x:v>
      </x:c>
      <x:c r="I112" s="13" t="n">
        <x:v>8</x:v>
      </x:c>
      <x:c r="J112" t="str">
        <x:v>SO 100</x:v>
      </x:c>
      <x:c r="K112" s="14" t="n">
        <x:v>47.78</x:v>
      </x:c>
      <x:c r="L112" s="14"/>
      <x:c r="M112" s="14"/>
      <x:c r="N112" s="14"/>
      <x:c r="O112" s="14"/>
      <x:c r="P112" s="14" t="n">
        <x:v>10.33</x:v>
      </x:c>
      <x:c r="Q112" s="14" t="n">
        <x:v>58.11</x:v>
      </x:c>
      <x:c r="R112" s="15"/>
      <x:c r="S112" s="15"/>
      <x:c r="T112" s="15"/>
      <x:c r="U112" s="16"/>
      <x:c r="V112" t="str">
        <x:v>Alto Real Estate</x:v>
      </x:c>
      <x:c r="W112" t="str">
        <x:v>Ružinov</x:v>
      </x:c>
      <x:c r="X112" s="11" t="str">
        <x:v>sold</x:v>
      </x:c>
      <x:c r="Y112" s="11" t="str">
        <x:v>https://www.alvy.sk/byt/8-b-03</x:v>
      </x:c>
      <x:c r="Z112" s="11" t="n">
        <x:v>46251.740894027775</x:v>
      </x:c>
      <x:c r="AA112" s="11" t="n">
        <x:v>46254.51251577547</x:v>
      </x:c>
      <x:c r="AB112" s="11" t="n">
        <x:v>46254.51251577547</x:v>
      </x:c>
      <x:c r="AC112" t="str">
        <x:v>alvy</x:v>
      </x:c>
    </x:row>
    <x:row r="113" ht="22" customHeight="1">
      <x:c r="A113" t="str">
        <x:v>ALVY</x:v>
      </x:c>
      <x:c r="B113" t="str">
        <x:v>8.b.04</x:v>
      </x:c>
      <x:c r="C113" t="str">
        <x:v>pre_reserved</x:v>
      </x:c>
      <x:c r="D113" t="str">
        <x:v>present</x:v>
      </x:c>
      <x:c r="E113" t="str">
        <x:v>baseline</x:v>
      </x:c>
      <x:c r="F113" s="11" t="n">
        <x:v>46251.740894027775</x:v>
      </x:c>
      <x:c r="G113" t="str">
        <x:v>flat</x:v>
      </x:c>
      <x:c r="H113" s="12" t="n">
        <x:v>2</x:v>
      </x:c>
      <x:c r="I113" s="13" t="n">
        <x:v>8</x:v>
      </x:c>
      <x:c r="J113" t="str">
        <x:v>SO 100</x:v>
      </x:c>
      <x:c r="K113" s="14" t="n">
        <x:v>47.62</x:v>
      </x:c>
      <x:c r="L113" s="14"/>
      <x:c r="M113" s="14"/>
      <x:c r="N113" s="14"/>
      <x:c r="O113" s="14"/>
      <x:c r="P113" s="14" t="n">
        <x:v>10.33</x:v>
      </x:c>
      <x:c r="Q113" s="14" t="n">
        <x:v>57.95</x:v>
      </x:c>
      <x:c r="R113" s="15" t="n">
        <x:v>289911</x:v>
      </x:c>
      <x:c r="S113" s="15" t="n">
        <x:v>293478</x:v>
      </x:c>
      <x:c r="T113" s="15" t="n">
        <x:v>289911</x:v>
      </x:c>
      <x:c r="U113" s="16" t="n">
        <x:v>6088.01</x:v>
      </x:c>
      <x:c r="V113" t="str">
        <x:v>Alto Real Estate</x:v>
      </x:c>
      <x:c r="W113" t="str">
        <x:v>Ružinov</x:v>
      </x:c>
      <x:c r="X113" s="11" t="str">
        <x:v>pre-reserved</x:v>
      </x:c>
      <x:c r="Y113" s="11" t="str">
        <x:v>https://www.alvy.sk/byt/8-b-04</x:v>
      </x:c>
      <x:c r="Z113" s="11" t="n">
        <x:v>46251.740894027775</x:v>
      </x:c>
      <x:c r="AA113" s="11" t="n">
        <x:v>46254.51251577547</x:v>
      </x:c>
      <x:c r="AB113" s="11" t="n">
        <x:v>46254.51251577547</x:v>
      </x:c>
      <x:c r="AC113" t="str">
        <x:v>alvy</x:v>
      </x:c>
    </x:row>
    <x:row r="114" ht="22" customHeight="1">
      <x:c r="A114" t="str">
        <x:v>ALVY</x:v>
      </x:c>
      <x:c r="B114" t="str">
        <x:v>8.b.05</x:v>
      </x:c>
      <x:c r="C114" t="str">
        <x:v>available</x:v>
      </x:c>
      <x:c r="D114" t="str">
        <x:v>present</x:v>
      </x:c>
      <x:c r="E114" t="str">
        <x:v>baseline</x:v>
      </x:c>
      <x:c r="F114" s="11" t="n">
        <x:v>46251.740894027775</x:v>
      </x:c>
      <x:c r="G114" t="str">
        <x:v>flat</x:v>
      </x:c>
      <x:c r="H114" s="12" t="n">
        <x:v>2</x:v>
      </x:c>
      <x:c r="I114" s="13" t="n">
        <x:v>8</x:v>
      </x:c>
      <x:c r="J114" t="str">
        <x:v>SO 100</x:v>
      </x:c>
      <x:c r="K114" s="14" t="n">
        <x:v>53.76</x:v>
      </x:c>
      <x:c r="L114" s="14"/>
      <x:c r="M114" s="14"/>
      <x:c r="N114" s="14"/>
      <x:c r="O114" s="14"/>
      <x:c r="P114" s="14" t="n">
        <x:v>10.33</x:v>
      </x:c>
      <x:c r="Q114" s="14" t="n">
        <x:v>64.09</x:v>
      </x:c>
      <x:c r="R114" s="15" t="n">
        <x:v>312420</x:v>
      </x:c>
      <x:c r="S114" s="15" t="n">
        <x:v>324948</x:v>
      </x:c>
      <x:c r="T114" s="15" t="n">
        <x:v>312420</x:v>
      </x:c>
      <x:c r="U114" s="16" t="n">
        <x:v>5811.38</x:v>
      </x:c>
      <x:c r="V114" t="str">
        <x:v>Alto Real Estate</x:v>
      </x:c>
      <x:c r="W114" t="str">
        <x:v>Ružinov</x:v>
      </x:c>
      <x:c r="X114" s="11" t="str">
        <x:v>free</x:v>
      </x:c>
      <x:c r="Y114" s="11" t="str">
        <x:v>https://www.alvy.sk/byt/8-b-05</x:v>
      </x:c>
      <x:c r="Z114" s="11" t="n">
        <x:v>46251.740894027775</x:v>
      </x:c>
      <x:c r="AA114" s="11" t="n">
        <x:v>46254.51251577547</x:v>
      </x:c>
      <x:c r="AB114" s="11" t="n">
        <x:v>46254.51251577547</x:v>
      </x:c>
      <x:c r="AC114" t="str">
        <x:v>alvy</x:v>
      </x:c>
    </x:row>
    <x:row r="115" ht="22" customHeight="1">
      <x:c r="A115" t="str">
        <x:v>ALVY</x:v>
      </x:c>
      <x:c r="B115" t="str">
        <x:v>8.b.06</x:v>
      </x:c>
      <x:c r="C115" t="str">
        <x:v>sold</x:v>
      </x:c>
      <x:c r="D115" t="str">
        <x:v>present</x:v>
      </x:c>
      <x:c r="E115" t="str">
        <x:v>baseline</x:v>
      </x:c>
      <x:c r="F115" s="11" t="n">
        <x:v>46251.740894027775</x:v>
      </x:c>
      <x:c r="G115" t="str">
        <x:v>flat</x:v>
      </x:c>
      <x:c r="H115" s="12" t="n">
        <x:v>1</x:v>
      </x:c>
      <x:c r="I115" s="13" t="n">
        <x:v>8</x:v>
      </x:c>
      <x:c r="J115" t="str">
        <x:v>SO 100</x:v>
      </x:c>
      <x:c r="K115" s="14" t="n">
        <x:v>35.38</x:v>
      </x:c>
      <x:c r="L115" s="14"/>
      <x:c r="M115" s="14"/>
      <x:c r="N115" s="14"/>
      <x:c r="O115" s="14"/>
      <x:c r="P115" s="14" t="n">
        <x:v>6.18</x:v>
      </x:c>
      <x:c r="Q115" s="14" t="n">
        <x:v>41.56</x:v>
      </x:c>
      <x:c r="R115" s="15"/>
      <x:c r="S115" s="15"/>
      <x:c r="T115" s="15"/>
      <x:c r="U115" s="16"/>
      <x:c r="V115" t="str">
        <x:v>Alto Real Estate</x:v>
      </x:c>
      <x:c r="W115" t="str">
        <x:v>Ružinov</x:v>
      </x:c>
      <x:c r="X115" s="11" t="str">
        <x:v>sold</x:v>
      </x:c>
      <x:c r="Y115" s="11" t="str">
        <x:v>https://www.alvy.sk/byt/8-b-06</x:v>
      </x:c>
      <x:c r="Z115" s="11" t="n">
        <x:v>46251.740894027775</x:v>
      </x:c>
      <x:c r="AA115" s="11" t="n">
        <x:v>46254.51251577547</x:v>
      </x:c>
      <x:c r="AB115" s="11" t="n">
        <x:v>46254.51251577547</x:v>
      </x:c>
      <x:c r="AC115" t="str">
        <x:v>alvy</x:v>
      </x:c>
    </x:row>
    <x:row r="116" ht="22" customHeight="1">
      <x:c r="A116" t="str">
        <x:v>ALVY</x:v>
      </x:c>
      <x:c r="B116" t="str">
        <x:v>8.b.07</x:v>
      </x:c>
      <x:c r="C116" t="str">
        <x:v>pre_reserved</x:v>
      </x:c>
      <x:c r="D116" t="str">
        <x:v>present</x:v>
      </x:c>
      <x:c r="E116" t="str">
        <x:v>baseline</x:v>
      </x:c>
      <x:c r="F116" s="11" t="n">
        <x:v>46251.740894027775</x:v>
      </x:c>
      <x:c r="G116" t="str">
        <x:v>flat</x:v>
      </x:c>
      <x:c r="H116" s="12" t="n">
        <x:v>3</x:v>
      </x:c>
      <x:c r="I116" s="13" t="n">
        <x:v>8</x:v>
      </x:c>
      <x:c r="J116" t="str">
        <x:v>SO 100</x:v>
      </x:c>
      <x:c r="K116" s="14" t="n">
        <x:v>74.52</x:v>
      </x:c>
      <x:c r="L116" s="14"/>
      <x:c r="M116" s="14"/>
      <x:c r="N116" s="14"/>
      <x:c r="O116" s="14"/>
      <x:c r="P116" s="14" t="n">
        <x:v>11.19</x:v>
      </x:c>
      <x:c r="Q116" s="14" t="n">
        <x:v>85.71</x:v>
      </x:c>
      <x:c r="R116" s="15" t="n">
        <x:v>394830</x:v>
      </x:c>
      <x:c r="S116" s="15" t="n">
        <x:v>411068</x:v>
      </x:c>
      <x:c r="T116" s="15" t="n">
        <x:v>394830</x:v>
      </x:c>
      <x:c r="U116" s="16" t="n">
        <x:v>5298.31</x:v>
      </x:c>
      <x:c r="V116" t="str">
        <x:v>Alto Real Estate</x:v>
      </x:c>
      <x:c r="W116" t="str">
        <x:v>Ružinov</x:v>
      </x:c>
      <x:c r="X116" s="11" t="str">
        <x:v>pre-reserved</x:v>
      </x:c>
      <x:c r="Y116" s="11" t="str">
        <x:v>https://www.alvy.sk/byt/8-b-07</x:v>
      </x:c>
      <x:c r="Z116" s="11" t="n">
        <x:v>46251.740894027775</x:v>
      </x:c>
      <x:c r="AA116" s="11" t="n">
        <x:v>46254.51251577547</x:v>
      </x:c>
      <x:c r="AB116" s="11" t="n">
        <x:v>46254.51251577547</x:v>
      </x:c>
      <x:c r="AC116" t="str">
        <x:v>alvy</x:v>
      </x:c>
    </x:row>
    <x:row r="117" ht="22" customHeight="1">
      <x:c r="A117" t="str">
        <x:v>ALVY</x:v>
      </x:c>
      <x:c r="B117" t="str">
        <x:v>8.b.08</x:v>
      </x:c>
      <x:c r="C117" t="str">
        <x:v>pre_reserved</x:v>
      </x:c>
      <x:c r="D117" t="str">
        <x:v>present</x:v>
      </x:c>
      <x:c r="E117" t="str">
        <x:v>baseline</x:v>
      </x:c>
      <x:c r="F117" s="11" t="n">
        <x:v>46251.740894027775</x:v>
      </x:c>
      <x:c r="G117" t="str">
        <x:v>flat</x:v>
      </x:c>
      <x:c r="H117" s="12" t="n">
        <x:v>3</x:v>
      </x:c>
      <x:c r="I117" s="13" t="n">
        <x:v>8</x:v>
      </x:c>
      <x:c r="J117" t="str">
        <x:v>SO 100</x:v>
      </x:c>
      <x:c r="K117" s="14" t="n">
        <x:v>74.48</x:v>
      </x:c>
      <x:c r="L117" s="14"/>
      <x:c r="M117" s="14"/>
      <x:c r="N117" s="14"/>
      <x:c r="O117" s="14"/>
      <x:c r="P117" s="14" t="n">
        <x:v>11.19</x:v>
      </x:c>
      <x:c r="Q117" s="14" t="n">
        <x:v>85.67</x:v>
      </x:c>
      <x:c r="R117" s="15" t="n">
        <x:v>369000</x:v>
      </x:c>
      <x:c r="S117" s="15" t="n">
        <x:v>383825</x:v>
      </x:c>
      <x:c r="T117" s="15" t="n">
        <x:v>369000</x:v>
      </x:c>
      <x:c r="U117" s="16" t="n">
        <x:v>4954.35</x:v>
      </x:c>
      <x:c r="V117" t="str">
        <x:v>Alto Real Estate</x:v>
      </x:c>
      <x:c r="W117" t="str">
        <x:v>Ružinov</x:v>
      </x:c>
      <x:c r="X117" s="11" t="str">
        <x:v>pre-reserved</x:v>
      </x:c>
      <x:c r="Y117" s="11" t="str">
        <x:v>https://www.alvy.sk/byt/8-b-08</x:v>
      </x:c>
      <x:c r="Z117" s="11" t="n">
        <x:v>46251.740894027775</x:v>
      </x:c>
      <x:c r="AA117" s="11" t="n">
        <x:v>46254.51251577547</x:v>
      </x:c>
      <x:c r="AB117" s="11" t="n">
        <x:v>46254.51251577547</x:v>
      </x:c>
      <x:c r="AC117" t="str">
        <x:v>alvy</x:v>
      </x:c>
    </x:row>
    <x:row r="118" ht="22" customHeight="1">
      <x:c r="A118" t="str">
        <x:v>ALVY</x:v>
      </x:c>
      <x:c r="B118" t="str">
        <x:v>8.b.09</x:v>
      </x:c>
      <x:c r="C118" t="str">
        <x:v>sold</x:v>
      </x:c>
      <x:c r="D118" t="str">
        <x:v>present</x:v>
      </x:c>
      <x:c r="E118" t="str">
        <x:v>baseline</x:v>
      </x:c>
      <x:c r="F118" s="11" t="n">
        <x:v>46251.740894027775</x:v>
      </x:c>
      <x:c r="G118" t="str">
        <x:v>flat</x:v>
      </x:c>
      <x:c r="H118" s="12" t="n">
        <x:v>1</x:v>
      </x:c>
      <x:c r="I118" s="13" t="n">
        <x:v>8</x:v>
      </x:c>
      <x:c r="J118" t="str">
        <x:v>SO 100</x:v>
      </x:c>
      <x:c r="K118" s="14" t="n">
        <x:v>35.37</x:v>
      </x:c>
      <x:c r="L118" s="14"/>
      <x:c r="M118" s="14"/>
      <x:c r="N118" s="14"/>
      <x:c r="O118" s="14"/>
      <x:c r="P118" s="14" t="n">
        <x:v>6.18</x:v>
      </x:c>
      <x:c r="Q118" s="14" t="n">
        <x:v>41.55</x:v>
      </x:c>
      <x:c r="R118" s="15"/>
      <x:c r="S118" s="15"/>
      <x:c r="T118" s="15"/>
      <x:c r="U118" s="16"/>
      <x:c r="V118" t="str">
        <x:v>Alto Real Estate</x:v>
      </x:c>
      <x:c r="W118" t="str">
        <x:v>Ružinov</x:v>
      </x:c>
      <x:c r="X118" s="11" t="str">
        <x:v>sold</x:v>
      </x:c>
      <x:c r="Y118" s="11" t="str">
        <x:v>https://www.alvy.sk/byt/8-b-09</x:v>
      </x:c>
      <x:c r="Z118" s="11" t="n">
        <x:v>46251.740894027775</x:v>
      </x:c>
      <x:c r="AA118" s="11" t="n">
        <x:v>46254.51251577547</x:v>
      </x:c>
      <x:c r="AB118" s="11" t="n">
        <x:v>46254.51251577547</x:v>
      </x:c>
      <x:c r="AC118" t="str">
        <x:v>alvy</x:v>
      </x:c>
    </x:row>
    <x:row r="119" ht="22" customHeight="1">
      <x:c r="A119" t="str">
        <x:v>ALVY</x:v>
      </x:c>
      <x:c r="B119" t="str">
        <x:v>8.b.10</x:v>
      </x:c>
      <x:c r="C119" t="str">
        <x:v>available</x:v>
      </x:c>
      <x:c r="D119" t="str">
        <x:v>present</x:v>
      </x:c>
      <x:c r="E119" t="str">
        <x:v>baseline</x:v>
      </x:c>
      <x:c r="F119" s="11" t="n">
        <x:v>46251.740894027775</x:v>
      </x:c>
      <x:c r="G119" t="str">
        <x:v>flat</x:v>
      </x:c>
      <x:c r="H119" s="12" t="n">
        <x:v>2</x:v>
      </x:c>
      <x:c r="I119" s="13" t="n">
        <x:v>8</x:v>
      </x:c>
      <x:c r="J119" t="str">
        <x:v>SO 100</x:v>
      </x:c>
      <x:c r="K119" s="14" t="n">
        <x:v>53.81</x:v>
      </x:c>
      <x:c r="L119" s="14"/>
      <x:c r="M119" s="14"/>
      <x:c r="N119" s="14"/>
      <x:c r="O119" s="14"/>
      <x:c r="P119" s="14" t="n">
        <x:v>10.33</x:v>
      </x:c>
      <x:c r="Q119" s="14" t="n">
        <x:v>64.14</x:v>
      </x:c>
      <x:c r="R119" s="15" t="n">
        <x:v>284130</x:v>
      </x:c>
      <x:c r="S119" s="15" t="n">
        <x:v>295175</x:v>
      </x:c>
      <x:c r="T119" s="15" t="n">
        <x:v>284130</x:v>
      </x:c>
      <x:c r="U119" s="16" t="n">
        <x:v>5280.25</x:v>
      </x:c>
      <x:c r="V119" t="str">
        <x:v>Alto Real Estate</x:v>
      </x:c>
      <x:c r="W119" t="str">
        <x:v>Ružinov</x:v>
      </x:c>
      <x:c r="X119" s="11" t="str">
        <x:v>free</x:v>
      </x:c>
      <x:c r="Y119" s="11" t="str">
        <x:v>https://www.alvy.sk/byt/8-b-10</x:v>
      </x:c>
      <x:c r="Z119" s="11" t="n">
        <x:v>46251.740894027775</x:v>
      </x:c>
      <x:c r="AA119" s="11" t="n">
        <x:v>46254.51251577547</x:v>
      </x:c>
      <x:c r="AB119" s="11" t="n">
        <x:v>46254.51251577547</x:v>
      </x:c>
      <x:c r="AC119" t="str">
        <x:v>alvy</x:v>
      </x:c>
    </x:row>
    <x:row r="120" ht="22" customHeight="1">
      <x:c r="A120" t="str">
        <x:v>ALVY</x:v>
      </x:c>
      <x:c r="B120" t="str">
        <x:v>8.b.11</x:v>
      </x:c>
      <x:c r="C120" t="str">
        <x:v>sold</x:v>
      </x:c>
      <x:c r="D120" t="str">
        <x:v>present</x:v>
      </x:c>
      <x:c r="E120" t="str">
        <x:v>baseline</x:v>
      </x:c>
      <x:c r="F120" s="11" t="n">
        <x:v>46251.740894027775</x:v>
      </x:c>
      <x:c r="G120" t="str">
        <x:v>flat</x:v>
      </x:c>
      <x:c r="H120" s="12" t="n">
        <x:v>2</x:v>
      </x:c>
      <x:c r="I120" s="13" t="n">
        <x:v>8</x:v>
      </x:c>
      <x:c r="J120" t="str">
        <x:v>SO 100</x:v>
      </x:c>
      <x:c r="K120" s="14" t="n">
        <x:v>47.57</x:v>
      </x:c>
      <x:c r="L120" s="14"/>
      <x:c r="M120" s="14"/>
      <x:c r="N120" s="14"/>
      <x:c r="O120" s="14"/>
      <x:c r="P120" s="14" t="n">
        <x:v>10.33</x:v>
      </x:c>
      <x:c r="Q120" s="14" t="n">
        <x:v>57.9</x:v>
      </x:c>
      <x:c r="R120" s="15"/>
      <x:c r="S120" s="15"/>
      <x:c r="T120" s="15"/>
      <x:c r="U120" s="16"/>
      <x:c r="V120" t="str">
        <x:v>Alto Real Estate</x:v>
      </x:c>
      <x:c r="W120" t="str">
        <x:v>Ružinov</x:v>
      </x:c>
      <x:c r="X120" s="11" t="str">
        <x:v>sold</x:v>
      </x:c>
      <x:c r="Y120" s="11" t="str">
        <x:v>https://www.alvy.sk/byt/8-b-11</x:v>
      </x:c>
      <x:c r="Z120" s="11" t="n">
        <x:v>46251.740894027775</x:v>
      </x:c>
      <x:c r="AA120" s="11" t="n">
        <x:v>46254.51251577547</x:v>
      </x:c>
      <x:c r="AB120" s="11" t="n">
        <x:v>46254.51251577547</x:v>
      </x:c>
      <x:c r="AC120" t="str">
        <x:v>alvy</x:v>
      </x:c>
    </x:row>
    <x:row r="121" ht="22" customHeight="1">
      <x:c r="A121" t="str">
        <x:v>ALVY</x:v>
      </x:c>
      <x:c r="B121" t="str">
        <x:v>8.b.12</x:v>
      </x:c>
      <x:c r="C121" t="str">
        <x:v>sold</x:v>
      </x:c>
      <x:c r="D121" t="str">
        <x:v>present</x:v>
      </x:c>
      <x:c r="E121" t="str">
        <x:v>baseline</x:v>
      </x:c>
      <x:c r="F121" s="11" t="n">
        <x:v>46251.740894027775</x:v>
      </x:c>
      <x:c r="G121" t="str">
        <x:v>flat</x:v>
      </x:c>
      <x:c r="H121" s="12" t="n">
        <x:v>2</x:v>
      </x:c>
      <x:c r="I121" s="13" t="n">
        <x:v>8</x:v>
      </x:c>
      <x:c r="J121" t="str">
        <x:v>SO 100</x:v>
      </x:c>
      <x:c r="K121" s="14" t="n">
        <x:v>47.62</x:v>
      </x:c>
      <x:c r="L121" s="14"/>
      <x:c r="M121" s="14"/>
      <x:c r="N121" s="14"/>
      <x:c r="O121" s="14"/>
      <x:c r="P121" s="14" t="n">
        <x:v>10.33</x:v>
      </x:c>
      <x:c r="Q121" s="14" t="n">
        <x:v>57.95</x:v>
      </x:c>
      <x:c r="R121" s="15"/>
      <x:c r="S121" s="15"/>
      <x:c r="T121" s="15"/>
      <x:c r="U121" s="16"/>
      <x:c r="V121" t="str">
        <x:v>Alto Real Estate</x:v>
      </x:c>
      <x:c r="W121" t="str">
        <x:v>Ružinov</x:v>
      </x:c>
      <x:c r="X121" s="11" t="str">
        <x:v>sold</x:v>
      </x:c>
      <x:c r="Y121" s="11" t="str">
        <x:v>https://www.alvy.sk/byt/8-b-12</x:v>
      </x:c>
      <x:c r="Z121" s="11" t="n">
        <x:v>46251.740894027775</x:v>
      </x:c>
      <x:c r="AA121" s="11" t="n">
        <x:v>46254.51251577547</x:v>
      </x:c>
      <x:c r="AB121" s="11" t="n">
        <x:v>46254.51251577547</x:v>
      </x:c>
      <x:c r="AC121" t="str">
        <x:v>alvy</x:v>
      </x:c>
    </x:row>
    <x:row r="122" ht="22" customHeight="1">
      <x:c r="A122" t="str">
        <x:v>ALVY</x:v>
      </x:c>
      <x:c r="B122" t="str">
        <x:v>8.b.13</x:v>
      </x:c>
      <x:c r="C122" t="str">
        <x:v>sold</x:v>
      </x:c>
      <x:c r="D122" t="str">
        <x:v>present</x:v>
      </x:c>
      <x:c r="E122" t="str">
        <x:v>baseline</x:v>
      </x:c>
      <x:c r="F122" s="11" t="n">
        <x:v>46251.740894027775</x:v>
      </x:c>
      <x:c r="G122" t="str">
        <x:v>flat</x:v>
      </x:c>
      <x:c r="H122" s="12" t="n">
        <x:v>2</x:v>
      </x:c>
      <x:c r="I122" s="13" t="n">
        <x:v>8</x:v>
      </x:c>
      <x:c r="J122" t="str">
        <x:v>SO 100</x:v>
      </x:c>
      <x:c r="K122" s="14" t="n">
        <x:v>47.68</x:v>
      </x:c>
      <x:c r="L122" s="14"/>
      <x:c r="M122" s="14"/>
      <x:c r="N122" s="14"/>
      <x:c r="O122" s="14"/>
      <x:c r="P122" s="14" t="n">
        <x:v>10.33</x:v>
      </x:c>
      <x:c r="Q122" s="14" t="n">
        <x:v>58.01</x:v>
      </x:c>
      <x:c r="R122" s="15"/>
      <x:c r="S122" s="15"/>
      <x:c r="T122" s="15"/>
      <x:c r="U122" s="16"/>
      <x:c r="V122" t="str">
        <x:v>Alto Real Estate</x:v>
      </x:c>
      <x:c r="W122" t="str">
        <x:v>Ružinov</x:v>
      </x:c>
      <x:c r="X122" s="11" t="str">
        <x:v>sold</x:v>
      </x:c>
      <x:c r="Y122" s="11" t="str">
        <x:v>https://www.alvy.sk/byt/8-b-13</x:v>
      </x:c>
      <x:c r="Z122" s="11" t="n">
        <x:v>46251.740894027775</x:v>
      </x:c>
      <x:c r="AA122" s="11" t="n">
        <x:v>46254.51251577547</x:v>
      </x:c>
      <x:c r="AB122" s="11" t="n">
        <x:v>46254.51251577547</x:v>
      </x:c>
      <x:c r="AC122" t="str">
        <x:v>alvy</x:v>
      </x:c>
    </x:row>
    <x:row r="123" ht="22" customHeight="1">
      <x:c r="A123" t="str">
        <x:v>ALVY</x:v>
      </x:c>
      <x:c r="B123" t="str">
        <x:v>8.b.14</x:v>
      </x:c>
      <x:c r="C123" t="str">
        <x:v>available</x:v>
      </x:c>
      <x:c r="D123" t="str">
        <x:v>present</x:v>
      </x:c>
      <x:c r="E123" t="str">
        <x:v>baseline</x:v>
      </x:c>
      <x:c r="F123" s="11" t="n">
        <x:v>46251.740894027775</x:v>
      </x:c>
      <x:c r="G123" t="str">
        <x:v>flat</x:v>
      </x:c>
      <x:c r="H123" s="12" t="n">
        <x:v>3</x:v>
      </x:c>
      <x:c r="I123" s="13" t="n">
        <x:v>8</x:v>
      </x:c>
      <x:c r="J123" t="str">
        <x:v>SO 100</x:v>
      </x:c>
      <x:c r="K123" s="14" t="n">
        <x:v>78.26</x:v>
      </x:c>
      <x:c r="L123" s="14"/>
      <x:c r="M123" s="14"/>
      <x:c r="N123" s="14"/>
      <x:c r="O123" s="14"/>
      <x:c r="P123" s="14" t="n">
        <x:v>27.2</x:v>
      </x:c>
      <x:c r="Q123" s="14" t="n">
        <x:v>105.46</x:v>
      </x:c>
      <x:c r="R123" s="15" t="n">
        <x:v>428040</x:v>
      </x:c>
      <x:c r="S123" s="15" t="n">
        <x:v>445437</x:v>
      </x:c>
      <x:c r="T123" s="15" t="n">
        <x:v>428040</x:v>
      </x:c>
      <x:c r="U123" s="16" t="n">
        <x:v>5469.46</x:v>
      </x:c>
      <x:c r="V123" t="str">
        <x:v>Alto Real Estate</x:v>
      </x:c>
      <x:c r="W123" t="str">
        <x:v>Ružinov</x:v>
      </x:c>
      <x:c r="X123" s="11" t="str">
        <x:v>free</x:v>
      </x:c>
      <x:c r="Y123" s="11" t="str">
        <x:v>https://www.alvy.sk/byt/8-b-14</x:v>
      </x:c>
      <x:c r="Z123" s="11" t="n">
        <x:v>46251.740894027775</x:v>
      </x:c>
      <x:c r="AA123" s="11" t="n">
        <x:v>46254.51251577547</x:v>
      </x:c>
      <x:c r="AB123" s="11" t="n">
        <x:v>46254.51251577547</x:v>
      </x:c>
      <x:c r="AC123" t="str">
        <x:v>alvy</x:v>
      </x:c>
    </x:row>
    <x:row r="124" ht="22" customHeight="1">
      <x:c r="A124" t="str">
        <x:v>ALVY</x:v>
      </x:c>
      <x:c r="B124" t="str">
        <x:v>8.b.15</x:v>
      </x:c>
      <x:c r="C124" t="str">
        <x:v>available</x:v>
      </x:c>
      <x:c r="D124" t="str">
        <x:v>present</x:v>
      </x:c>
      <x:c r="E124" t="str">
        <x:v>baseline</x:v>
      </x:c>
      <x:c r="F124" s="11" t="n">
        <x:v>46251.740894027775</x:v>
      </x:c>
      <x:c r="G124" t="str">
        <x:v>flat</x:v>
      </x:c>
      <x:c r="H124" s="12" t="n">
        <x:v>2</x:v>
      </x:c>
      <x:c r="I124" s="13" t="n">
        <x:v>8</x:v>
      </x:c>
      <x:c r="J124" t="str">
        <x:v>SO 100</x:v>
      </x:c>
      <x:c r="K124" s="14" t="n">
        <x:v>49.6</x:v>
      </x:c>
      <x:c r="L124" s="14"/>
      <x:c r="M124" s="14"/>
      <x:c r="N124" s="14"/>
      <x:c r="O124" s="14"/>
      <x:c r="P124" s="14" t="n">
        <x:v>9.63</x:v>
      </x:c>
      <x:c r="Q124" s="14" t="n">
        <x:v>59.23</x:v>
      </x:c>
      <x:c r="R124" s="15" t="n">
        <x:v>293847</x:v>
      </x:c>
      <x:c r="S124" s="15" t="n">
        <x:v>297291</x:v>
      </x:c>
      <x:c r="T124" s="15" t="n">
        <x:v>293847</x:v>
      </x:c>
      <x:c r="U124" s="16" t="n">
        <x:v>5924.33</x:v>
      </x:c>
      <x:c r="V124" t="str">
        <x:v>Alto Real Estate</x:v>
      </x:c>
      <x:c r="W124" t="str">
        <x:v>Ružinov</x:v>
      </x:c>
      <x:c r="X124" s="11" t="str">
        <x:v>free</x:v>
      </x:c>
      <x:c r="Y124" s="11" t="str">
        <x:v>https://www.alvy.sk/byt/8-b-15</x:v>
      </x:c>
      <x:c r="Z124" s="11" t="n">
        <x:v>46251.740894027775</x:v>
      </x:c>
      <x:c r="AA124" s="11" t="n">
        <x:v>46254.51251577547</x:v>
      </x:c>
      <x:c r="AB124" s="11" t="n">
        <x:v>46254.51251577547</x:v>
      </x:c>
      <x:c r="AC124" t="str">
        <x:v>alvy</x:v>
      </x:c>
    </x:row>
    <x:row r="125" ht="22" customHeight="1">
      <x:c r="A125" t="str">
        <x:v>ALVY</x:v>
      </x:c>
      <x:c r="B125" t="str">
        <x:v>9.b.01</x:v>
      </x:c>
      <x:c r="C125" t="str">
        <x:v>available</x:v>
      </x:c>
      <x:c r="D125" t="str">
        <x:v>present</x:v>
      </x:c>
      <x:c r="E125" t="str">
        <x:v>baseline</x:v>
      </x:c>
      <x:c r="F125" s="11" t="n">
        <x:v>46251.740894027775</x:v>
      </x:c>
      <x:c r="G125" t="str">
        <x:v>flat</x:v>
      </x:c>
      <x:c r="H125" s="12" t="n">
        <x:v>3</x:v>
      </x:c>
      <x:c r="I125" s="13" t="n">
        <x:v>9</x:v>
      </x:c>
      <x:c r="J125" t="str">
        <x:v>SO 100</x:v>
      </x:c>
      <x:c r="K125" s="14" t="n">
        <x:v>78.19</x:v>
      </x:c>
      <x:c r="L125" s="14"/>
      <x:c r="M125" s="14"/>
      <x:c r="N125" s="14"/>
      <x:c r="O125" s="14"/>
      <x:c r="P125" s="14" t="n">
        <x:v>27.2</x:v>
      </x:c>
      <x:c r="Q125" s="14" t="n">
        <x:v>105.39</x:v>
      </x:c>
      <x:c r="R125" s="15" t="n">
        <x:v>477363</x:v>
      </x:c>
      <x:c r="S125" s="15" t="n">
        <x:v>477363</x:v>
      </x:c>
      <x:c r="T125" s="15"/>
      <x:c r="U125" s="16" t="n">
        <x:v>6105.17</x:v>
      </x:c>
      <x:c r="V125" t="str">
        <x:v>Alto Real Estate</x:v>
      </x:c>
      <x:c r="W125" t="str">
        <x:v>Ružinov</x:v>
      </x:c>
      <x:c r="X125" s="11" t="str">
        <x:v>free</x:v>
      </x:c>
      <x:c r="Y125" s="11" t="str">
        <x:v>https://www.alvy.sk/byt/9-b-01</x:v>
      </x:c>
      <x:c r="Z125" s="11" t="n">
        <x:v>46251.740894027775</x:v>
      </x:c>
      <x:c r="AA125" s="11" t="n">
        <x:v>46254.51251577547</x:v>
      </x:c>
      <x:c r="AB125" s="11" t="n">
        <x:v>46254.51251577547</x:v>
      </x:c>
      <x:c r="AC125" t="str">
        <x:v>alvy</x:v>
      </x:c>
    </x:row>
    <x:row r="126" ht="22" customHeight="1">
      <x:c r="A126" t="str">
        <x:v>ALVY</x:v>
      </x:c>
      <x:c r="B126" t="str">
        <x:v>9.b.02</x:v>
      </x:c>
      <x:c r="C126" t="str">
        <x:v>sold</x:v>
      </x:c>
      <x:c r="D126" t="str">
        <x:v>present</x:v>
      </x:c>
      <x:c r="E126" t="str">
        <x:v>baseline</x:v>
      </x:c>
      <x:c r="F126" s="11" t="n">
        <x:v>46251.740894027775</x:v>
      </x:c>
      <x:c r="G126" t="str">
        <x:v>flat</x:v>
      </x:c>
      <x:c r="H126" s="12" t="n">
        <x:v>2</x:v>
      </x:c>
      <x:c r="I126" s="13" t="n">
        <x:v>9</x:v>
      </x:c>
      <x:c r="J126" t="str">
        <x:v>SO 100</x:v>
      </x:c>
      <x:c r="K126" s="14" t="n">
        <x:v>47.72</x:v>
      </x:c>
      <x:c r="L126" s="14"/>
      <x:c r="M126" s="14"/>
      <x:c r="N126" s="14"/>
      <x:c r="O126" s="14"/>
      <x:c r="P126" s="14" t="n">
        <x:v>10.33</x:v>
      </x:c>
      <x:c r="Q126" s="14" t="n">
        <x:v>58.05</x:v>
      </x:c>
      <x:c r="R126" s="15"/>
      <x:c r="S126" s="15"/>
      <x:c r="T126" s="15"/>
      <x:c r="U126" s="16"/>
      <x:c r="V126" t="str">
        <x:v>Alto Real Estate</x:v>
      </x:c>
      <x:c r="W126" t="str">
        <x:v>Ružinov</x:v>
      </x:c>
      <x:c r="X126" s="11" t="str">
        <x:v>sold</x:v>
      </x:c>
      <x:c r="Y126" s="11" t="str">
        <x:v>https://www.alvy.sk/byt/9-b-02</x:v>
      </x:c>
      <x:c r="Z126" s="11" t="n">
        <x:v>46251.740894027775</x:v>
      </x:c>
      <x:c r="AA126" s="11" t="n">
        <x:v>46254.51251577547</x:v>
      </x:c>
      <x:c r="AB126" s="11" t="n">
        <x:v>46254.51251577547</x:v>
      </x:c>
      <x:c r="AC126" t="str">
        <x:v>alvy</x:v>
      </x:c>
    </x:row>
    <x:row r="127" ht="22" customHeight="1">
      <x:c r="A127" t="str">
        <x:v>ALVY</x:v>
      </x:c>
      <x:c r="B127" t="str">
        <x:v>9.b.03</x:v>
      </x:c>
      <x:c r="C127" t="str">
        <x:v>available</x:v>
      </x:c>
      <x:c r="D127" t="str">
        <x:v>present</x:v>
      </x:c>
      <x:c r="E127" t="str">
        <x:v>baseline</x:v>
      </x:c>
      <x:c r="F127" s="11" t="n">
        <x:v>46251.740894027775</x:v>
      </x:c>
      <x:c r="G127" t="str">
        <x:v>flat</x:v>
      </x:c>
      <x:c r="H127" s="12" t="n">
        <x:v>2</x:v>
      </x:c>
      <x:c r="I127" s="13" t="n">
        <x:v>9</x:v>
      </x:c>
      <x:c r="J127" t="str">
        <x:v>SO 100</x:v>
      </x:c>
      <x:c r="K127" s="14" t="n">
        <x:v>47.78</x:v>
      </x:c>
      <x:c r="L127" s="14"/>
      <x:c r="M127" s="14"/>
      <x:c r="N127" s="14"/>
      <x:c r="O127" s="14"/>
      <x:c r="P127" s="14" t="n">
        <x:v>10.33</x:v>
      </x:c>
      <x:c r="Q127" s="14" t="n">
        <x:v>58.11</x:v>
      </x:c>
      <x:c r="R127" s="15" t="n">
        <x:v>297906</x:v>
      </x:c>
      <x:c r="S127" s="15" t="n">
        <x:v>297906</x:v>
      </x:c>
      <x:c r="T127" s="15"/>
      <x:c r="U127" s="16" t="n">
        <x:v>6234.95</x:v>
      </x:c>
      <x:c r="V127" t="str">
        <x:v>Alto Real Estate</x:v>
      </x:c>
      <x:c r="W127" t="str">
        <x:v>Ružinov</x:v>
      </x:c>
      <x:c r="X127" s="11" t="str">
        <x:v>free</x:v>
      </x:c>
      <x:c r="Y127" s="11" t="str">
        <x:v>https://www.alvy.sk/byt/9-b-03</x:v>
      </x:c>
      <x:c r="Z127" s="11" t="n">
        <x:v>46251.740894027775</x:v>
      </x:c>
      <x:c r="AA127" s="11" t="n">
        <x:v>46254.51251577547</x:v>
      </x:c>
      <x:c r="AB127" s="11" t="n">
        <x:v>46254.51251577547</x:v>
      </x:c>
      <x:c r="AC127" t="str">
        <x:v>alvy</x:v>
      </x:c>
    </x:row>
    <x:row r="128" ht="22" customHeight="1">
      <x:c r="A128" t="str">
        <x:v>ALVY</x:v>
      </x:c>
      <x:c r="B128" t="str">
        <x:v>9.b.04</x:v>
      </x:c>
      <x:c r="C128" t="str">
        <x:v>available</x:v>
      </x:c>
      <x:c r="D128" t="str">
        <x:v>present</x:v>
      </x:c>
      <x:c r="E128" t="str">
        <x:v>returned</x:v>
      </x:c>
      <x:c r="F128" s="11" t="n">
        <x:v>46254.51251577547</x:v>
      </x:c>
      <x:c r="G128" t="str">
        <x:v>flat</x:v>
      </x:c>
      <x:c r="H128" s="12" t="n">
        <x:v>2</x:v>
      </x:c>
      <x:c r="I128" s="13" t="n">
        <x:v>9</x:v>
      </x:c>
      <x:c r="J128" t="str">
        <x:v>SO 100</x:v>
      </x:c>
      <x:c r="K128" s="14" t="n">
        <x:v>47.62</x:v>
      </x:c>
      <x:c r="L128" s="14"/>
      <x:c r="M128" s="14"/>
      <x:c r="N128" s="14"/>
      <x:c r="O128" s="14"/>
      <x:c r="P128" s="14" t="n">
        <x:v>10.33</x:v>
      </x:c>
      <x:c r="Q128" s="14" t="n">
        <x:v>57.95</x:v>
      </x:c>
      <x:c r="R128" s="15" t="n">
        <x:v>297045</x:v>
      </x:c>
      <x:c r="S128" s="15" t="n">
        <x:v>297045</x:v>
      </x:c>
      <x:c r="T128" s="15"/>
      <x:c r="U128" s="16" t="n">
        <x:v>6237.82</x:v>
      </x:c>
      <x:c r="V128" t="str">
        <x:v>Alto Real Estate</x:v>
      </x:c>
      <x:c r="W128" t="str">
        <x:v>Ružinov</x:v>
      </x:c>
      <x:c r="X128" s="11" t="str">
        <x:v>free</x:v>
      </x:c>
      <x:c r="Y128" s="11" t="str">
        <x:v>https://www.alvy.sk/byt/9-b-04</x:v>
      </x:c>
      <x:c r="Z128" s="11" t="n">
        <x:v>46251.740894027775</x:v>
      </x:c>
      <x:c r="AA128" s="11" t="n">
        <x:v>46254.51251577547</x:v>
      </x:c>
      <x:c r="AB128" s="11" t="n">
        <x:v>46254.51251577547</x:v>
      </x:c>
      <x:c r="AC128" t="str">
        <x:v>alvy</x:v>
      </x:c>
    </x:row>
    <x:row r="129" ht="22" customHeight="1">
      <x:c r="A129" t="str">
        <x:v>ALVY</x:v>
      </x:c>
      <x:c r="B129" t="str">
        <x:v>9.b.05</x:v>
      </x:c>
      <x:c r="C129" t="str">
        <x:v>available</x:v>
      </x:c>
      <x:c r="D129" t="str">
        <x:v>present</x:v>
      </x:c>
      <x:c r="E129" t="str">
        <x:v>baseline</x:v>
      </x:c>
      <x:c r="F129" s="11" t="n">
        <x:v>46251.740894027775</x:v>
      </x:c>
      <x:c r="G129" t="str">
        <x:v>flat</x:v>
      </x:c>
      <x:c r="H129" s="12" t="n">
        <x:v>2</x:v>
      </x:c>
      <x:c r="I129" s="13" t="n">
        <x:v>9</x:v>
      </x:c>
      <x:c r="J129" t="str">
        <x:v>SO 100</x:v>
      </x:c>
      <x:c r="K129" s="14" t="n">
        <x:v>53.76</x:v>
      </x:c>
      <x:c r="L129" s="14"/>
      <x:c r="M129" s="14"/>
      <x:c r="N129" s="14"/>
      <x:c r="O129" s="14"/>
      <x:c r="P129" s="14" t="n">
        <x:v>10.33</x:v>
      </x:c>
      <x:c r="Q129" s="14" t="n">
        <x:v>64.09</x:v>
      </x:c>
      <x:c r="R129" s="15" t="n">
        <x:v>329025</x:v>
      </x:c>
      <x:c r="S129" s="15" t="n">
        <x:v>329025</x:v>
      </x:c>
      <x:c r="T129" s="15"/>
      <x:c r="U129" s="16" t="n">
        <x:v>6120.26</x:v>
      </x:c>
      <x:c r="V129" t="str">
        <x:v>Alto Real Estate</x:v>
      </x:c>
      <x:c r="W129" t="str">
        <x:v>Ružinov</x:v>
      </x:c>
      <x:c r="X129" s="11" t="str">
        <x:v>free</x:v>
      </x:c>
      <x:c r="Y129" s="11" t="str">
        <x:v>https://www.alvy.sk/byt/9-b-05</x:v>
      </x:c>
      <x:c r="Z129" s="11" t="n">
        <x:v>46251.740894027775</x:v>
      </x:c>
      <x:c r="AA129" s="11" t="n">
        <x:v>46254.51251577547</x:v>
      </x:c>
      <x:c r="AB129" s="11" t="n">
        <x:v>46254.51251577547</x:v>
      </x:c>
      <x:c r="AC129" t="str">
        <x:v>alvy</x:v>
      </x:c>
    </x:row>
    <x:row r="130" ht="22" customHeight="1">
      <x:c r="A130" t="str">
        <x:v>ALVY</x:v>
      </x:c>
      <x:c r="B130" t="str">
        <x:v>9.b.06</x:v>
      </x:c>
      <x:c r="C130" t="str">
        <x:v>not_for_sale</x:v>
      </x:c>
      <x:c r="D130" t="str">
        <x:v>present</x:v>
      </x:c>
      <x:c r="E130" t="str">
        <x:v>baseline</x:v>
      </x:c>
      <x:c r="F130" s="11" t="n">
        <x:v>46251.740894027775</x:v>
      </x:c>
      <x:c r="G130" t="str">
        <x:v>flat</x:v>
      </x:c>
      <x:c r="H130" s="12" t="n">
        <x:v>1</x:v>
      </x:c>
      <x:c r="I130" s="13" t="n">
        <x:v>9</x:v>
      </x:c>
      <x:c r="J130" t="str">
        <x:v>SO 100</x:v>
      </x:c>
      <x:c r="K130" s="14" t="n">
        <x:v>35.38</x:v>
      </x:c>
      <x:c r="L130" s="14"/>
      <x:c r="M130" s="14"/>
      <x:c r="N130" s="14"/>
      <x:c r="O130" s="14"/>
      <x:c r="P130" s="14" t="n">
        <x:v>6.18</x:v>
      </x:c>
      <x:c r="Q130" s="14" t="n">
        <x:v>41.56</x:v>
      </x:c>
      <x:c r="R130" s="15"/>
      <x:c r="S130" s="15"/>
      <x:c r="T130" s="15"/>
      <x:c r="U130" s="16"/>
      <x:c r="V130" t="str">
        <x:v>Alto Real Estate</x:v>
      </x:c>
      <x:c r="W130" t="str">
        <x:v>Ružinov</x:v>
      </x:c>
      <x:c r="X130" s="11" t="str">
        <x:v>unavailable</x:v>
      </x:c>
      <x:c r="Y130" s="11" t="str">
        <x:v>https://www.alvy.sk/byt/9-b-06</x:v>
      </x:c>
      <x:c r="Z130" s="11" t="n">
        <x:v>46251.740894027775</x:v>
      </x:c>
      <x:c r="AA130" s="11" t="n">
        <x:v>46254.51251577547</x:v>
      </x:c>
      <x:c r="AB130" s="11" t="n">
        <x:v>46254.51251577547</x:v>
      </x:c>
      <x:c r="AC130" t="str">
        <x:v>alvy</x:v>
      </x:c>
    </x:row>
    <x:row r="131" ht="22" customHeight="1">
      <x:c r="A131" t="str">
        <x:v>ALVY</x:v>
      </x:c>
      <x:c r="B131" t="str">
        <x:v>9.b.07</x:v>
      </x:c>
      <x:c r="C131" t="str">
        <x:v>available</x:v>
      </x:c>
      <x:c r="D131" t="str">
        <x:v>present</x:v>
      </x:c>
      <x:c r="E131" t="str">
        <x:v>baseline</x:v>
      </x:c>
      <x:c r="F131" s="11" t="n">
        <x:v>46251.740894027775</x:v>
      </x:c>
      <x:c r="G131" t="str">
        <x:v>flat</x:v>
      </x:c>
      <x:c r="H131" s="12" t="n">
        <x:v>3</x:v>
      </x:c>
      <x:c r="I131" s="13" t="n">
        <x:v>9</x:v>
      </x:c>
      <x:c r="J131" t="str">
        <x:v>SO 100</x:v>
      </x:c>
      <x:c r="K131" s="14" t="n">
        <x:v>74.52</x:v>
      </x:c>
      <x:c r="L131" s="14"/>
      <x:c r="M131" s="14"/>
      <x:c r="N131" s="14"/>
      <x:c r="O131" s="14"/>
      <x:c r="P131" s="14" t="n">
        <x:v>11.19</x:v>
      </x:c>
      <x:c r="Q131" s="14" t="n">
        <x:v>85.71</x:v>
      </x:c>
      <x:c r="R131" s="15" t="n">
        <x:v>416232</x:v>
      </x:c>
      <x:c r="S131" s="15" t="n">
        <x:v>416232</x:v>
      </x:c>
      <x:c r="T131" s="15"/>
      <x:c r="U131" s="16" t="n">
        <x:v>5585.51</x:v>
      </x:c>
      <x:c r="V131" t="str">
        <x:v>Alto Real Estate</x:v>
      </x:c>
      <x:c r="W131" t="str">
        <x:v>Ružinov</x:v>
      </x:c>
      <x:c r="X131" s="11" t="str">
        <x:v>free</x:v>
      </x:c>
      <x:c r="Y131" s="11" t="str">
        <x:v>https://www.alvy.sk/byt/9-b-07</x:v>
      </x:c>
      <x:c r="Z131" s="11" t="n">
        <x:v>46251.740894027775</x:v>
      </x:c>
      <x:c r="AA131" s="11" t="n">
        <x:v>46254.51251577547</x:v>
      </x:c>
      <x:c r="AB131" s="11" t="n">
        <x:v>46254.51251577547</x:v>
      </x:c>
      <x:c r="AC131" t="str">
        <x:v>alvy</x:v>
      </x:c>
    </x:row>
    <x:row r="132" ht="22" customHeight="1">
      <x:c r="A132" t="str">
        <x:v>ALVY</x:v>
      </x:c>
      <x:c r="B132" t="str">
        <x:v>9.b.08</x:v>
      </x:c>
      <x:c r="C132" t="str">
        <x:v>available</x:v>
      </x:c>
      <x:c r="D132" t="str">
        <x:v>present</x:v>
      </x:c>
      <x:c r="E132" t="str">
        <x:v>baseline</x:v>
      </x:c>
      <x:c r="F132" s="11" t="n">
        <x:v>46251.740894027775</x:v>
      </x:c>
      <x:c r="G132" t="str">
        <x:v>flat</x:v>
      </x:c>
      <x:c r="H132" s="12" t="n">
        <x:v>3</x:v>
      </x:c>
      <x:c r="I132" s="13" t="n">
        <x:v>9</x:v>
      </x:c>
      <x:c r="J132" t="str">
        <x:v>SO 100</x:v>
      </x:c>
      <x:c r="K132" s="14" t="n">
        <x:v>74.48</x:v>
      </x:c>
      <x:c r="L132" s="14"/>
      <x:c r="M132" s="14"/>
      <x:c r="N132" s="14"/>
      <x:c r="O132" s="14"/>
      <x:c r="P132" s="14" t="n">
        <x:v>11.19</x:v>
      </x:c>
      <x:c r="Q132" s="14" t="n">
        <x:v>85.67</x:v>
      </x:c>
      <x:c r="R132" s="15" t="n">
        <x:v>388680</x:v>
      </x:c>
      <x:c r="S132" s="15" t="n">
        <x:v>388680</x:v>
      </x:c>
      <x:c r="T132" s="15"/>
      <x:c r="U132" s="16" t="n">
        <x:v>5218.58</x:v>
      </x:c>
      <x:c r="V132" t="str">
        <x:v>Alto Real Estate</x:v>
      </x:c>
      <x:c r="W132" t="str">
        <x:v>Ružinov</x:v>
      </x:c>
      <x:c r="X132" s="11" t="str">
        <x:v>free</x:v>
      </x:c>
      <x:c r="Y132" s="11" t="str">
        <x:v>https://www.alvy.sk/byt/9-b-08</x:v>
      </x:c>
      <x:c r="Z132" s="11" t="n">
        <x:v>46251.740894027775</x:v>
      </x:c>
      <x:c r="AA132" s="11" t="n">
        <x:v>46254.51251577547</x:v>
      </x:c>
      <x:c r="AB132" s="11" t="n">
        <x:v>46254.51251577547</x:v>
      </x:c>
      <x:c r="AC132" t="str">
        <x:v>alvy</x:v>
      </x:c>
    </x:row>
    <x:row r="133" ht="22" customHeight="1">
      <x:c r="A133" t="str">
        <x:v>ALVY</x:v>
      </x:c>
      <x:c r="B133" t="str">
        <x:v>9.b.09</x:v>
      </x:c>
      <x:c r="C133" t="str">
        <x:v>not_for_sale</x:v>
      </x:c>
      <x:c r="D133" t="str">
        <x:v>present</x:v>
      </x:c>
      <x:c r="E133" t="str">
        <x:v>baseline</x:v>
      </x:c>
      <x:c r="F133" s="11" t="n">
        <x:v>46251.740894027775</x:v>
      </x:c>
      <x:c r="G133" t="str">
        <x:v>flat</x:v>
      </x:c>
      <x:c r="H133" s="12" t="n">
        <x:v>1</x:v>
      </x:c>
      <x:c r="I133" s="13" t="n">
        <x:v>9</x:v>
      </x:c>
      <x:c r="J133" t="str">
        <x:v>SO 100</x:v>
      </x:c>
      <x:c r="K133" s="14" t="n">
        <x:v>35.37</x:v>
      </x:c>
      <x:c r="L133" s="14"/>
      <x:c r="M133" s="14"/>
      <x:c r="N133" s="14"/>
      <x:c r="O133" s="14"/>
      <x:c r="P133" s="14" t="n">
        <x:v>6.18</x:v>
      </x:c>
      <x:c r="Q133" s="14" t="n">
        <x:v>41.55</x:v>
      </x:c>
      <x:c r="R133" s="15"/>
      <x:c r="S133" s="15"/>
      <x:c r="T133" s="15"/>
      <x:c r="U133" s="16"/>
      <x:c r="V133" t="str">
        <x:v>Alto Real Estate</x:v>
      </x:c>
      <x:c r="W133" t="str">
        <x:v>Ružinov</x:v>
      </x:c>
      <x:c r="X133" s="11" t="str">
        <x:v>unavailable</x:v>
      </x:c>
      <x:c r="Y133" s="11" t="str">
        <x:v>https://www.alvy.sk/byt/9-b-09</x:v>
      </x:c>
      <x:c r="Z133" s="11" t="n">
        <x:v>46251.740894027775</x:v>
      </x:c>
      <x:c r="AA133" s="11" t="n">
        <x:v>46254.51251577547</x:v>
      </x:c>
      <x:c r="AB133" s="11" t="n">
        <x:v>46254.51251577547</x:v>
      </x:c>
      <x:c r="AC133" t="str">
        <x:v>alvy</x:v>
      </x:c>
    </x:row>
    <x:row r="134" ht="22" customHeight="1">
      <x:c r="A134" t="str">
        <x:v>ALVY</x:v>
      </x:c>
      <x:c r="B134" t="str">
        <x:v>9.b.10</x:v>
      </x:c>
      <x:c r="C134" t="str">
        <x:v>available</x:v>
      </x:c>
      <x:c r="D134" t="str">
        <x:v>present</x:v>
      </x:c>
      <x:c r="E134" t="str">
        <x:v>baseline</x:v>
      </x:c>
      <x:c r="F134" s="11" t="n">
        <x:v>46251.740894027775</x:v>
      </x:c>
      <x:c r="G134" t="str">
        <x:v>flat</x:v>
      </x:c>
      <x:c r="H134" s="12" t="n">
        <x:v>2</x:v>
      </x:c>
      <x:c r="I134" s="13" t="n">
        <x:v>9</x:v>
      </x:c>
      <x:c r="J134" t="str">
        <x:v>SO 100</x:v>
      </x:c>
      <x:c r="K134" s="14" t="n">
        <x:v>53.81</x:v>
      </x:c>
      <x:c r="L134" s="14"/>
      <x:c r="M134" s="14"/>
      <x:c r="N134" s="14"/>
      <x:c r="O134" s="14"/>
      <x:c r="P134" s="14" t="n">
        <x:v>10.33</x:v>
      </x:c>
      <x:c r="Q134" s="14" t="n">
        <x:v>64.14</x:v>
      </x:c>
      <x:c r="R134" s="15" t="n">
        <x:v>298890</x:v>
      </x:c>
      <x:c r="S134" s="15" t="n">
        <x:v>298890</x:v>
      </x:c>
      <x:c r="T134" s="15"/>
      <x:c r="U134" s="16" t="n">
        <x:v>5554.54</x:v>
      </x:c>
      <x:c r="V134" t="str">
        <x:v>Alto Real Estate</x:v>
      </x:c>
      <x:c r="W134" t="str">
        <x:v>Ružinov</x:v>
      </x:c>
      <x:c r="X134" s="11" t="str">
        <x:v>free</x:v>
      </x:c>
      <x:c r="Y134" s="11" t="str">
        <x:v>https://www.alvy.sk/byt/9-b-10</x:v>
      </x:c>
      <x:c r="Z134" s="11" t="n">
        <x:v>46251.740894027775</x:v>
      </x:c>
      <x:c r="AA134" s="11" t="n">
        <x:v>46254.51251577547</x:v>
      </x:c>
      <x:c r="AB134" s="11" t="n">
        <x:v>46254.51251577547</x:v>
      </x:c>
      <x:c r="AC134" t="str">
        <x:v>alvy</x:v>
      </x:c>
    </x:row>
    <x:row r="135" ht="22" customHeight="1">
      <x:c r="A135" t="str">
        <x:v>ALVY</x:v>
      </x:c>
      <x:c r="B135" t="str">
        <x:v>9.b.11</x:v>
      </x:c>
      <x:c r="C135" t="str">
        <x:v>available</x:v>
      </x:c>
      <x:c r="D135" t="str">
        <x:v>present</x:v>
      </x:c>
      <x:c r="E135" t="str">
        <x:v>baseline</x:v>
      </x:c>
      <x:c r="F135" s="11" t="n">
        <x:v>46251.740894027775</x:v>
      </x:c>
      <x:c r="G135" t="str">
        <x:v>flat</x:v>
      </x:c>
      <x:c r="H135" s="12" t="n">
        <x:v>2</x:v>
      </x:c>
      <x:c r="I135" s="13" t="n">
        <x:v>9</x:v>
      </x:c>
      <x:c r="J135" t="str">
        <x:v>SO 100</x:v>
      </x:c>
      <x:c r="K135" s="14" t="n">
        <x:v>47.57</x:v>
      </x:c>
      <x:c r="L135" s="14"/>
      <x:c r="M135" s="14"/>
      <x:c r="N135" s="14"/>
      <x:c r="O135" s="14"/>
      <x:c r="P135" s="14" t="n">
        <x:v>10.33</x:v>
      </x:c>
      <x:c r="Q135" s="14" t="n">
        <x:v>57.9</x:v>
      </x:c>
      <x:c r="R135" s="15" t="n">
        <x:v>274659</x:v>
      </x:c>
      <x:c r="S135" s="15" t="n">
        <x:v>274659</x:v>
      </x:c>
      <x:c r="T135" s="15"/>
      <x:c r="U135" s="16" t="n">
        <x:v>5773.79</x:v>
      </x:c>
      <x:c r="V135" t="str">
        <x:v>Alto Real Estate</x:v>
      </x:c>
      <x:c r="W135" t="str">
        <x:v>Ružinov</x:v>
      </x:c>
      <x:c r="X135" s="11" t="str">
        <x:v>free</x:v>
      </x:c>
      <x:c r="Y135" s="11" t="str">
        <x:v>https://www.alvy.sk/byt/9-b-11</x:v>
      </x:c>
      <x:c r="Z135" s="11" t="n">
        <x:v>46251.740894027775</x:v>
      </x:c>
      <x:c r="AA135" s="11" t="n">
        <x:v>46254.51251577547</x:v>
      </x:c>
      <x:c r="AB135" s="11" t="n">
        <x:v>46254.51251577547</x:v>
      </x:c>
      <x:c r="AC135" t="str">
        <x:v>alvy</x:v>
      </x:c>
    </x:row>
    <x:row r="136" ht="22" customHeight="1">
      <x:c r="A136" t="str">
        <x:v>ALVY</x:v>
      </x:c>
      <x:c r="B136" t="str">
        <x:v>9.b.12</x:v>
      </x:c>
      <x:c r="C136" t="str">
        <x:v>available</x:v>
      </x:c>
      <x:c r="D136" t="str">
        <x:v>present</x:v>
      </x:c>
      <x:c r="E136" t="str">
        <x:v>baseline</x:v>
      </x:c>
      <x:c r="F136" s="11" t="n">
        <x:v>46251.740894027775</x:v>
      </x:c>
      <x:c r="G136" t="str">
        <x:v>flat</x:v>
      </x:c>
      <x:c r="H136" s="12" t="n">
        <x:v>2</x:v>
      </x:c>
      <x:c r="I136" s="13" t="n">
        <x:v>9</x:v>
      </x:c>
      <x:c r="J136" t="str">
        <x:v>SO 100</x:v>
      </x:c>
      <x:c r="K136" s="14" t="n">
        <x:v>47.62</x:v>
      </x:c>
      <x:c r="L136" s="14"/>
      <x:c r="M136" s="14"/>
      <x:c r="N136" s="14"/>
      <x:c r="O136" s="14"/>
      <x:c r="P136" s="14" t="n">
        <x:v>10.33</x:v>
      </x:c>
      <x:c r="Q136" s="14" t="n">
        <x:v>57.95</x:v>
      </x:c>
      <x:c r="R136" s="15" t="n">
        <x:v>277611</x:v>
      </x:c>
      <x:c r="S136" s="15" t="n">
        <x:v>277611</x:v>
      </x:c>
      <x:c r="T136" s="15"/>
      <x:c r="U136" s="16" t="n">
        <x:v>5829.71</x:v>
      </x:c>
      <x:c r="V136" t="str">
        <x:v>Alto Real Estate</x:v>
      </x:c>
      <x:c r="W136" t="str">
        <x:v>Ružinov</x:v>
      </x:c>
      <x:c r="X136" s="11" t="str">
        <x:v>free</x:v>
      </x:c>
      <x:c r="Y136" s="11" t="str">
        <x:v>https://www.alvy.sk/byt/9-b-12</x:v>
      </x:c>
      <x:c r="Z136" s="11" t="n">
        <x:v>46251.740894027775</x:v>
      </x:c>
      <x:c r="AA136" s="11" t="n">
        <x:v>46254.51251577547</x:v>
      </x:c>
      <x:c r="AB136" s="11" t="n">
        <x:v>46254.51251577547</x:v>
      </x:c>
      <x:c r="AC136" t="str">
        <x:v>alvy</x:v>
      </x:c>
    </x:row>
    <x:row r="137" ht="22" customHeight="1">
      <x:c r="A137" t="str">
        <x:v>ALVY</x:v>
      </x:c>
      <x:c r="B137" t="str">
        <x:v>9.b.13</x:v>
      </x:c>
      <x:c r="C137" t="str">
        <x:v>available</x:v>
      </x:c>
      <x:c r="D137" t="str">
        <x:v>present</x:v>
      </x:c>
      <x:c r="E137" t="str">
        <x:v>baseline</x:v>
      </x:c>
      <x:c r="F137" s="11" t="n">
        <x:v>46251.740894027775</x:v>
      </x:c>
      <x:c r="G137" t="str">
        <x:v>flat</x:v>
      </x:c>
      <x:c r="H137" s="12" t="n">
        <x:v>2</x:v>
      </x:c>
      <x:c r="I137" s="13" t="n">
        <x:v>9</x:v>
      </x:c>
      <x:c r="J137" t="str">
        <x:v>SO 100</x:v>
      </x:c>
      <x:c r="K137" s="14" t="n">
        <x:v>47.68</x:v>
      </x:c>
      <x:c r="L137" s="14"/>
      <x:c r="M137" s="14"/>
      <x:c r="N137" s="14"/>
      <x:c r="O137" s="14"/>
      <x:c r="P137" s="14" t="n">
        <x:v>10.33</x:v>
      </x:c>
      <x:c r="Q137" s="14" t="n">
        <x:v>58.01</x:v>
      </x:c>
      <x:c r="R137" s="15" t="n">
        <x:v>280563</x:v>
      </x:c>
      <x:c r="S137" s="15" t="n">
        <x:v>280563</x:v>
      </x:c>
      <x:c r="T137" s="15"/>
      <x:c r="U137" s="16" t="n">
        <x:v>5884.29</x:v>
      </x:c>
      <x:c r="V137" t="str">
        <x:v>Alto Real Estate</x:v>
      </x:c>
      <x:c r="W137" t="str">
        <x:v>Ružinov</x:v>
      </x:c>
      <x:c r="X137" s="11" t="str">
        <x:v>free</x:v>
      </x:c>
      <x:c r="Y137" s="11" t="str">
        <x:v>https://www.alvy.sk/byt/9-b-13</x:v>
      </x:c>
      <x:c r="Z137" s="11" t="n">
        <x:v>46251.740894027775</x:v>
      </x:c>
      <x:c r="AA137" s="11" t="n">
        <x:v>46254.51251577547</x:v>
      </x:c>
      <x:c r="AB137" s="11" t="n">
        <x:v>46254.51251577547</x:v>
      </x:c>
      <x:c r="AC137" t="str">
        <x:v>alvy</x:v>
      </x:c>
    </x:row>
    <x:row r="138" ht="22" customHeight="1">
      <x:c r="A138" t="str">
        <x:v>ALVY</x:v>
      </x:c>
      <x:c r="B138" t="str">
        <x:v>9.b.14</x:v>
      </x:c>
      <x:c r="C138" t="str">
        <x:v>available</x:v>
      </x:c>
      <x:c r="D138" t="str">
        <x:v>present</x:v>
      </x:c>
      <x:c r="E138" t="str">
        <x:v>baseline</x:v>
      </x:c>
      <x:c r="F138" s="11" t="n">
        <x:v>46251.740894027775</x:v>
      </x:c>
      <x:c r="G138" t="str">
        <x:v>flat</x:v>
      </x:c>
      <x:c r="H138" s="12" t="n">
        <x:v>3</x:v>
      </x:c>
      <x:c r="I138" s="13" t="n">
        <x:v>9</x:v>
      </x:c>
      <x:c r="J138" t="str">
        <x:v>SO 100</x:v>
      </x:c>
      <x:c r="K138" s="14" t="n">
        <x:v>78.26</x:v>
      </x:c>
      <x:c r="L138" s="14"/>
      <x:c r="M138" s="14"/>
      <x:c r="N138" s="14"/>
      <x:c r="O138" s="14"/>
      <x:c r="P138" s="14" t="n">
        <x:v>27.2</x:v>
      </x:c>
      <x:c r="Q138" s="14" t="n">
        <x:v>105.46</x:v>
      </x:c>
      <x:c r="R138" s="15" t="n">
        <x:v>451041</x:v>
      </x:c>
      <x:c r="S138" s="15" t="n">
        <x:v>451041</x:v>
      </x:c>
      <x:c r="T138" s="15"/>
      <x:c r="U138" s="16" t="n">
        <x:v>5763.37</x:v>
      </x:c>
      <x:c r="V138" t="str">
        <x:v>Alto Real Estate</x:v>
      </x:c>
      <x:c r="W138" t="str">
        <x:v>Ružinov</x:v>
      </x:c>
      <x:c r="X138" s="11" t="str">
        <x:v>free</x:v>
      </x:c>
      <x:c r="Y138" s="11" t="str">
        <x:v>https://www.alvy.sk/byt/9-b-14</x:v>
      </x:c>
      <x:c r="Z138" s="11" t="n">
        <x:v>46251.740894027775</x:v>
      </x:c>
      <x:c r="AA138" s="11" t="n">
        <x:v>46254.51251577547</x:v>
      </x:c>
      <x:c r="AB138" s="11" t="n">
        <x:v>46254.51251577547</x:v>
      </x:c>
      <x:c r="AC138" t="str">
        <x:v>alvy</x:v>
      </x:c>
    </x:row>
    <x:row r="139" ht="22" customHeight="1">
      <x:c r="A139" t="str">
        <x:v>ALVY</x:v>
      </x:c>
      <x:c r="B139" t="str">
        <x:v>9.b.15</x:v>
      </x:c>
      <x:c r="C139" t="str">
        <x:v>available</x:v>
      </x:c>
      <x:c r="D139" t="str">
        <x:v>present</x:v>
      </x:c>
      <x:c r="E139" t="str">
        <x:v>baseline</x:v>
      </x:c>
      <x:c r="F139" s="11" t="n">
        <x:v>46251.740894027775</x:v>
      </x:c>
      <x:c r="G139" t="str">
        <x:v>flat</x:v>
      </x:c>
      <x:c r="H139" s="12" t="n">
        <x:v>2</x:v>
      </x:c>
      <x:c r="I139" s="13" t="n">
        <x:v>9</x:v>
      </x:c>
      <x:c r="J139" t="str">
        <x:v>SO 100</x:v>
      </x:c>
      <x:c r="K139" s="14" t="n">
        <x:v>49.6</x:v>
      </x:c>
      <x:c r="L139" s="14"/>
      <x:c r="M139" s="14"/>
      <x:c r="N139" s="14"/>
      <x:c r="O139" s="14"/>
      <x:c r="P139" s="14" t="n">
        <x:v>9.63</x:v>
      </x:c>
      <x:c r="Q139" s="14" t="n">
        <x:v>59.23</x:v>
      </x:c>
      <x:c r="R139" s="15" t="n">
        <x:v>300981</x:v>
      </x:c>
      <x:c r="S139" s="15" t="n">
        <x:v>300981</x:v>
      </x:c>
      <x:c r="T139" s="15"/>
      <x:c r="U139" s="16" t="n">
        <x:v>6068.17</x:v>
      </x:c>
      <x:c r="V139" t="str">
        <x:v>Alto Real Estate</x:v>
      </x:c>
      <x:c r="W139" t="str">
        <x:v>Ružinov</x:v>
      </x:c>
      <x:c r="X139" s="11" t="str">
        <x:v>free</x:v>
      </x:c>
      <x:c r="Y139" s="11" t="str">
        <x:v>https://www.alvy.sk/byt/9-b-15</x:v>
      </x:c>
      <x:c r="Z139" s="11" t="n">
        <x:v>46251.740894027775</x:v>
      </x:c>
      <x:c r="AA139" s="11" t="n">
        <x:v>46254.51251577547</x:v>
      </x:c>
      <x:c r="AB139" s="11" t="n">
        <x:v>46254.51251577547</x:v>
      </x:c>
      <x:c r="AC139" t="str">
        <x:v>alvy</x:v>
      </x:c>
    </x:row>
    <x:row r="140" ht="22" customHeight="1">
      <x:c r="A140" t="str">
        <x:v>ALVY</x:v>
      </x:c>
      <x:c r="B140" t="str">
        <x:v>10.b.01</x:v>
      </x:c>
      <x:c r="C140" t="str">
        <x:v>not_for_sale</x:v>
      </x:c>
      <x:c r="D140" t="str">
        <x:v>present</x:v>
      </x:c>
      <x:c r="E140" t="str">
        <x:v>baseline</x:v>
      </x:c>
      <x:c r="F140" s="11" t="n">
        <x:v>46251.740894027775</x:v>
      </x:c>
      <x:c r="G140" t="str">
        <x:v>flat</x:v>
      </x:c>
      <x:c r="H140" s="12" t="n">
        <x:v>3</x:v>
      </x:c>
      <x:c r="I140" s="13" t="n">
        <x:v>10</x:v>
      </x:c>
      <x:c r="J140" t="str">
        <x:v>SO 100</x:v>
      </x:c>
      <x:c r="K140" s="14" t="n">
        <x:v>78.19</x:v>
      </x:c>
      <x:c r="L140" s="14"/>
      <x:c r="M140" s="14"/>
      <x:c r="N140" s="14"/>
      <x:c r="O140" s="14"/>
      <x:c r="P140" s="14" t="n">
        <x:v>27.2</x:v>
      </x:c>
      <x:c r="Q140" s="14" t="n">
        <x:v>105.39</x:v>
      </x:c>
      <x:c r="R140" s="15"/>
      <x:c r="S140" s="15"/>
      <x:c r="T140" s="15"/>
      <x:c r="U140" s="16"/>
      <x:c r="V140" t="str">
        <x:v>Alto Real Estate</x:v>
      </x:c>
      <x:c r="W140" t="str">
        <x:v>Ružinov</x:v>
      </x:c>
      <x:c r="X140" s="11" t="str">
        <x:v>unavailable</x:v>
      </x:c>
      <x:c r="Y140" s="11" t="str">
        <x:v>https://www.alvy.sk/byt/10-b-01</x:v>
      </x:c>
      <x:c r="Z140" s="11" t="n">
        <x:v>46251.740894027775</x:v>
      </x:c>
      <x:c r="AA140" s="11" t="n">
        <x:v>46254.51251577547</x:v>
      </x:c>
      <x:c r="AB140" s="11" t="n">
        <x:v>46254.51251577547</x:v>
      </x:c>
      <x:c r="AC140" t="str">
        <x:v>alvy</x:v>
      </x:c>
    </x:row>
    <x:row r="141" ht="22" customHeight="1">
      <x:c r="A141" t="str">
        <x:v>ALVY</x:v>
      </x:c>
      <x:c r="B141" t="str">
        <x:v>10.b.02</x:v>
      </x:c>
      <x:c r="C141" t="str">
        <x:v>not_for_sale</x:v>
      </x:c>
      <x:c r="D141" t="str">
        <x:v>present</x:v>
      </x:c>
      <x:c r="E141" t="str">
        <x:v>baseline</x:v>
      </x:c>
      <x:c r="F141" s="11" t="n">
        <x:v>46251.740894027775</x:v>
      </x:c>
      <x:c r="G141" t="str">
        <x:v>flat</x:v>
      </x:c>
      <x:c r="H141" s="12" t="n">
        <x:v>2</x:v>
      </x:c>
      <x:c r="I141" s="13" t="n">
        <x:v>10</x:v>
      </x:c>
      <x:c r="J141" t="str">
        <x:v>SO 100</x:v>
      </x:c>
      <x:c r="K141" s="14" t="n">
        <x:v>47.72</x:v>
      </x:c>
      <x:c r="L141" s="14"/>
      <x:c r="M141" s="14"/>
      <x:c r="N141" s="14"/>
      <x:c r="O141" s="14"/>
      <x:c r="P141" s="14" t="n">
        <x:v>10.33</x:v>
      </x:c>
      <x:c r="Q141" s="14" t="n">
        <x:v>58.05</x:v>
      </x:c>
      <x:c r="R141" s="15"/>
      <x:c r="S141" s="15"/>
      <x:c r="T141" s="15"/>
      <x:c r="U141" s="16"/>
      <x:c r="V141" t="str">
        <x:v>Alto Real Estate</x:v>
      </x:c>
      <x:c r="W141" t="str">
        <x:v>Ružinov</x:v>
      </x:c>
      <x:c r="X141" s="11" t="str">
        <x:v>unavailable</x:v>
      </x:c>
      <x:c r="Y141" s="11" t="str">
        <x:v>https://www.alvy.sk/byt/10-b-02</x:v>
      </x:c>
      <x:c r="Z141" s="11" t="n">
        <x:v>46251.740894027775</x:v>
      </x:c>
      <x:c r="AA141" s="11" t="n">
        <x:v>46254.51251577547</x:v>
      </x:c>
      <x:c r="AB141" s="11" t="n">
        <x:v>46254.51251577547</x:v>
      </x:c>
      <x:c r="AC141" t="str">
        <x:v>alvy</x:v>
      </x:c>
    </x:row>
    <x:row r="142" ht="22" customHeight="1">
      <x:c r="A142" t="str">
        <x:v>ALVY</x:v>
      </x:c>
      <x:c r="B142" t="str">
        <x:v>10.b.03</x:v>
      </x:c>
      <x:c r="C142" t="str">
        <x:v>not_for_sale</x:v>
      </x:c>
      <x:c r="D142" t="str">
        <x:v>present</x:v>
      </x:c>
      <x:c r="E142" t="str">
        <x:v>baseline</x:v>
      </x:c>
      <x:c r="F142" s="11" t="n">
        <x:v>46251.740894027775</x:v>
      </x:c>
      <x:c r="G142" t="str">
        <x:v>flat</x:v>
      </x:c>
      <x:c r="H142" s="12" t="n">
        <x:v>2</x:v>
      </x:c>
      <x:c r="I142" s="13" t="n">
        <x:v>10</x:v>
      </x:c>
      <x:c r="J142" t="str">
        <x:v>SO 100</x:v>
      </x:c>
      <x:c r="K142" s="14" t="n">
        <x:v>47.78</x:v>
      </x:c>
      <x:c r="L142" s="14"/>
      <x:c r="M142" s="14"/>
      <x:c r="N142" s="14"/>
      <x:c r="O142" s="14"/>
      <x:c r="P142" s="14" t="n">
        <x:v>10.33</x:v>
      </x:c>
      <x:c r="Q142" s="14" t="n">
        <x:v>58.11</x:v>
      </x:c>
      <x:c r="R142" s="15"/>
      <x:c r="S142" s="15"/>
      <x:c r="T142" s="15"/>
      <x:c r="U142" s="16"/>
      <x:c r="V142" t="str">
        <x:v>Alto Real Estate</x:v>
      </x:c>
      <x:c r="W142" t="str">
        <x:v>Ružinov</x:v>
      </x:c>
      <x:c r="X142" s="11" t="str">
        <x:v>unavailable</x:v>
      </x:c>
      <x:c r="Y142" s="11" t="str">
        <x:v>https://www.alvy.sk/byt/10-b-03</x:v>
      </x:c>
      <x:c r="Z142" s="11" t="n">
        <x:v>46251.740894027775</x:v>
      </x:c>
      <x:c r="AA142" s="11" t="n">
        <x:v>46254.51251577547</x:v>
      </x:c>
      <x:c r="AB142" s="11" t="n">
        <x:v>46254.51251577547</x:v>
      </x:c>
      <x:c r="AC142" t="str">
        <x:v>alvy</x:v>
      </x:c>
    </x:row>
    <x:row r="143" ht="22" customHeight="1">
      <x:c r="A143" t="str">
        <x:v>ALVY</x:v>
      </x:c>
      <x:c r="B143" t="str">
        <x:v>10.b.04</x:v>
      </x:c>
      <x:c r="C143" t="str">
        <x:v>not_for_sale</x:v>
      </x:c>
      <x:c r="D143" t="str">
        <x:v>present</x:v>
      </x:c>
      <x:c r="E143" t="str">
        <x:v>baseline</x:v>
      </x:c>
      <x:c r="F143" s="11" t="n">
        <x:v>46251.740894027775</x:v>
      </x:c>
      <x:c r="G143" t="str">
        <x:v>flat</x:v>
      </x:c>
      <x:c r="H143" s="12" t="n">
        <x:v>2</x:v>
      </x:c>
      <x:c r="I143" s="13" t="n">
        <x:v>10</x:v>
      </x:c>
      <x:c r="J143" t="str">
        <x:v>SO 100</x:v>
      </x:c>
      <x:c r="K143" s="14" t="n">
        <x:v>47.62</x:v>
      </x:c>
      <x:c r="L143" s="14"/>
      <x:c r="M143" s="14"/>
      <x:c r="N143" s="14"/>
      <x:c r="O143" s="14"/>
      <x:c r="P143" s="14" t="n">
        <x:v>10.33</x:v>
      </x:c>
      <x:c r="Q143" s="14" t="n">
        <x:v>57.95</x:v>
      </x:c>
      <x:c r="R143" s="15"/>
      <x:c r="S143" s="15"/>
      <x:c r="T143" s="15"/>
      <x:c r="U143" s="16"/>
      <x:c r="V143" t="str">
        <x:v>Alto Real Estate</x:v>
      </x:c>
      <x:c r="W143" t="str">
        <x:v>Ružinov</x:v>
      </x:c>
      <x:c r="X143" s="11" t="str">
        <x:v>unavailable</x:v>
      </x:c>
      <x:c r="Y143" s="11" t="str">
        <x:v>https://www.alvy.sk/byt/10-b-04</x:v>
      </x:c>
      <x:c r="Z143" s="11" t="n">
        <x:v>46251.740894027775</x:v>
      </x:c>
      <x:c r="AA143" s="11" t="n">
        <x:v>46254.51251577547</x:v>
      </x:c>
      <x:c r="AB143" s="11" t="n">
        <x:v>46254.51251577547</x:v>
      </x:c>
      <x:c r="AC143" t="str">
        <x:v>alvy</x:v>
      </x:c>
    </x:row>
    <x:row r="144" ht="22" customHeight="1">
      <x:c r="A144" t="str">
        <x:v>ALVY</x:v>
      </x:c>
      <x:c r="B144" t="str">
        <x:v>10.b.05</x:v>
      </x:c>
      <x:c r="C144" t="str">
        <x:v>not_for_sale</x:v>
      </x:c>
      <x:c r="D144" t="str">
        <x:v>present</x:v>
      </x:c>
      <x:c r="E144" t="str">
        <x:v>baseline</x:v>
      </x:c>
      <x:c r="F144" s="11" t="n">
        <x:v>46251.740894027775</x:v>
      </x:c>
      <x:c r="G144" t="str">
        <x:v>flat</x:v>
      </x:c>
      <x:c r="H144" s="12" t="n">
        <x:v>2</x:v>
      </x:c>
      <x:c r="I144" s="13" t="n">
        <x:v>10</x:v>
      </x:c>
      <x:c r="J144" t="str">
        <x:v>SO 100</x:v>
      </x:c>
      <x:c r="K144" s="14" t="n">
        <x:v>53.76</x:v>
      </x:c>
      <x:c r="L144" s="14"/>
      <x:c r="M144" s="14"/>
      <x:c r="N144" s="14"/>
      <x:c r="O144" s="14"/>
      <x:c r="P144" s="14" t="n">
        <x:v>10.33</x:v>
      </x:c>
      <x:c r="Q144" s="14" t="n">
        <x:v>64.09</x:v>
      </x:c>
      <x:c r="R144" s="15"/>
      <x:c r="S144" s="15"/>
      <x:c r="T144" s="15"/>
      <x:c r="U144" s="16"/>
      <x:c r="V144" t="str">
        <x:v>Alto Real Estate</x:v>
      </x:c>
      <x:c r="W144" t="str">
        <x:v>Ružinov</x:v>
      </x:c>
      <x:c r="X144" s="11" t="str">
        <x:v>unavailable</x:v>
      </x:c>
      <x:c r="Y144" s="11" t="str">
        <x:v>https://www.alvy.sk/byt/10-b-05</x:v>
      </x:c>
      <x:c r="Z144" s="11" t="n">
        <x:v>46251.740894027775</x:v>
      </x:c>
      <x:c r="AA144" s="11" t="n">
        <x:v>46254.51251577547</x:v>
      </x:c>
      <x:c r="AB144" s="11" t="n">
        <x:v>46254.51251577547</x:v>
      </x:c>
      <x:c r="AC144" t="str">
        <x:v>alvy</x:v>
      </x:c>
    </x:row>
    <x:row r="145" ht="22" customHeight="1">
      <x:c r="A145" t="str">
        <x:v>ALVY</x:v>
      </x:c>
      <x:c r="B145" t="str">
        <x:v>10.b.06</x:v>
      </x:c>
      <x:c r="C145" t="str">
        <x:v>not_for_sale</x:v>
      </x:c>
      <x:c r="D145" t="str">
        <x:v>present</x:v>
      </x:c>
      <x:c r="E145" t="str">
        <x:v>baseline</x:v>
      </x:c>
      <x:c r="F145" s="11" t="n">
        <x:v>46251.740894027775</x:v>
      </x:c>
      <x:c r="G145" t="str">
        <x:v>flat</x:v>
      </x:c>
      <x:c r="H145" s="12" t="n">
        <x:v>1</x:v>
      </x:c>
      <x:c r="I145" s="13" t="n">
        <x:v>10</x:v>
      </x:c>
      <x:c r="J145" t="str">
        <x:v>SO 100</x:v>
      </x:c>
      <x:c r="K145" s="14" t="n">
        <x:v>35.38</x:v>
      </x:c>
      <x:c r="L145" s="14"/>
      <x:c r="M145" s="14"/>
      <x:c r="N145" s="14"/>
      <x:c r="O145" s="14"/>
      <x:c r="P145" s="14" t="n">
        <x:v>6.18</x:v>
      </x:c>
      <x:c r="Q145" s="14" t="n">
        <x:v>41.56</x:v>
      </x:c>
      <x:c r="R145" s="15"/>
      <x:c r="S145" s="15"/>
      <x:c r="T145" s="15"/>
      <x:c r="U145" s="16"/>
      <x:c r="V145" t="str">
        <x:v>Alto Real Estate</x:v>
      </x:c>
      <x:c r="W145" t="str">
        <x:v>Ružinov</x:v>
      </x:c>
      <x:c r="X145" s="11" t="str">
        <x:v>unavailable</x:v>
      </x:c>
      <x:c r="Y145" s="11" t="str">
        <x:v>https://www.alvy.sk/byt/10-b-06</x:v>
      </x:c>
      <x:c r="Z145" s="11" t="n">
        <x:v>46251.740894027775</x:v>
      </x:c>
      <x:c r="AA145" s="11" t="n">
        <x:v>46254.51251577547</x:v>
      </x:c>
      <x:c r="AB145" s="11" t="n">
        <x:v>46254.51251577547</x:v>
      </x:c>
      <x:c r="AC145" t="str">
        <x:v>alvy</x:v>
      </x:c>
    </x:row>
    <x:row r="146" ht="22" customHeight="1">
      <x:c r="A146" t="str">
        <x:v>ALVY</x:v>
      </x:c>
      <x:c r="B146" t="str">
        <x:v>10.b.07</x:v>
      </x:c>
      <x:c r="C146" t="str">
        <x:v>not_for_sale</x:v>
      </x:c>
      <x:c r="D146" t="str">
        <x:v>present</x:v>
      </x:c>
      <x:c r="E146" t="str">
        <x:v>baseline</x:v>
      </x:c>
      <x:c r="F146" s="11" t="n">
        <x:v>46251.740894027775</x:v>
      </x:c>
      <x:c r="G146" t="str">
        <x:v>flat</x:v>
      </x:c>
      <x:c r="H146" s="12" t="n">
        <x:v>3</x:v>
      </x:c>
      <x:c r="I146" s="13" t="n">
        <x:v>10</x:v>
      </x:c>
      <x:c r="J146" t="str">
        <x:v>SO 100</x:v>
      </x:c>
      <x:c r="K146" s="14" t="n">
        <x:v>74.52</x:v>
      </x:c>
      <x:c r="L146" s="14"/>
      <x:c r="M146" s="14"/>
      <x:c r="N146" s="14"/>
      <x:c r="O146" s="14"/>
      <x:c r="P146" s="14" t="n">
        <x:v>11.19</x:v>
      </x:c>
      <x:c r="Q146" s="14" t="n">
        <x:v>85.71</x:v>
      </x:c>
      <x:c r="R146" s="15"/>
      <x:c r="S146" s="15"/>
      <x:c r="T146" s="15"/>
      <x:c r="U146" s="16"/>
      <x:c r="V146" t="str">
        <x:v>Alto Real Estate</x:v>
      </x:c>
      <x:c r="W146" t="str">
        <x:v>Ružinov</x:v>
      </x:c>
      <x:c r="X146" s="11" t="str">
        <x:v>unavailable</x:v>
      </x:c>
      <x:c r="Y146" s="11" t="str">
        <x:v>https://www.alvy.sk/byt/10-b-07</x:v>
      </x:c>
      <x:c r="Z146" s="11" t="n">
        <x:v>46251.740894027775</x:v>
      </x:c>
      <x:c r="AA146" s="11" t="n">
        <x:v>46254.51251577547</x:v>
      </x:c>
      <x:c r="AB146" s="11" t="n">
        <x:v>46254.51251577547</x:v>
      </x:c>
      <x:c r="AC146" t="str">
        <x:v>alvy</x:v>
      </x:c>
    </x:row>
    <x:row r="147" ht="22" customHeight="1">
      <x:c r="A147" t="str">
        <x:v>ALVY</x:v>
      </x:c>
      <x:c r="B147" t="str">
        <x:v>10.b.08</x:v>
      </x:c>
      <x:c r="C147" t="str">
        <x:v>not_for_sale</x:v>
      </x:c>
      <x:c r="D147" t="str">
        <x:v>present</x:v>
      </x:c>
      <x:c r="E147" t="str">
        <x:v>baseline</x:v>
      </x:c>
      <x:c r="F147" s="11" t="n">
        <x:v>46251.740894027775</x:v>
      </x:c>
      <x:c r="G147" t="str">
        <x:v>flat</x:v>
      </x:c>
      <x:c r="H147" s="12" t="n">
        <x:v>3</x:v>
      </x:c>
      <x:c r="I147" s="13" t="n">
        <x:v>10</x:v>
      </x:c>
      <x:c r="J147" t="str">
        <x:v>SO 100</x:v>
      </x:c>
      <x:c r="K147" s="14" t="n">
        <x:v>74.48</x:v>
      </x:c>
      <x:c r="L147" s="14"/>
      <x:c r="M147" s="14"/>
      <x:c r="N147" s="14"/>
      <x:c r="O147" s="14"/>
      <x:c r="P147" s="14" t="n">
        <x:v>11.19</x:v>
      </x:c>
      <x:c r="Q147" s="14" t="n">
        <x:v>85.67</x:v>
      </x:c>
      <x:c r="R147" s="15"/>
      <x:c r="S147" s="15"/>
      <x:c r="T147" s="15"/>
      <x:c r="U147" s="16"/>
      <x:c r="V147" t="str">
        <x:v>Alto Real Estate</x:v>
      </x:c>
      <x:c r="W147" t="str">
        <x:v>Ružinov</x:v>
      </x:c>
      <x:c r="X147" s="11" t="str">
        <x:v>unavailable</x:v>
      </x:c>
      <x:c r="Y147" s="11" t="str">
        <x:v>https://www.alvy.sk/byt/10-b-08</x:v>
      </x:c>
      <x:c r="Z147" s="11" t="n">
        <x:v>46251.740894027775</x:v>
      </x:c>
      <x:c r="AA147" s="11" t="n">
        <x:v>46254.51251577547</x:v>
      </x:c>
      <x:c r="AB147" s="11" t="n">
        <x:v>46254.51251577547</x:v>
      </x:c>
      <x:c r="AC147" t="str">
        <x:v>alvy</x:v>
      </x:c>
    </x:row>
    <x:row r="148" ht="22" customHeight="1">
      <x:c r="A148" t="str">
        <x:v>ALVY</x:v>
      </x:c>
      <x:c r="B148" t="str">
        <x:v>10.b.09</x:v>
      </x:c>
      <x:c r="C148" t="str">
        <x:v>not_for_sale</x:v>
      </x:c>
      <x:c r="D148" t="str">
        <x:v>present</x:v>
      </x:c>
      <x:c r="E148" t="str">
        <x:v>baseline</x:v>
      </x:c>
      <x:c r="F148" s="11" t="n">
        <x:v>46251.740894027775</x:v>
      </x:c>
      <x:c r="G148" t="str">
        <x:v>flat</x:v>
      </x:c>
      <x:c r="H148" s="12" t="n">
        <x:v>1</x:v>
      </x:c>
      <x:c r="I148" s="13" t="n">
        <x:v>10</x:v>
      </x:c>
      <x:c r="J148" t="str">
        <x:v>SO 100</x:v>
      </x:c>
      <x:c r="K148" s="14" t="n">
        <x:v>35.37</x:v>
      </x:c>
      <x:c r="L148" s="14"/>
      <x:c r="M148" s="14"/>
      <x:c r="N148" s="14"/>
      <x:c r="O148" s="14"/>
      <x:c r="P148" s="14" t="n">
        <x:v>6.18</x:v>
      </x:c>
      <x:c r="Q148" s="14" t="n">
        <x:v>41.55</x:v>
      </x:c>
      <x:c r="R148" s="15"/>
      <x:c r="S148" s="15"/>
      <x:c r="T148" s="15"/>
      <x:c r="U148" s="16"/>
      <x:c r="V148" t="str">
        <x:v>Alto Real Estate</x:v>
      </x:c>
      <x:c r="W148" t="str">
        <x:v>Ružinov</x:v>
      </x:c>
      <x:c r="X148" s="11" t="str">
        <x:v>unavailable</x:v>
      </x:c>
      <x:c r="Y148" s="11" t="str">
        <x:v>https://www.alvy.sk/byt/10-b-09</x:v>
      </x:c>
      <x:c r="Z148" s="11" t="n">
        <x:v>46251.740894027775</x:v>
      </x:c>
      <x:c r="AA148" s="11" t="n">
        <x:v>46254.51251577547</x:v>
      </x:c>
      <x:c r="AB148" s="11" t="n">
        <x:v>46254.51251577547</x:v>
      </x:c>
      <x:c r="AC148" t="str">
        <x:v>alvy</x:v>
      </x:c>
    </x:row>
    <x:row r="149" ht="22" customHeight="1">
      <x:c r="A149" t="str">
        <x:v>ALVY</x:v>
      </x:c>
      <x:c r="B149" t="str">
        <x:v>10.b.10</x:v>
      </x:c>
      <x:c r="C149" t="str">
        <x:v>not_for_sale</x:v>
      </x:c>
      <x:c r="D149" t="str">
        <x:v>present</x:v>
      </x:c>
      <x:c r="E149" t="str">
        <x:v>baseline</x:v>
      </x:c>
      <x:c r="F149" s="11" t="n">
        <x:v>46251.740894027775</x:v>
      </x:c>
      <x:c r="G149" t="str">
        <x:v>flat</x:v>
      </x:c>
      <x:c r="H149" s="12" t="n">
        <x:v>2</x:v>
      </x:c>
      <x:c r="I149" s="13" t="n">
        <x:v>10</x:v>
      </x:c>
      <x:c r="J149" t="str">
        <x:v>SO 100</x:v>
      </x:c>
      <x:c r="K149" s="14" t="n">
        <x:v>53.81</x:v>
      </x:c>
      <x:c r="L149" s="14"/>
      <x:c r="M149" s="14"/>
      <x:c r="N149" s="14"/>
      <x:c r="O149" s="14"/>
      <x:c r="P149" s="14" t="n">
        <x:v>10.33</x:v>
      </x:c>
      <x:c r="Q149" s="14" t="n">
        <x:v>64.14</x:v>
      </x:c>
      <x:c r="R149" s="15"/>
      <x:c r="S149" s="15"/>
      <x:c r="T149" s="15"/>
      <x:c r="U149" s="16"/>
      <x:c r="V149" t="str">
        <x:v>Alto Real Estate</x:v>
      </x:c>
      <x:c r="W149" t="str">
        <x:v>Ružinov</x:v>
      </x:c>
      <x:c r="X149" s="11" t="str">
        <x:v>unavailable</x:v>
      </x:c>
      <x:c r="Y149" s="11" t="str">
        <x:v>https://www.alvy.sk/byt/10-b-10</x:v>
      </x:c>
      <x:c r="Z149" s="11" t="n">
        <x:v>46251.740894027775</x:v>
      </x:c>
      <x:c r="AA149" s="11" t="n">
        <x:v>46254.51251577547</x:v>
      </x:c>
      <x:c r="AB149" s="11" t="n">
        <x:v>46254.51251577547</x:v>
      </x:c>
      <x:c r="AC149" t="str">
        <x:v>alvy</x:v>
      </x:c>
    </x:row>
    <x:row r="150" ht="22" customHeight="1">
      <x:c r="A150" t="str">
        <x:v>ALVY</x:v>
      </x:c>
      <x:c r="B150" t="str">
        <x:v>10.b.11</x:v>
      </x:c>
      <x:c r="C150" t="str">
        <x:v>not_for_sale</x:v>
      </x:c>
      <x:c r="D150" t="str">
        <x:v>present</x:v>
      </x:c>
      <x:c r="E150" t="str">
        <x:v>baseline</x:v>
      </x:c>
      <x:c r="F150" s="11" t="n">
        <x:v>46251.740894027775</x:v>
      </x:c>
      <x:c r="G150" t="str">
        <x:v>flat</x:v>
      </x:c>
      <x:c r="H150" s="12" t="n">
        <x:v>2</x:v>
      </x:c>
      <x:c r="I150" s="13" t="n">
        <x:v>10</x:v>
      </x:c>
      <x:c r="J150" t="str">
        <x:v>SO 100</x:v>
      </x:c>
      <x:c r="K150" s="14" t="n">
        <x:v>47.57</x:v>
      </x:c>
      <x:c r="L150" s="14"/>
      <x:c r="M150" s="14"/>
      <x:c r="N150" s="14"/>
      <x:c r="O150" s="14"/>
      <x:c r="P150" s="14" t="n">
        <x:v>10.33</x:v>
      </x:c>
      <x:c r="Q150" s="14" t="n">
        <x:v>57.9</x:v>
      </x:c>
      <x:c r="R150" s="15"/>
      <x:c r="S150" s="15"/>
      <x:c r="T150" s="15"/>
      <x:c r="U150" s="16"/>
      <x:c r="V150" t="str">
        <x:v>Alto Real Estate</x:v>
      </x:c>
      <x:c r="W150" t="str">
        <x:v>Ružinov</x:v>
      </x:c>
      <x:c r="X150" s="11" t="str">
        <x:v>unavailable</x:v>
      </x:c>
      <x:c r="Y150" s="11" t="str">
        <x:v>https://www.alvy.sk/byt/10-b-11</x:v>
      </x:c>
      <x:c r="Z150" s="11" t="n">
        <x:v>46251.740894027775</x:v>
      </x:c>
      <x:c r="AA150" s="11" t="n">
        <x:v>46254.51251577547</x:v>
      </x:c>
      <x:c r="AB150" s="11" t="n">
        <x:v>46254.51251577547</x:v>
      </x:c>
      <x:c r="AC150" t="str">
        <x:v>alvy</x:v>
      </x:c>
    </x:row>
    <x:row r="151" ht="22" customHeight="1">
      <x:c r="A151" t="str">
        <x:v>ALVY</x:v>
      </x:c>
      <x:c r="B151" t="str">
        <x:v>10.b.12</x:v>
      </x:c>
      <x:c r="C151" t="str">
        <x:v>not_for_sale</x:v>
      </x:c>
      <x:c r="D151" t="str">
        <x:v>present</x:v>
      </x:c>
      <x:c r="E151" t="str">
        <x:v>baseline</x:v>
      </x:c>
      <x:c r="F151" s="11" t="n">
        <x:v>46251.740894027775</x:v>
      </x:c>
      <x:c r="G151" t="str">
        <x:v>flat</x:v>
      </x:c>
      <x:c r="H151" s="12" t="n">
        <x:v>2</x:v>
      </x:c>
      <x:c r="I151" s="13" t="n">
        <x:v>10</x:v>
      </x:c>
      <x:c r="J151" t="str">
        <x:v>SO 100</x:v>
      </x:c>
      <x:c r="K151" s="14" t="n">
        <x:v>47.62</x:v>
      </x:c>
      <x:c r="L151" s="14"/>
      <x:c r="M151" s="14"/>
      <x:c r="N151" s="14"/>
      <x:c r="O151" s="14"/>
      <x:c r="P151" s="14" t="n">
        <x:v>10.33</x:v>
      </x:c>
      <x:c r="Q151" s="14" t="n">
        <x:v>57.95</x:v>
      </x:c>
      <x:c r="R151" s="15"/>
      <x:c r="S151" s="15"/>
      <x:c r="T151" s="15"/>
      <x:c r="U151" s="16"/>
      <x:c r="V151" t="str">
        <x:v>Alto Real Estate</x:v>
      </x:c>
      <x:c r="W151" t="str">
        <x:v>Ružinov</x:v>
      </x:c>
      <x:c r="X151" s="11" t="str">
        <x:v>unavailable</x:v>
      </x:c>
      <x:c r="Y151" s="11" t="str">
        <x:v>https://www.alvy.sk/byt/10-b-12</x:v>
      </x:c>
      <x:c r="Z151" s="11" t="n">
        <x:v>46251.740894027775</x:v>
      </x:c>
      <x:c r="AA151" s="11" t="n">
        <x:v>46254.51251577547</x:v>
      </x:c>
      <x:c r="AB151" s="11" t="n">
        <x:v>46254.51251577547</x:v>
      </x:c>
      <x:c r="AC151" t="str">
        <x:v>alvy</x:v>
      </x:c>
    </x:row>
    <x:row r="152" ht="22" customHeight="1">
      <x:c r="A152" t="str">
        <x:v>ALVY</x:v>
      </x:c>
      <x:c r="B152" t="str">
        <x:v>10.b.13</x:v>
      </x:c>
      <x:c r="C152" t="str">
        <x:v>not_for_sale</x:v>
      </x:c>
      <x:c r="D152" t="str">
        <x:v>present</x:v>
      </x:c>
      <x:c r="E152" t="str">
        <x:v>baseline</x:v>
      </x:c>
      <x:c r="F152" s="11" t="n">
        <x:v>46251.740894027775</x:v>
      </x:c>
      <x:c r="G152" t="str">
        <x:v>flat</x:v>
      </x:c>
      <x:c r="H152" s="12" t="n">
        <x:v>2</x:v>
      </x:c>
      <x:c r="I152" s="13" t="n">
        <x:v>10</x:v>
      </x:c>
      <x:c r="J152" t="str">
        <x:v>SO 100</x:v>
      </x:c>
      <x:c r="K152" s="14" t="n">
        <x:v>47.68</x:v>
      </x:c>
      <x:c r="L152" s="14"/>
      <x:c r="M152" s="14"/>
      <x:c r="N152" s="14"/>
      <x:c r="O152" s="14"/>
      <x:c r="P152" s="14" t="n">
        <x:v>10.33</x:v>
      </x:c>
      <x:c r="Q152" s="14" t="n">
        <x:v>58.01</x:v>
      </x:c>
      <x:c r="R152" s="15"/>
      <x:c r="S152" s="15"/>
      <x:c r="T152" s="15"/>
      <x:c r="U152" s="16"/>
      <x:c r="V152" t="str">
        <x:v>Alto Real Estate</x:v>
      </x:c>
      <x:c r="W152" t="str">
        <x:v>Ružinov</x:v>
      </x:c>
      <x:c r="X152" s="11" t="str">
        <x:v>unavailable</x:v>
      </x:c>
      <x:c r="Y152" s="11" t="str">
        <x:v>https://www.alvy.sk/byt/10-b-13</x:v>
      </x:c>
      <x:c r="Z152" s="11" t="n">
        <x:v>46251.740894027775</x:v>
      </x:c>
      <x:c r="AA152" s="11" t="n">
        <x:v>46254.51251577547</x:v>
      </x:c>
      <x:c r="AB152" s="11" t="n">
        <x:v>46254.51251577547</x:v>
      </x:c>
      <x:c r="AC152" t="str">
        <x:v>alvy</x:v>
      </x:c>
    </x:row>
    <x:row r="153" ht="22" customHeight="1">
      <x:c r="A153" t="str">
        <x:v>ALVY</x:v>
      </x:c>
      <x:c r="B153" t="str">
        <x:v>10.b.14</x:v>
      </x:c>
      <x:c r="C153" t="str">
        <x:v>not_for_sale</x:v>
      </x:c>
      <x:c r="D153" t="str">
        <x:v>present</x:v>
      </x:c>
      <x:c r="E153" t="str">
        <x:v>baseline</x:v>
      </x:c>
      <x:c r="F153" s="11" t="n">
        <x:v>46251.740894027775</x:v>
      </x:c>
      <x:c r="G153" t="str">
        <x:v>flat</x:v>
      </x:c>
      <x:c r="H153" s="12" t="n">
        <x:v>3</x:v>
      </x:c>
      <x:c r="I153" s="13" t="n">
        <x:v>10</x:v>
      </x:c>
      <x:c r="J153" t="str">
        <x:v>SO 100</x:v>
      </x:c>
      <x:c r="K153" s="14" t="n">
        <x:v>78.26</x:v>
      </x:c>
      <x:c r="L153" s="14"/>
      <x:c r="M153" s="14"/>
      <x:c r="N153" s="14"/>
      <x:c r="O153" s="14"/>
      <x:c r="P153" s="14" t="n">
        <x:v>27.2</x:v>
      </x:c>
      <x:c r="Q153" s="14" t="n">
        <x:v>105.46</x:v>
      </x:c>
      <x:c r="R153" s="15"/>
      <x:c r="S153" s="15"/>
      <x:c r="T153" s="15"/>
      <x:c r="U153" s="16"/>
      <x:c r="V153" t="str">
        <x:v>Alto Real Estate</x:v>
      </x:c>
      <x:c r="W153" t="str">
        <x:v>Ružinov</x:v>
      </x:c>
      <x:c r="X153" s="11" t="str">
        <x:v>unavailable</x:v>
      </x:c>
      <x:c r="Y153" s="11" t="str">
        <x:v>https://www.alvy.sk/byt/10-b-14</x:v>
      </x:c>
      <x:c r="Z153" s="11" t="n">
        <x:v>46251.740894027775</x:v>
      </x:c>
      <x:c r="AA153" s="11" t="n">
        <x:v>46254.51251577547</x:v>
      </x:c>
      <x:c r="AB153" s="11" t="n">
        <x:v>46254.51251577547</x:v>
      </x:c>
      <x:c r="AC153" t="str">
        <x:v>alvy</x:v>
      </x:c>
    </x:row>
    <x:row r="154" ht="22" customHeight="1">
      <x:c r="A154" t="str">
        <x:v>ALVY</x:v>
      </x:c>
      <x:c r="B154" t="str">
        <x:v>10.b.15</x:v>
      </x:c>
      <x:c r="C154" t="str">
        <x:v>not_for_sale</x:v>
      </x:c>
      <x:c r="D154" t="str">
        <x:v>present</x:v>
      </x:c>
      <x:c r="E154" t="str">
        <x:v>baseline</x:v>
      </x:c>
      <x:c r="F154" s="11" t="n">
        <x:v>46251.740894027775</x:v>
      </x:c>
      <x:c r="G154" t="str">
        <x:v>flat</x:v>
      </x:c>
      <x:c r="H154" s="12" t="n">
        <x:v>2</x:v>
      </x:c>
      <x:c r="I154" s="13" t="n">
        <x:v>10</x:v>
      </x:c>
      <x:c r="J154" t="str">
        <x:v>SO 100</x:v>
      </x:c>
      <x:c r="K154" s="14" t="n">
        <x:v>49.6</x:v>
      </x:c>
      <x:c r="L154" s="14"/>
      <x:c r="M154" s="14"/>
      <x:c r="N154" s="14"/>
      <x:c r="O154" s="14"/>
      <x:c r="P154" s="14" t="n">
        <x:v>9.63</x:v>
      </x:c>
      <x:c r="Q154" s="14" t="n">
        <x:v>59.23</x:v>
      </x:c>
      <x:c r="R154" s="15"/>
      <x:c r="S154" s="15"/>
      <x:c r="T154" s="15"/>
      <x:c r="U154" s="16"/>
      <x:c r="V154" t="str">
        <x:v>Alto Real Estate</x:v>
      </x:c>
      <x:c r="W154" t="str">
        <x:v>Ružinov</x:v>
      </x:c>
      <x:c r="X154" s="11" t="str">
        <x:v>unavailable</x:v>
      </x:c>
      <x:c r="Y154" s="11" t="str">
        <x:v>https://www.alvy.sk/byt/10-b-15</x:v>
      </x:c>
      <x:c r="Z154" s="11" t="n">
        <x:v>46251.740894027775</x:v>
      </x:c>
      <x:c r="AA154" s="11" t="n">
        <x:v>46254.51251577547</x:v>
      </x:c>
      <x:c r="AB154" s="11" t="n">
        <x:v>46254.51251577547</x:v>
      </x:c>
      <x:c r="AC154" t="str">
        <x:v>alvy</x:v>
      </x:c>
    </x:row>
    <x:row r="155" ht="22" customHeight="1">
      <x:c r="A155" t="str">
        <x:v>ALVY</x:v>
      </x:c>
      <x:c r="B155" t="str">
        <x:v>11.b.01</x:v>
      </x:c>
      <x:c r="C155" t="str">
        <x:v>not_for_sale</x:v>
      </x:c>
      <x:c r="D155" t="str">
        <x:v>present</x:v>
      </x:c>
      <x:c r="E155" t="str">
        <x:v>baseline</x:v>
      </x:c>
      <x:c r="F155" s="11" t="n">
        <x:v>46251.740894027775</x:v>
      </x:c>
      <x:c r="G155" t="str">
        <x:v>flat</x:v>
      </x:c>
      <x:c r="H155" s="12" t="n">
        <x:v>3</x:v>
      </x:c>
      <x:c r="I155" s="13" t="n">
        <x:v>11</x:v>
      </x:c>
      <x:c r="J155" t="str">
        <x:v>SO 100</x:v>
      </x:c>
      <x:c r="K155" s="14" t="n">
        <x:v>78.19</x:v>
      </x:c>
      <x:c r="L155" s="14"/>
      <x:c r="M155" s="14"/>
      <x:c r="N155" s="14"/>
      <x:c r="O155" s="14"/>
      <x:c r="P155" s="14" t="n">
        <x:v>27.2</x:v>
      </x:c>
      <x:c r="Q155" s="14" t="n">
        <x:v>105.39</x:v>
      </x:c>
      <x:c r="R155" s="15"/>
      <x:c r="S155" s="15"/>
      <x:c r="T155" s="15"/>
      <x:c r="U155" s="16"/>
      <x:c r="V155" t="str">
        <x:v>Alto Real Estate</x:v>
      </x:c>
      <x:c r="W155" t="str">
        <x:v>Ružinov</x:v>
      </x:c>
      <x:c r="X155" s="11" t="str">
        <x:v>unavailable</x:v>
      </x:c>
      <x:c r="Y155" s="11" t="str">
        <x:v>https://www.alvy.sk/byt/11-b-01</x:v>
      </x:c>
      <x:c r="Z155" s="11" t="n">
        <x:v>46251.740894027775</x:v>
      </x:c>
      <x:c r="AA155" s="11" t="n">
        <x:v>46254.51251577547</x:v>
      </x:c>
      <x:c r="AB155" s="11" t="n">
        <x:v>46254.51251577547</x:v>
      </x:c>
      <x:c r="AC155" t="str">
        <x:v>alvy</x:v>
      </x:c>
    </x:row>
    <x:row r="156" ht="22" customHeight="1">
      <x:c r="A156" t="str">
        <x:v>ALVY</x:v>
      </x:c>
      <x:c r="B156" t="str">
        <x:v>11.b.02</x:v>
      </x:c>
      <x:c r="C156" t="str">
        <x:v>not_for_sale</x:v>
      </x:c>
      <x:c r="D156" t="str">
        <x:v>present</x:v>
      </x:c>
      <x:c r="E156" t="str">
        <x:v>baseline</x:v>
      </x:c>
      <x:c r="F156" s="11" t="n">
        <x:v>46251.740894027775</x:v>
      </x:c>
      <x:c r="G156" t="str">
        <x:v>flat</x:v>
      </x:c>
      <x:c r="H156" s="12" t="n">
        <x:v>2</x:v>
      </x:c>
      <x:c r="I156" s="13" t="n">
        <x:v>11</x:v>
      </x:c>
      <x:c r="J156" t="str">
        <x:v>SO 100</x:v>
      </x:c>
      <x:c r="K156" s="14" t="n">
        <x:v>47.72</x:v>
      </x:c>
      <x:c r="L156" s="14"/>
      <x:c r="M156" s="14"/>
      <x:c r="N156" s="14"/>
      <x:c r="O156" s="14"/>
      <x:c r="P156" s="14" t="n">
        <x:v>10.33</x:v>
      </x:c>
      <x:c r="Q156" s="14" t="n">
        <x:v>58.05</x:v>
      </x:c>
      <x:c r="R156" s="15"/>
      <x:c r="S156" s="15"/>
      <x:c r="T156" s="15"/>
      <x:c r="U156" s="16"/>
      <x:c r="V156" t="str">
        <x:v>Alto Real Estate</x:v>
      </x:c>
      <x:c r="W156" t="str">
        <x:v>Ružinov</x:v>
      </x:c>
      <x:c r="X156" s="11" t="str">
        <x:v>unavailable</x:v>
      </x:c>
      <x:c r="Y156" s="11" t="str">
        <x:v>https://www.alvy.sk/byt/11-b-02</x:v>
      </x:c>
      <x:c r="Z156" s="11" t="n">
        <x:v>46251.740894027775</x:v>
      </x:c>
      <x:c r="AA156" s="11" t="n">
        <x:v>46254.51251577547</x:v>
      </x:c>
      <x:c r="AB156" s="11" t="n">
        <x:v>46254.51251577547</x:v>
      </x:c>
      <x:c r="AC156" t="str">
        <x:v>alvy</x:v>
      </x:c>
    </x:row>
    <x:row r="157" ht="22" customHeight="1">
      <x:c r="A157" t="str">
        <x:v>ALVY</x:v>
      </x:c>
      <x:c r="B157" t="str">
        <x:v>11.b.03</x:v>
      </x:c>
      <x:c r="C157" t="str">
        <x:v>not_for_sale</x:v>
      </x:c>
      <x:c r="D157" t="str">
        <x:v>present</x:v>
      </x:c>
      <x:c r="E157" t="str">
        <x:v>baseline</x:v>
      </x:c>
      <x:c r="F157" s="11" t="n">
        <x:v>46251.740894027775</x:v>
      </x:c>
      <x:c r="G157" t="str">
        <x:v>flat</x:v>
      </x:c>
      <x:c r="H157" s="12" t="n">
        <x:v>2</x:v>
      </x:c>
      <x:c r="I157" s="13" t="n">
        <x:v>11</x:v>
      </x:c>
      <x:c r="J157" t="str">
        <x:v>SO 100</x:v>
      </x:c>
      <x:c r="K157" s="14" t="n">
        <x:v>47.78</x:v>
      </x:c>
      <x:c r="L157" s="14"/>
      <x:c r="M157" s="14"/>
      <x:c r="N157" s="14"/>
      <x:c r="O157" s="14"/>
      <x:c r="P157" s="14" t="n">
        <x:v>10.33</x:v>
      </x:c>
      <x:c r="Q157" s="14" t="n">
        <x:v>58.11</x:v>
      </x:c>
      <x:c r="R157" s="15"/>
      <x:c r="S157" s="15"/>
      <x:c r="T157" s="15"/>
      <x:c r="U157" s="16"/>
      <x:c r="V157" t="str">
        <x:v>Alto Real Estate</x:v>
      </x:c>
      <x:c r="W157" t="str">
        <x:v>Ružinov</x:v>
      </x:c>
      <x:c r="X157" s="11" t="str">
        <x:v>unavailable</x:v>
      </x:c>
      <x:c r="Y157" s="11" t="str">
        <x:v>https://www.alvy.sk/byt/11-b-03</x:v>
      </x:c>
      <x:c r="Z157" s="11" t="n">
        <x:v>46251.740894027775</x:v>
      </x:c>
      <x:c r="AA157" s="11" t="n">
        <x:v>46254.51251577547</x:v>
      </x:c>
      <x:c r="AB157" s="11" t="n">
        <x:v>46254.51251577547</x:v>
      </x:c>
      <x:c r="AC157" t="str">
        <x:v>alvy</x:v>
      </x:c>
    </x:row>
    <x:row r="158" ht="22" customHeight="1">
      <x:c r="A158" t="str">
        <x:v>ALVY</x:v>
      </x:c>
      <x:c r="B158" t="str">
        <x:v>11.b.04</x:v>
      </x:c>
      <x:c r="C158" t="str">
        <x:v>sold</x:v>
      </x:c>
      <x:c r="D158" t="str">
        <x:v>present</x:v>
      </x:c>
      <x:c r="E158" t="str">
        <x:v>baseline</x:v>
      </x:c>
      <x:c r="F158" s="11" t="n">
        <x:v>46251.740894027775</x:v>
      </x:c>
      <x:c r="G158" t="str">
        <x:v>flat</x:v>
      </x:c>
      <x:c r="H158" s="12" t="n">
        <x:v>2</x:v>
      </x:c>
      <x:c r="I158" s="13" t="n">
        <x:v>11</x:v>
      </x:c>
      <x:c r="J158" t="str">
        <x:v>SO 100</x:v>
      </x:c>
      <x:c r="K158" s="14" t="n">
        <x:v>47.62</x:v>
      </x:c>
      <x:c r="L158" s="14"/>
      <x:c r="M158" s="14"/>
      <x:c r="N158" s="14"/>
      <x:c r="O158" s="14"/>
      <x:c r="P158" s="14" t="n">
        <x:v>10.33</x:v>
      </x:c>
      <x:c r="Q158" s="14" t="n">
        <x:v>57.95</x:v>
      </x:c>
      <x:c r="R158" s="15"/>
      <x:c r="S158" s="15"/>
      <x:c r="T158" s="15"/>
      <x:c r="U158" s="16"/>
      <x:c r="V158" t="str">
        <x:v>Alto Real Estate</x:v>
      </x:c>
      <x:c r="W158" t="str">
        <x:v>Ružinov</x:v>
      </x:c>
      <x:c r="X158" s="11" t="str">
        <x:v>sold</x:v>
      </x:c>
      <x:c r="Y158" s="11" t="str">
        <x:v>https://www.alvy.sk/byt/11-b-04</x:v>
      </x:c>
      <x:c r="Z158" s="11" t="n">
        <x:v>46251.740894027775</x:v>
      </x:c>
      <x:c r="AA158" s="11" t="n">
        <x:v>46254.51251577547</x:v>
      </x:c>
      <x:c r="AB158" s="11" t="n">
        <x:v>46254.51251577547</x:v>
      </x:c>
      <x:c r="AC158" t="str">
        <x:v>alvy</x:v>
      </x:c>
    </x:row>
    <x:row r="159" ht="22" customHeight="1">
      <x:c r="A159" t="str">
        <x:v>ALVY</x:v>
      </x:c>
      <x:c r="B159" t="str">
        <x:v>11.b.05</x:v>
      </x:c>
      <x:c r="C159" t="str">
        <x:v>not_for_sale</x:v>
      </x:c>
      <x:c r="D159" t="str">
        <x:v>present</x:v>
      </x:c>
      <x:c r="E159" t="str">
        <x:v>baseline</x:v>
      </x:c>
      <x:c r="F159" s="11" t="n">
        <x:v>46251.740894027775</x:v>
      </x:c>
      <x:c r="G159" t="str">
        <x:v>flat</x:v>
      </x:c>
      <x:c r="H159" s="12" t="n">
        <x:v>2</x:v>
      </x:c>
      <x:c r="I159" s="13" t="n">
        <x:v>11</x:v>
      </x:c>
      <x:c r="J159" t="str">
        <x:v>SO 100</x:v>
      </x:c>
      <x:c r="K159" s="14" t="n">
        <x:v>53.76</x:v>
      </x:c>
      <x:c r="L159" s="14"/>
      <x:c r="M159" s="14"/>
      <x:c r="N159" s="14"/>
      <x:c r="O159" s="14"/>
      <x:c r="P159" s="14" t="n">
        <x:v>10.33</x:v>
      </x:c>
      <x:c r="Q159" s="14" t="n">
        <x:v>64.09</x:v>
      </x:c>
      <x:c r="R159" s="15"/>
      <x:c r="S159" s="15"/>
      <x:c r="T159" s="15"/>
      <x:c r="U159" s="16"/>
      <x:c r="V159" t="str">
        <x:v>Alto Real Estate</x:v>
      </x:c>
      <x:c r="W159" t="str">
        <x:v>Ružinov</x:v>
      </x:c>
      <x:c r="X159" s="11" t="str">
        <x:v>unavailable</x:v>
      </x:c>
      <x:c r="Y159" s="11" t="str">
        <x:v>https://www.alvy.sk/byt/11-b-05</x:v>
      </x:c>
      <x:c r="Z159" s="11" t="n">
        <x:v>46251.740894027775</x:v>
      </x:c>
      <x:c r="AA159" s="11" t="n">
        <x:v>46254.51251577547</x:v>
      </x:c>
      <x:c r="AB159" s="11" t="n">
        <x:v>46254.51251577547</x:v>
      </x:c>
      <x:c r="AC159" t="str">
        <x:v>alvy</x:v>
      </x:c>
    </x:row>
    <x:row r="160" ht="22" customHeight="1">
      <x:c r="A160" t="str">
        <x:v>ALVY</x:v>
      </x:c>
      <x:c r="B160" t="str">
        <x:v>11.b.06</x:v>
      </x:c>
      <x:c r="C160" t="str">
        <x:v>not_for_sale</x:v>
      </x:c>
      <x:c r="D160" t="str">
        <x:v>present</x:v>
      </x:c>
      <x:c r="E160" t="str">
        <x:v>baseline</x:v>
      </x:c>
      <x:c r="F160" s="11" t="n">
        <x:v>46251.740894027775</x:v>
      </x:c>
      <x:c r="G160" t="str">
        <x:v>flat</x:v>
      </x:c>
      <x:c r="H160" s="12" t="n">
        <x:v>1</x:v>
      </x:c>
      <x:c r="I160" s="13" t="n">
        <x:v>11</x:v>
      </x:c>
      <x:c r="J160" t="str">
        <x:v>SO 100</x:v>
      </x:c>
      <x:c r="K160" s="14" t="n">
        <x:v>35.38</x:v>
      </x:c>
      <x:c r="L160" s="14"/>
      <x:c r="M160" s="14"/>
      <x:c r="N160" s="14"/>
      <x:c r="O160" s="14"/>
      <x:c r="P160" s="14" t="n">
        <x:v>6.18</x:v>
      </x:c>
      <x:c r="Q160" s="14" t="n">
        <x:v>41.56</x:v>
      </x:c>
      <x:c r="R160" s="15"/>
      <x:c r="S160" s="15"/>
      <x:c r="T160" s="15"/>
      <x:c r="U160" s="16"/>
      <x:c r="V160" t="str">
        <x:v>Alto Real Estate</x:v>
      </x:c>
      <x:c r="W160" t="str">
        <x:v>Ružinov</x:v>
      </x:c>
      <x:c r="X160" s="11" t="str">
        <x:v>unavailable</x:v>
      </x:c>
      <x:c r="Y160" s="11" t="str">
        <x:v>https://www.alvy.sk/byt/11-b-06</x:v>
      </x:c>
      <x:c r="Z160" s="11" t="n">
        <x:v>46251.740894027775</x:v>
      </x:c>
      <x:c r="AA160" s="11" t="n">
        <x:v>46254.51251577547</x:v>
      </x:c>
      <x:c r="AB160" s="11" t="n">
        <x:v>46254.51251577547</x:v>
      </x:c>
      <x:c r="AC160" t="str">
        <x:v>alvy</x:v>
      </x:c>
    </x:row>
    <x:row r="161" ht="22" customHeight="1">
      <x:c r="A161" t="str">
        <x:v>ALVY</x:v>
      </x:c>
      <x:c r="B161" t="str">
        <x:v>11.b.07</x:v>
      </x:c>
      <x:c r="C161" t="str">
        <x:v>not_for_sale</x:v>
      </x:c>
      <x:c r="D161" t="str">
        <x:v>present</x:v>
      </x:c>
      <x:c r="E161" t="str">
        <x:v>baseline</x:v>
      </x:c>
      <x:c r="F161" s="11" t="n">
        <x:v>46251.740894027775</x:v>
      </x:c>
      <x:c r="G161" t="str">
        <x:v>flat</x:v>
      </x:c>
      <x:c r="H161" s="12" t="n">
        <x:v>3</x:v>
      </x:c>
      <x:c r="I161" s="13" t="n">
        <x:v>11</x:v>
      </x:c>
      <x:c r="J161" t="str">
        <x:v>SO 100</x:v>
      </x:c>
      <x:c r="K161" s="14" t="n">
        <x:v>74.52</x:v>
      </x:c>
      <x:c r="L161" s="14"/>
      <x:c r="M161" s="14"/>
      <x:c r="N161" s="14"/>
      <x:c r="O161" s="14"/>
      <x:c r="P161" s="14" t="n">
        <x:v>11.19</x:v>
      </x:c>
      <x:c r="Q161" s="14" t="n">
        <x:v>85.71</x:v>
      </x:c>
      <x:c r="R161" s="15"/>
      <x:c r="S161" s="15"/>
      <x:c r="T161" s="15"/>
      <x:c r="U161" s="16"/>
      <x:c r="V161" t="str">
        <x:v>Alto Real Estate</x:v>
      </x:c>
      <x:c r="W161" t="str">
        <x:v>Ružinov</x:v>
      </x:c>
      <x:c r="X161" s="11" t="str">
        <x:v>unavailable</x:v>
      </x:c>
      <x:c r="Y161" s="11" t="str">
        <x:v>https://www.alvy.sk/byt/11-b-07</x:v>
      </x:c>
      <x:c r="Z161" s="11" t="n">
        <x:v>46251.740894027775</x:v>
      </x:c>
      <x:c r="AA161" s="11" t="n">
        <x:v>46254.51251577547</x:v>
      </x:c>
      <x:c r="AB161" s="11" t="n">
        <x:v>46254.51251577547</x:v>
      </x:c>
      <x:c r="AC161" t="str">
        <x:v>alvy</x:v>
      </x:c>
    </x:row>
    <x:row r="162" ht="22" customHeight="1">
      <x:c r="A162" t="str">
        <x:v>ALVY</x:v>
      </x:c>
      <x:c r="B162" t="str">
        <x:v>11.b.08</x:v>
      </x:c>
      <x:c r="C162" t="str">
        <x:v>not_for_sale</x:v>
      </x:c>
      <x:c r="D162" t="str">
        <x:v>present</x:v>
      </x:c>
      <x:c r="E162" t="str">
        <x:v>baseline</x:v>
      </x:c>
      <x:c r="F162" s="11" t="n">
        <x:v>46251.740894027775</x:v>
      </x:c>
      <x:c r="G162" t="str">
        <x:v>flat</x:v>
      </x:c>
      <x:c r="H162" s="12" t="n">
        <x:v>3</x:v>
      </x:c>
      <x:c r="I162" s="13" t="n">
        <x:v>11</x:v>
      </x:c>
      <x:c r="J162" t="str">
        <x:v>SO 100</x:v>
      </x:c>
      <x:c r="K162" s="14" t="n">
        <x:v>74.48</x:v>
      </x:c>
      <x:c r="L162" s="14"/>
      <x:c r="M162" s="14"/>
      <x:c r="N162" s="14"/>
      <x:c r="O162" s="14"/>
      <x:c r="P162" s="14" t="n">
        <x:v>11.19</x:v>
      </x:c>
      <x:c r="Q162" s="14" t="n">
        <x:v>85.67</x:v>
      </x:c>
      <x:c r="R162" s="15"/>
      <x:c r="S162" s="15"/>
      <x:c r="T162" s="15"/>
      <x:c r="U162" s="16"/>
      <x:c r="V162" t="str">
        <x:v>Alto Real Estate</x:v>
      </x:c>
      <x:c r="W162" t="str">
        <x:v>Ružinov</x:v>
      </x:c>
      <x:c r="X162" s="11" t="str">
        <x:v>unavailable</x:v>
      </x:c>
      <x:c r="Y162" s="11" t="str">
        <x:v>https://www.alvy.sk/byt/11-b-08</x:v>
      </x:c>
      <x:c r="Z162" s="11" t="n">
        <x:v>46251.740894027775</x:v>
      </x:c>
      <x:c r="AA162" s="11" t="n">
        <x:v>46254.51251577547</x:v>
      </x:c>
      <x:c r="AB162" s="11" t="n">
        <x:v>46254.51251577547</x:v>
      </x:c>
      <x:c r="AC162" t="str">
        <x:v>alvy</x:v>
      </x:c>
    </x:row>
    <x:row r="163" ht="22" customHeight="1">
      <x:c r="A163" t="str">
        <x:v>ALVY</x:v>
      </x:c>
      <x:c r="B163" t="str">
        <x:v>11.b.09</x:v>
      </x:c>
      <x:c r="C163" t="str">
        <x:v>not_for_sale</x:v>
      </x:c>
      <x:c r="D163" t="str">
        <x:v>present</x:v>
      </x:c>
      <x:c r="E163" t="str">
        <x:v>baseline</x:v>
      </x:c>
      <x:c r="F163" s="11" t="n">
        <x:v>46251.740894027775</x:v>
      </x:c>
      <x:c r="G163" t="str">
        <x:v>flat</x:v>
      </x:c>
      <x:c r="H163" s="12" t="n">
        <x:v>1</x:v>
      </x:c>
      <x:c r="I163" s="13" t="n">
        <x:v>11</x:v>
      </x:c>
      <x:c r="J163" t="str">
        <x:v>SO 100</x:v>
      </x:c>
      <x:c r="K163" s="14" t="n">
        <x:v>35.37</x:v>
      </x:c>
      <x:c r="L163" s="14"/>
      <x:c r="M163" s="14"/>
      <x:c r="N163" s="14"/>
      <x:c r="O163" s="14"/>
      <x:c r="P163" s="14" t="n">
        <x:v>6.18</x:v>
      </x:c>
      <x:c r="Q163" s="14" t="n">
        <x:v>41.55</x:v>
      </x:c>
      <x:c r="R163" s="15"/>
      <x:c r="S163" s="15"/>
      <x:c r="T163" s="15"/>
      <x:c r="U163" s="16"/>
      <x:c r="V163" t="str">
        <x:v>Alto Real Estate</x:v>
      </x:c>
      <x:c r="W163" t="str">
        <x:v>Ružinov</x:v>
      </x:c>
      <x:c r="X163" s="11" t="str">
        <x:v>unavailable</x:v>
      </x:c>
      <x:c r="Y163" s="11" t="str">
        <x:v>https://www.alvy.sk/byt/11-b-09</x:v>
      </x:c>
      <x:c r="Z163" s="11" t="n">
        <x:v>46251.740894027775</x:v>
      </x:c>
      <x:c r="AA163" s="11" t="n">
        <x:v>46254.51251577547</x:v>
      </x:c>
      <x:c r="AB163" s="11" t="n">
        <x:v>46254.51251577547</x:v>
      </x:c>
      <x:c r="AC163" t="str">
        <x:v>alvy</x:v>
      </x:c>
    </x:row>
    <x:row r="164" ht="22" customHeight="1">
      <x:c r="A164" t="str">
        <x:v>ALVY</x:v>
      </x:c>
      <x:c r="B164" t="str">
        <x:v>11.b.10</x:v>
      </x:c>
      <x:c r="C164" t="str">
        <x:v>not_for_sale</x:v>
      </x:c>
      <x:c r="D164" t="str">
        <x:v>present</x:v>
      </x:c>
      <x:c r="E164" t="str">
        <x:v>baseline</x:v>
      </x:c>
      <x:c r="F164" s="11" t="n">
        <x:v>46251.740894027775</x:v>
      </x:c>
      <x:c r="G164" t="str">
        <x:v>flat</x:v>
      </x:c>
      <x:c r="H164" s="12" t="n">
        <x:v>2</x:v>
      </x:c>
      <x:c r="I164" s="13" t="n">
        <x:v>11</x:v>
      </x:c>
      <x:c r="J164" t="str">
        <x:v>SO 100</x:v>
      </x:c>
      <x:c r="K164" s="14" t="n">
        <x:v>53.81</x:v>
      </x:c>
      <x:c r="L164" s="14"/>
      <x:c r="M164" s="14"/>
      <x:c r="N164" s="14"/>
      <x:c r="O164" s="14"/>
      <x:c r="P164" s="14" t="n">
        <x:v>10.33</x:v>
      </x:c>
      <x:c r="Q164" s="14" t="n">
        <x:v>64.14</x:v>
      </x:c>
      <x:c r="R164" s="15"/>
      <x:c r="S164" s="15"/>
      <x:c r="T164" s="15"/>
      <x:c r="U164" s="16"/>
      <x:c r="V164" t="str">
        <x:v>Alto Real Estate</x:v>
      </x:c>
      <x:c r="W164" t="str">
        <x:v>Ružinov</x:v>
      </x:c>
      <x:c r="X164" s="11" t="str">
        <x:v>unavailable</x:v>
      </x:c>
      <x:c r="Y164" s="11" t="str">
        <x:v>https://www.alvy.sk/byt/11-b-10</x:v>
      </x:c>
      <x:c r="Z164" s="11" t="n">
        <x:v>46251.740894027775</x:v>
      </x:c>
      <x:c r="AA164" s="11" t="n">
        <x:v>46254.51251577547</x:v>
      </x:c>
      <x:c r="AB164" s="11" t="n">
        <x:v>46254.51251577547</x:v>
      </x:c>
      <x:c r="AC164" t="str">
        <x:v>alvy</x:v>
      </x:c>
    </x:row>
    <x:row r="165" ht="22" customHeight="1">
      <x:c r="A165" t="str">
        <x:v>ALVY</x:v>
      </x:c>
      <x:c r="B165" t="str">
        <x:v>11.b.11</x:v>
      </x:c>
      <x:c r="C165" t="str">
        <x:v>not_for_sale</x:v>
      </x:c>
      <x:c r="D165" t="str">
        <x:v>present</x:v>
      </x:c>
      <x:c r="E165" t="str">
        <x:v>baseline</x:v>
      </x:c>
      <x:c r="F165" s="11" t="n">
        <x:v>46251.740894027775</x:v>
      </x:c>
      <x:c r="G165" t="str">
        <x:v>flat</x:v>
      </x:c>
      <x:c r="H165" s="12" t="n">
        <x:v>2</x:v>
      </x:c>
      <x:c r="I165" s="13" t="n">
        <x:v>11</x:v>
      </x:c>
      <x:c r="J165" t="str">
        <x:v>SO 100</x:v>
      </x:c>
      <x:c r="K165" s="14" t="n">
        <x:v>47.57</x:v>
      </x:c>
      <x:c r="L165" s="14"/>
      <x:c r="M165" s="14"/>
      <x:c r="N165" s="14"/>
      <x:c r="O165" s="14"/>
      <x:c r="P165" s="14" t="n">
        <x:v>10.33</x:v>
      </x:c>
      <x:c r="Q165" s="14" t="n">
        <x:v>57.9</x:v>
      </x:c>
      <x:c r="R165" s="15"/>
      <x:c r="S165" s="15"/>
      <x:c r="T165" s="15"/>
      <x:c r="U165" s="16"/>
      <x:c r="V165" t="str">
        <x:v>Alto Real Estate</x:v>
      </x:c>
      <x:c r="W165" t="str">
        <x:v>Ružinov</x:v>
      </x:c>
      <x:c r="X165" s="11" t="str">
        <x:v>unavailable</x:v>
      </x:c>
      <x:c r="Y165" s="11" t="str">
        <x:v>https://www.alvy.sk/byt/11-b-11</x:v>
      </x:c>
      <x:c r="Z165" s="11" t="n">
        <x:v>46251.740894027775</x:v>
      </x:c>
      <x:c r="AA165" s="11" t="n">
        <x:v>46254.51251577547</x:v>
      </x:c>
      <x:c r="AB165" s="11" t="n">
        <x:v>46254.51251577547</x:v>
      </x:c>
      <x:c r="AC165" t="str">
        <x:v>alvy</x:v>
      </x:c>
    </x:row>
    <x:row r="166" ht="22" customHeight="1">
      <x:c r="A166" t="str">
        <x:v>ALVY</x:v>
      </x:c>
      <x:c r="B166" t="str">
        <x:v>11.b.12</x:v>
      </x:c>
      <x:c r="C166" t="str">
        <x:v>not_for_sale</x:v>
      </x:c>
      <x:c r="D166" t="str">
        <x:v>present</x:v>
      </x:c>
      <x:c r="E166" t="str">
        <x:v>baseline</x:v>
      </x:c>
      <x:c r="F166" s="11" t="n">
        <x:v>46251.740894027775</x:v>
      </x:c>
      <x:c r="G166" t="str">
        <x:v>flat</x:v>
      </x:c>
      <x:c r="H166" s="12" t="n">
        <x:v>2</x:v>
      </x:c>
      <x:c r="I166" s="13" t="n">
        <x:v>11</x:v>
      </x:c>
      <x:c r="J166" t="str">
        <x:v>SO 100</x:v>
      </x:c>
      <x:c r="K166" s="14" t="n">
        <x:v>47.62</x:v>
      </x:c>
      <x:c r="L166" s="14"/>
      <x:c r="M166" s="14"/>
      <x:c r="N166" s="14"/>
      <x:c r="O166" s="14"/>
      <x:c r="P166" s="14" t="n">
        <x:v>10.33</x:v>
      </x:c>
      <x:c r="Q166" s="14" t="n">
        <x:v>57.95</x:v>
      </x:c>
      <x:c r="R166" s="15"/>
      <x:c r="S166" s="15"/>
      <x:c r="T166" s="15"/>
      <x:c r="U166" s="16"/>
      <x:c r="V166" t="str">
        <x:v>Alto Real Estate</x:v>
      </x:c>
      <x:c r="W166" t="str">
        <x:v>Ružinov</x:v>
      </x:c>
      <x:c r="X166" s="11" t="str">
        <x:v>unavailable</x:v>
      </x:c>
      <x:c r="Y166" s="11" t="str">
        <x:v>https://www.alvy.sk/byt/11-b-12</x:v>
      </x:c>
      <x:c r="Z166" s="11" t="n">
        <x:v>46251.740894027775</x:v>
      </x:c>
      <x:c r="AA166" s="11" t="n">
        <x:v>46254.51251577547</x:v>
      </x:c>
      <x:c r="AB166" s="11" t="n">
        <x:v>46254.51251577547</x:v>
      </x:c>
      <x:c r="AC166" t="str">
        <x:v>alvy</x:v>
      </x:c>
    </x:row>
    <x:row r="167" ht="22" customHeight="1">
      <x:c r="A167" t="str">
        <x:v>ALVY</x:v>
      </x:c>
      <x:c r="B167" t="str">
        <x:v>11.b.13</x:v>
      </x:c>
      <x:c r="C167" t="str">
        <x:v>not_for_sale</x:v>
      </x:c>
      <x:c r="D167" t="str">
        <x:v>present</x:v>
      </x:c>
      <x:c r="E167" t="str">
        <x:v>baseline</x:v>
      </x:c>
      <x:c r="F167" s="11" t="n">
        <x:v>46251.740894027775</x:v>
      </x:c>
      <x:c r="G167" t="str">
        <x:v>flat</x:v>
      </x:c>
      <x:c r="H167" s="12" t="n">
        <x:v>2</x:v>
      </x:c>
      <x:c r="I167" s="13" t="n">
        <x:v>11</x:v>
      </x:c>
      <x:c r="J167" t="str">
        <x:v>SO 100</x:v>
      </x:c>
      <x:c r="K167" s="14" t="n">
        <x:v>47.68</x:v>
      </x:c>
      <x:c r="L167" s="14"/>
      <x:c r="M167" s="14"/>
      <x:c r="N167" s="14"/>
      <x:c r="O167" s="14"/>
      <x:c r="P167" s="14" t="n">
        <x:v>10.33</x:v>
      </x:c>
      <x:c r="Q167" s="14" t="n">
        <x:v>58.01</x:v>
      </x:c>
      <x:c r="R167" s="15"/>
      <x:c r="S167" s="15"/>
      <x:c r="T167" s="15"/>
      <x:c r="U167" s="16"/>
      <x:c r="V167" t="str">
        <x:v>Alto Real Estate</x:v>
      </x:c>
      <x:c r="W167" t="str">
        <x:v>Ružinov</x:v>
      </x:c>
      <x:c r="X167" s="11" t="str">
        <x:v>unavailable</x:v>
      </x:c>
      <x:c r="Y167" s="11" t="str">
        <x:v>https://www.alvy.sk/byt/11-b-13</x:v>
      </x:c>
      <x:c r="Z167" s="11" t="n">
        <x:v>46251.740894027775</x:v>
      </x:c>
      <x:c r="AA167" s="11" t="n">
        <x:v>46254.51251577547</x:v>
      </x:c>
      <x:c r="AB167" s="11" t="n">
        <x:v>46254.51251577547</x:v>
      </x:c>
      <x:c r="AC167" t="str">
        <x:v>alvy</x:v>
      </x:c>
    </x:row>
    <x:row r="168" ht="22" customHeight="1">
      <x:c r="A168" t="str">
        <x:v>ALVY</x:v>
      </x:c>
      <x:c r="B168" t="str">
        <x:v>11.b.14</x:v>
      </x:c>
      <x:c r="C168" t="str">
        <x:v>not_for_sale</x:v>
      </x:c>
      <x:c r="D168" t="str">
        <x:v>present</x:v>
      </x:c>
      <x:c r="E168" t="str">
        <x:v>baseline</x:v>
      </x:c>
      <x:c r="F168" s="11" t="n">
        <x:v>46251.740894027775</x:v>
      </x:c>
      <x:c r="G168" t="str">
        <x:v>flat</x:v>
      </x:c>
      <x:c r="H168" s="12" t="n">
        <x:v>3</x:v>
      </x:c>
      <x:c r="I168" s="13" t="n">
        <x:v>11</x:v>
      </x:c>
      <x:c r="J168" t="str">
        <x:v>SO 100</x:v>
      </x:c>
      <x:c r="K168" s="14" t="n">
        <x:v>78.26</x:v>
      </x:c>
      <x:c r="L168" s="14"/>
      <x:c r="M168" s="14"/>
      <x:c r="N168" s="14"/>
      <x:c r="O168" s="14"/>
      <x:c r="P168" s="14" t="n">
        <x:v>27.2</x:v>
      </x:c>
      <x:c r="Q168" s="14" t="n">
        <x:v>105.46</x:v>
      </x:c>
      <x:c r="R168" s="15"/>
      <x:c r="S168" s="15"/>
      <x:c r="T168" s="15"/>
      <x:c r="U168" s="16"/>
      <x:c r="V168" t="str">
        <x:v>Alto Real Estate</x:v>
      </x:c>
      <x:c r="W168" t="str">
        <x:v>Ružinov</x:v>
      </x:c>
      <x:c r="X168" s="11" t="str">
        <x:v>unavailable</x:v>
      </x:c>
      <x:c r="Y168" s="11" t="str">
        <x:v>https://www.alvy.sk/byt/11-b-14</x:v>
      </x:c>
      <x:c r="Z168" s="11" t="n">
        <x:v>46251.740894027775</x:v>
      </x:c>
      <x:c r="AA168" s="11" t="n">
        <x:v>46254.51251577547</x:v>
      </x:c>
      <x:c r="AB168" s="11" t="n">
        <x:v>46254.51251577547</x:v>
      </x:c>
      <x:c r="AC168" t="str">
        <x:v>alvy</x:v>
      </x:c>
    </x:row>
    <x:row r="169" ht="22" customHeight="1">
      <x:c r="A169" t="str">
        <x:v>ALVY</x:v>
      </x:c>
      <x:c r="B169" t="str">
        <x:v>11.b.15</x:v>
      </x:c>
      <x:c r="C169" t="str">
        <x:v>not_for_sale</x:v>
      </x:c>
      <x:c r="D169" t="str">
        <x:v>present</x:v>
      </x:c>
      <x:c r="E169" t="str">
        <x:v>baseline</x:v>
      </x:c>
      <x:c r="F169" s="11" t="n">
        <x:v>46251.740894027775</x:v>
      </x:c>
      <x:c r="G169" t="str">
        <x:v>flat</x:v>
      </x:c>
      <x:c r="H169" s="12" t="n">
        <x:v>2</x:v>
      </x:c>
      <x:c r="I169" s="13" t="n">
        <x:v>11</x:v>
      </x:c>
      <x:c r="J169" t="str">
        <x:v>SO 100</x:v>
      </x:c>
      <x:c r="K169" s="14" t="n">
        <x:v>49.6</x:v>
      </x:c>
      <x:c r="L169" s="14"/>
      <x:c r="M169" s="14"/>
      <x:c r="N169" s="14"/>
      <x:c r="O169" s="14"/>
      <x:c r="P169" s="14" t="n">
        <x:v>9.63</x:v>
      </x:c>
      <x:c r="Q169" s="14" t="n">
        <x:v>59.23</x:v>
      </x:c>
      <x:c r="R169" s="15"/>
      <x:c r="S169" s="15"/>
      <x:c r="T169" s="15"/>
      <x:c r="U169" s="16"/>
      <x:c r="V169" t="str">
        <x:v>Alto Real Estate</x:v>
      </x:c>
      <x:c r="W169" t="str">
        <x:v>Ružinov</x:v>
      </x:c>
      <x:c r="X169" s="11" t="str">
        <x:v>unavailable</x:v>
      </x:c>
      <x:c r="Y169" s="11" t="str">
        <x:v>https://www.alvy.sk/byt/11-b-15</x:v>
      </x:c>
      <x:c r="Z169" s="11" t="n">
        <x:v>46251.740894027775</x:v>
      </x:c>
      <x:c r="AA169" s="11" t="n">
        <x:v>46254.51251577547</x:v>
      </x:c>
      <x:c r="AB169" s="11" t="n">
        <x:v>46254.51251577547</x:v>
      </x:c>
      <x:c r="AC169" t="str">
        <x:v>alvy</x:v>
      </x:c>
    </x:row>
    <x:row r="170" ht="22" customHeight="1">
      <x:c r="A170" t="str">
        <x:v>ALVY</x:v>
      </x:c>
      <x:c r="B170" t="str">
        <x:v>12.b.01</x:v>
      </x:c>
      <x:c r="C170" t="str">
        <x:v>not_for_sale</x:v>
      </x:c>
      <x:c r="D170" t="str">
        <x:v>present</x:v>
      </x:c>
      <x:c r="E170" t="str">
        <x:v>baseline</x:v>
      </x:c>
      <x:c r="F170" s="11" t="n">
        <x:v>46251.740894027775</x:v>
      </x:c>
      <x:c r="G170" t="str">
        <x:v>flat</x:v>
      </x:c>
      <x:c r="H170" s="12" t="n">
        <x:v>4</x:v>
      </x:c>
      <x:c r="I170" s="13" t="n">
        <x:v>12</x:v>
      </x:c>
      <x:c r="J170" t="str">
        <x:v>SO 100</x:v>
      </x:c>
      <x:c r="K170" s="14" t="n">
        <x:v>103.99</x:v>
      </x:c>
      <x:c r="L170" s="14"/>
      <x:c r="M170" s="14"/>
      <x:c r="N170" s="14"/>
      <x:c r="O170" s="14"/>
      <x:c r="P170" s="14" t="n">
        <x:v>31.96</x:v>
      </x:c>
      <x:c r="Q170" s="14" t="n">
        <x:v>135.95</x:v>
      </x:c>
      <x:c r="R170" s="15"/>
      <x:c r="S170" s="15"/>
      <x:c r="T170" s="15"/>
      <x:c r="U170" s="16"/>
      <x:c r="V170" t="str">
        <x:v>Alto Real Estate</x:v>
      </x:c>
      <x:c r="W170" t="str">
        <x:v>Ružinov</x:v>
      </x:c>
      <x:c r="X170" s="11" t="str">
        <x:v>unavailable</x:v>
      </x:c>
      <x:c r="Y170" s="11" t="str">
        <x:v>https://www.alvy.sk/byt/12-b-01</x:v>
      </x:c>
      <x:c r="Z170" s="11" t="n">
        <x:v>46251.740894027775</x:v>
      </x:c>
      <x:c r="AA170" s="11" t="n">
        <x:v>46254.51251577547</x:v>
      </x:c>
      <x:c r="AB170" s="11" t="n">
        <x:v>46254.51251577547</x:v>
      </x:c>
      <x:c r="AC170" t="str">
        <x:v>alvy</x:v>
      </x:c>
    </x:row>
    <x:row r="171" ht="22" customHeight="1">
      <x:c r="A171" t="str">
        <x:v>ALVY</x:v>
      </x:c>
      <x:c r="B171" t="str">
        <x:v>12.b.02</x:v>
      </x:c>
      <x:c r="C171" t="str">
        <x:v>not_for_sale</x:v>
      </x:c>
      <x:c r="D171" t="str">
        <x:v>present</x:v>
      </x:c>
      <x:c r="E171" t="str">
        <x:v>baseline</x:v>
      </x:c>
      <x:c r="F171" s="11" t="n">
        <x:v>46251.740894027775</x:v>
      </x:c>
      <x:c r="G171" t="str">
        <x:v>flat</x:v>
      </x:c>
      <x:c r="H171" s="12" t="n">
        <x:v>3</x:v>
      </x:c>
      <x:c r="I171" s="13" t="n">
        <x:v>12</x:v>
      </x:c>
      <x:c r="J171" t="str">
        <x:v>SO 100</x:v>
      </x:c>
      <x:c r="K171" s="14" t="n">
        <x:v>72.15</x:v>
      </x:c>
      <x:c r="L171" s="14"/>
      <x:c r="M171" s="14"/>
      <x:c r="N171" s="14"/>
      <x:c r="O171" s="14"/>
      <x:c r="P171" s="14" t="n">
        <x:v>16.02</x:v>
      </x:c>
      <x:c r="Q171" s="14" t="n">
        <x:v>88.17</x:v>
      </x:c>
      <x:c r="R171" s="15"/>
      <x:c r="S171" s="15"/>
      <x:c r="T171" s="15"/>
      <x:c r="U171" s="16"/>
      <x:c r="V171" t="str">
        <x:v>Alto Real Estate</x:v>
      </x:c>
      <x:c r="W171" t="str">
        <x:v>Ružinov</x:v>
      </x:c>
      <x:c r="X171" s="11" t="str">
        <x:v>unavailable</x:v>
      </x:c>
      <x:c r="Y171" s="11" t="str">
        <x:v>https://www.alvy.sk/byt/12-b-02</x:v>
      </x:c>
      <x:c r="Z171" s="11" t="n">
        <x:v>46251.740894027775</x:v>
      </x:c>
      <x:c r="AA171" s="11" t="n">
        <x:v>46254.51251577547</x:v>
      </x:c>
      <x:c r="AB171" s="11" t="n">
        <x:v>46254.51251577547</x:v>
      </x:c>
      <x:c r="AC171" t="str">
        <x:v>alvy</x:v>
      </x:c>
    </x:row>
    <x:row r="172" ht="22" customHeight="1">
      <x:c r="A172" t="str">
        <x:v>ALVY</x:v>
      </x:c>
      <x:c r="B172" t="str">
        <x:v>12.b.03</x:v>
      </x:c>
      <x:c r="C172" t="str">
        <x:v>not_for_sale</x:v>
      </x:c>
      <x:c r="D172" t="str">
        <x:v>present</x:v>
      </x:c>
      <x:c r="E172" t="str">
        <x:v>baseline</x:v>
      </x:c>
      <x:c r="F172" s="11" t="n">
        <x:v>46251.740894027775</x:v>
      </x:c>
      <x:c r="G172" t="str">
        <x:v>flat</x:v>
      </x:c>
      <x:c r="H172" s="12" t="n">
        <x:v>3</x:v>
      </x:c>
      <x:c r="I172" s="13" t="n">
        <x:v>12</x:v>
      </x:c>
      <x:c r="J172" t="str">
        <x:v>SO 100</x:v>
      </x:c>
      <x:c r="K172" s="14" t="n">
        <x:v>68.37</x:v>
      </x:c>
      <x:c r="L172" s="14"/>
      <x:c r="M172" s="14"/>
      <x:c r="N172" s="14"/>
      <x:c r="O172" s="14"/>
      <x:c r="P172" s="14" t="n">
        <x:v>15.06</x:v>
      </x:c>
      <x:c r="Q172" s="14" t="n">
        <x:v>83.43</x:v>
      </x:c>
      <x:c r="R172" s="15"/>
      <x:c r="S172" s="15"/>
      <x:c r="T172" s="15"/>
      <x:c r="U172" s="16"/>
      <x:c r="V172" t="str">
        <x:v>Alto Real Estate</x:v>
      </x:c>
      <x:c r="W172" t="str">
        <x:v>Ružinov</x:v>
      </x:c>
      <x:c r="X172" s="11" t="str">
        <x:v>unavailable</x:v>
      </x:c>
      <x:c r="Y172" s="11" t="str">
        <x:v>https://www.alvy.sk/byt/12-b-03</x:v>
      </x:c>
      <x:c r="Z172" s="11" t="n">
        <x:v>46251.740894027775</x:v>
      </x:c>
      <x:c r="AA172" s="11" t="n">
        <x:v>46254.51251577547</x:v>
      </x:c>
      <x:c r="AB172" s="11" t="n">
        <x:v>46254.51251577547</x:v>
      </x:c>
      <x:c r="AC172" t="str">
        <x:v>alvy</x:v>
      </x:c>
    </x:row>
    <x:row r="173" ht="22" customHeight="1">
      <x:c r="A173" t="str">
        <x:v>ALVY</x:v>
      </x:c>
      <x:c r="B173" t="str">
        <x:v>12.b.04</x:v>
      </x:c>
      <x:c r="C173" t="str">
        <x:v>not_for_sale</x:v>
      </x:c>
      <x:c r="D173" t="str">
        <x:v>present</x:v>
      </x:c>
      <x:c r="E173" t="str">
        <x:v>baseline</x:v>
      </x:c>
      <x:c r="F173" s="11" t="n">
        <x:v>46251.740894027775</x:v>
      </x:c>
      <x:c r="G173" t="str">
        <x:v>flat</x:v>
      </x:c>
      <x:c r="H173" s="12" t="n">
        <x:v>2</x:v>
      </x:c>
      <x:c r="I173" s="13" t="n">
        <x:v>12</x:v>
      </x:c>
      <x:c r="J173" t="str">
        <x:v>SO 100</x:v>
      </x:c>
      <x:c r="K173" s="14" t="n">
        <x:v>53.73</x:v>
      </x:c>
      <x:c r="L173" s="14"/>
      <x:c r="M173" s="14"/>
      <x:c r="N173" s="14"/>
      <x:c r="O173" s="14"/>
      <x:c r="P173" s="14" t="n">
        <x:v>10.33</x:v>
      </x:c>
      <x:c r="Q173" s="14" t="n">
        <x:v>64.06</x:v>
      </x:c>
      <x:c r="R173" s="15"/>
      <x:c r="S173" s="15"/>
      <x:c r="T173" s="15"/>
      <x:c r="U173" s="16"/>
      <x:c r="V173" t="str">
        <x:v>Alto Real Estate</x:v>
      </x:c>
      <x:c r="W173" t="str">
        <x:v>Ružinov</x:v>
      </x:c>
      <x:c r="X173" s="11" t="str">
        <x:v>unavailable</x:v>
      </x:c>
      <x:c r="Y173" s="11" t="str">
        <x:v>https://www.alvy.sk/byt/12-b-04</x:v>
      </x:c>
      <x:c r="Z173" s="11" t="n">
        <x:v>46251.740894027775</x:v>
      </x:c>
      <x:c r="AA173" s="11" t="n">
        <x:v>46254.51251577547</x:v>
      </x:c>
      <x:c r="AB173" s="11" t="n">
        <x:v>46254.51251577547</x:v>
      </x:c>
      <x:c r="AC173" t="str">
        <x:v>alvy</x:v>
      </x:c>
    </x:row>
    <x:row r="174" ht="22" customHeight="1">
      <x:c r="A174" t="str">
        <x:v>ALVY</x:v>
      </x:c>
      <x:c r="B174" t="str">
        <x:v>12.b.05</x:v>
      </x:c>
      <x:c r="C174" t="str">
        <x:v>not_for_sale</x:v>
      </x:c>
      <x:c r="D174" t="str">
        <x:v>present</x:v>
      </x:c>
      <x:c r="E174" t="str">
        <x:v>baseline</x:v>
      </x:c>
      <x:c r="F174" s="11" t="n">
        <x:v>46251.740894027775</x:v>
      </x:c>
      <x:c r="G174" t="str">
        <x:v>flat</x:v>
      </x:c>
      <x:c r="H174" s="12" t="n">
        <x:v>1</x:v>
      </x:c>
      <x:c r="I174" s="13" t="n">
        <x:v>12</x:v>
      </x:c>
      <x:c r="J174" t="str">
        <x:v>SO 100</x:v>
      </x:c>
      <x:c r="K174" s="14" t="n">
        <x:v>35.52</x:v>
      </x:c>
      <x:c r="L174" s="14"/>
      <x:c r="M174" s="14"/>
      <x:c r="N174" s="14"/>
      <x:c r="O174" s="14"/>
      <x:c r="P174" s="14" t="n">
        <x:v>6.18</x:v>
      </x:c>
      <x:c r="Q174" s="14" t="n">
        <x:v>41.7</x:v>
      </x:c>
      <x:c r="R174" s="15"/>
      <x:c r="S174" s="15"/>
      <x:c r="T174" s="15"/>
      <x:c r="U174" s="16"/>
      <x:c r="V174" t="str">
        <x:v>Alto Real Estate</x:v>
      </x:c>
      <x:c r="W174" t="str">
        <x:v>Ružinov</x:v>
      </x:c>
      <x:c r="X174" s="11" t="str">
        <x:v>unavailable</x:v>
      </x:c>
      <x:c r="Y174" s="11" t="str">
        <x:v>https://www.alvy.sk/byt/12-b-05</x:v>
      </x:c>
      <x:c r="Z174" s="11" t="n">
        <x:v>46251.740894027775</x:v>
      </x:c>
      <x:c r="AA174" s="11" t="n">
        <x:v>46254.51251577547</x:v>
      </x:c>
      <x:c r="AB174" s="11" t="n">
        <x:v>46254.51251577547</x:v>
      </x:c>
      <x:c r="AC174" t="str">
        <x:v>alvy</x:v>
      </x:c>
    </x:row>
    <x:row r="175" ht="22" customHeight="1">
      <x:c r="A175" t="str">
        <x:v>ALVY</x:v>
      </x:c>
      <x:c r="B175" t="str">
        <x:v>12.b.06</x:v>
      </x:c>
      <x:c r="C175" t="str">
        <x:v>not_for_sale</x:v>
      </x:c>
      <x:c r="D175" t="str">
        <x:v>present</x:v>
      </x:c>
      <x:c r="E175" t="str">
        <x:v>baseline</x:v>
      </x:c>
      <x:c r="F175" s="11" t="n">
        <x:v>46251.740894027775</x:v>
      </x:c>
      <x:c r="G175" t="str">
        <x:v>flat</x:v>
      </x:c>
      <x:c r="H175" s="12" t="n">
        <x:v>3</x:v>
      </x:c>
      <x:c r="I175" s="13" t="n">
        <x:v>12</x:v>
      </x:c>
      <x:c r="J175" t="str">
        <x:v>SO 100</x:v>
      </x:c>
      <x:c r="K175" s="14" t="n">
        <x:v>74.36</x:v>
      </x:c>
      <x:c r="L175" s="14"/>
      <x:c r="M175" s="14"/>
      <x:c r="N175" s="14"/>
      <x:c r="O175" s="14"/>
      <x:c r="P175" s="14" t="n">
        <x:v>11.19</x:v>
      </x:c>
      <x:c r="Q175" s="14" t="n">
        <x:v>85.55</x:v>
      </x:c>
      <x:c r="R175" s="15"/>
      <x:c r="S175" s="15"/>
      <x:c r="T175" s="15"/>
      <x:c r="U175" s="16"/>
      <x:c r="V175" t="str">
        <x:v>Alto Real Estate</x:v>
      </x:c>
      <x:c r="W175" t="str">
        <x:v>Ružinov</x:v>
      </x:c>
      <x:c r="X175" s="11" t="str">
        <x:v>unavailable</x:v>
      </x:c>
      <x:c r="Y175" s="11" t="str">
        <x:v>https://www.alvy.sk/byt/12-b-06</x:v>
      </x:c>
      <x:c r="Z175" s="11" t="n">
        <x:v>46251.740894027775</x:v>
      </x:c>
      <x:c r="AA175" s="11" t="n">
        <x:v>46254.51251577547</x:v>
      </x:c>
      <x:c r="AB175" s="11" t="n">
        <x:v>46254.51251577547</x:v>
      </x:c>
      <x:c r="AC175" t="str">
        <x:v>alvy</x:v>
      </x:c>
    </x:row>
    <x:row r="176" ht="22" customHeight="1">
      <x:c r="A176" t="str">
        <x:v>ALVY</x:v>
      </x:c>
      <x:c r="B176" t="str">
        <x:v>12.b.07</x:v>
      </x:c>
      <x:c r="C176" t="str">
        <x:v>not_for_sale</x:v>
      </x:c>
      <x:c r="D176" t="str">
        <x:v>present</x:v>
      </x:c>
      <x:c r="E176" t="str">
        <x:v>baseline</x:v>
      </x:c>
      <x:c r="F176" s="11" t="n">
        <x:v>46251.740894027775</x:v>
      </x:c>
      <x:c r="G176" t="str">
        <x:v>flat</x:v>
      </x:c>
      <x:c r="H176" s="12" t="n">
        <x:v>3</x:v>
      </x:c>
      <x:c r="I176" s="13" t="n">
        <x:v>12</x:v>
      </x:c>
      <x:c r="J176" t="str">
        <x:v>SO 100</x:v>
      </x:c>
      <x:c r="K176" s="14" t="n">
        <x:v>74.3</x:v>
      </x:c>
      <x:c r="L176" s="14"/>
      <x:c r="M176" s="14"/>
      <x:c r="N176" s="14"/>
      <x:c r="O176" s="14"/>
      <x:c r="P176" s="14" t="n">
        <x:v>11.2</x:v>
      </x:c>
      <x:c r="Q176" s="14" t="n">
        <x:v>85.5</x:v>
      </x:c>
      <x:c r="R176" s="15"/>
      <x:c r="S176" s="15"/>
      <x:c r="T176" s="15"/>
      <x:c r="U176" s="16"/>
      <x:c r="V176" t="str">
        <x:v>Alto Real Estate</x:v>
      </x:c>
      <x:c r="W176" t="str">
        <x:v>Ružinov</x:v>
      </x:c>
      <x:c r="X176" s="11" t="str">
        <x:v>unavailable</x:v>
      </x:c>
      <x:c r="Y176" s="11" t="str">
        <x:v>https://www.alvy.sk/byt/12-b-07</x:v>
      </x:c>
      <x:c r="Z176" s="11" t="n">
        <x:v>46251.740894027775</x:v>
      </x:c>
      <x:c r="AA176" s="11" t="n">
        <x:v>46254.51251577547</x:v>
      </x:c>
      <x:c r="AB176" s="11" t="n">
        <x:v>46254.51251577547</x:v>
      </x:c>
      <x:c r="AC176" t="str">
        <x:v>alvy</x:v>
      </x:c>
    </x:row>
    <x:row r="177" ht="22" customHeight="1">
      <x:c r="A177" t="str">
        <x:v>ALVY</x:v>
      </x:c>
      <x:c r="B177" t="str">
        <x:v>12.b.08</x:v>
      </x:c>
      <x:c r="C177" t="str">
        <x:v>not_for_sale</x:v>
      </x:c>
      <x:c r="D177" t="str">
        <x:v>present</x:v>
      </x:c>
      <x:c r="E177" t="str">
        <x:v>baseline</x:v>
      </x:c>
      <x:c r="F177" s="11" t="n">
        <x:v>46251.740894027775</x:v>
      </x:c>
      <x:c r="G177" t="str">
        <x:v>flat</x:v>
      </x:c>
      <x:c r="H177" s="12" t="n">
        <x:v>1</x:v>
      </x:c>
      <x:c r="I177" s="13" t="n">
        <x:v>12</x:v>
      </x:c>
      <x:c r="J177" t="str">
        <x:v>SO 100</x:v>
      </x:c>
      <x:c r="K177" s="14" t="n">
        <x:v>35.49</x:v>
      </x:c>
      <x:c r="L177" s="14"/>
      <x:c r="M177" s="14"/>
      <x:c r="N177" s="14"/>
      <x:c r="O177" s="14"/>
      <x:c r="P177" s="14" t="n">
        <x:v>6.18</x:v>
      </x:c>
      <x:c r="Q177" s="14" t="n">
        <x:v>41.67</x:v>
      </x:c>
      <x:c r="R177" s="15"/>
      <x:c r="S177" s="15"/>
      <x:c r="T177" s="15"/>
      <x:c r="U177" s="16"/>
      <x:c r="V177" t="str">
        <x:v>Alto Real Estate</x:v>
      </x:c>
      <x:c r="W177" t="str">
        <x:v>Ružinov</x:v>
      </x:c>
      <x:c r="X177" s="11" t="str">
        <x:v>unavailable</x:v>
      </x:c>
      <x:c r="Y177" s="11" t="str">
        <x:v>https://www.alvy.sk/byt/12-b-08</x:v>
      </x:c>
      <x:c r="Z177" s="11" t="n">
        <x:v>46251.740894027775</x:v>
      </x:c>
      <x:c r="AA177" s="11" t="n">
        <x:v>46254.51251577547</x:v>
      </x:c>
      <x:c r="AB177" s="11" t="n">
        <x:v>46254.51251577547</x:v>
      </x:c>
      <x:c r="AC177" t="str">
        <x:v>alvy</x:v>
      </x:c>
    </x:row>
    <x:row r="178" ht="22" customHeight="1">
      <x:c r="A178" t="str">
        <x:v>ALVY</x:v>
      </x:c>
      <x:c r="B178" t="str">
        <x:v>12.b.09</x:v>
      </x:c>
      <x:c r="C178" t="str">
        <x:v>not_for_sale</x:v>
      </x:c>
      <x:c r="D178" t="str">
        <x:v>present</x:v>
      </x:c>
      <x:c r="E178" t="str">
        <x:v>baseline</x:v>
      </x:c>
      <x:c r="F178" s="11" t="n">
        <x:v>46251.740894027775</x:v>
      </x:c>
      <x:c r="G178" t="str">
        <x:v>flat</x:v>
      </x:c>
      <x:c r="H178" s="12" t="n">
        <x:v>2</x:v>
      </x:c>
      <x:c r="I178" s="13" t="n">
        <x:v>12</x:v>
      </x:c>
      <x:c r="J178" t="str">
        <x:v>SO 100</x:v>
      </x:c>
      <x:c r="K178" s="14" t="n">
        <x:v>53.81</x:v>
      </x:c>
      <x:c r="L178" s="14"/>
      <x:c r="M178" s="14"/>
      <x:c r="N178" s="14"/>
      <x:c r="O178" s="14"/>
      <x:c r="P178" s="14" t="n">
        <x:v>10.33</x:v>
      </x:c>
      <x:c r="Q178" s="14" t="n">
        <x:v>64.14</x:v>
      </x:c>
      <x:c r="R178" s="15"/>
      <x:c r="S178" s="15"/>
      <x:c r="T178" s="15"/>
      <x:c r="U178" s="16"/>
      <x:c r="V178" t="str">
        <x:v>Alto Real Estate</x:v>
      </x:c>
      <x:c r="W178" t="str">
        <x:v>Ružinov</x:v>
      </x:c>
      <x:c r="X178" s="11" t="str">
        <x:v>unavailable</x:v>
      </x:c>
      <x:c r="Y178" s="11" t="str">
        <x:v>https://www.alvy.sk/byt/12-b-09</x:v>
      </x:c>
      <x:c r="Z178" s="11" t="n">
        <x:v>46251.740894027775</x:v>
      </x:c>
      <x:c r="AA178" s="11" t="n">
        <x:v>46254.51251577547</x:v>
      </x:c>
      <x:c r="AB178" s="11" t="n">
        <x:v>46254.51251577547</x:v>
      </x:c>
      <x:c r="AC178" t="str">
        <x:v>alvy</x:v>
      </x:c>
    </x:row>
    <x:row r="179" ht="22" customHeight="1">
      <x:c r="A179" t="str">
        <x:v>ALVY</x:v>
      </x:c>
      <x:c r="B179" t="str">
        <x:v>12.b.10</x:v>
      </x:c>
      <x:c r="C179" t="str">
        <x:v>not_for_sale</x:v>
      </x:c>
      <x:c r="D179" t="str">
        <x:v>present</x:v>
      </x:c>
      <x:c r="E179" t="str">
        <x:v>baseline</x:v>
      </x:c>
      <x:c r="F179" s="11" t="n">
        <x:v>46251.740894027775</x:v>
      </x:c>
      <x:c r="G179" t="str">
        <x:v>flat</x:v>
      </x:c>
      <x:c r="H179" s="12" t="n">
        <x:v>2</x:v>
      </x:c>
      <x:c r="I179" s="13" t="n">
        <x:v>12</x:v>
      </x:c>
      <x:c r="J179" t="str">
        <x:v>SO 100</x:v>
      </x:c>
      <x:c r="K179" s="14" t="n">
        <x:v>47.69</x:v>
      </x:c>
      <x:c r="L179" s="14"/>
      <x:c r="M179" s="14"/>
      <x:c r="N179" s="14"/>
      <x:c r="O179" s="14"/>
      <x:c r="P179" s="14" t="n">
        <x:v>10.33</x:v>
      </x:c>
      <x:c r="Q179" s="14" t="n">
        <x:v>58.02</x:v>
      </x:c>
      <x:c r="R179" s="15"/>
      <x:c r="S179" s="15"/>
      <x:c r="T179" s="15"/>
      <x:c r="U179" s="16"/>
      <x:c r="V179" t="str">
        <x:v>Alto Real Estate</x:v>
      </x:c>
      <x:c r="W179" t="str">
        <x:v>Ružinov</x:v>
      </x:c>
      <x:c r="X179" s="11" t="str">
        <x:v>unavailable</x:v>
      </x:c>
      <x:c r="Y179" s="11" t="str">
        <x:v>https://www.alvy.sk/byt/12-b-10</x:v>
      </x:c>
      <x:c r="Z179" s="11" t="n">
        <x:v>46251.740894027775</x:v>
      </x:c>
      <x:c r="AA179" s="11" t="n">
        <x:v>46254.51251577547</x:v>
      </x:c>
      <x:c r="AB179" s="11" t="n">
        <x:v>46254.51251577547</x:v>
      </x:c>
      <x:c r="AC179" t="str">
        <x:v>alvy</x:v>
      </x:c>
    </x:row>
    <x:row r="180" ht="22" customHeight="1">
      <x:c r="A180" t="str">
        <x:v>ALVY</x:v>
      </x:c>
      <x:c r="B180" t="str">
        <x:v>12.b.11</x:v>
      </x:c>
      <x:c r="C180" t="str">
        <x:v>not_for_sale</x:v>
      </x:c>
      <x:c r="D180" t="str">
        <x:v>present</x:v>
      </x:c>
      <x:c r="E180" t="str">
        <x:v>baseline</x:v>
      </x:c>
      <x:c r="F180" s="11" t="n">
        <x:v>46251.740894027775</x:v>
      </x:c>
      <x:c r="G180" t="str">
        <x:v>flat</x:v>
      </x:c>
      <x:c r="H180" s="12" t="n">
        <x:v>2</x:v>
      </x:c>
      <x:c r="I180" s="13" t="n">
        <x:v>12</x:v>
      </x:c>
      <x:c r="J180" t="str">
        <x:v>SO 100</x:v>
      </x:c>
      <x:c r="K180" s="14" t="n">
        <x:v>47.78</x:v>
      </x:c>
      <x:c r="L180" s="14"/>
      <x:c r="M180" s="14"/>
      <x:c r="N180" s="14"/>
      <x:c r="O180" s="14"/>
      <x:c r="P180" s="14" t="n">
        <x:v>10.33</x:v>
      </x:c>
      <x:c r="Q180" s="14" t="n">
        <x:v>58.11</x:v>
      </x:c>
      <x:c r="R180" s="15"/>
      <x:c r="S180" s="15"/>
      <x:c r="T180" s="15"/>
      <x:c r="U180" s="16"/>
      <x:c r="V180" t="str">
        <x:v>Alto Real Estate</x:v>
      </x:c>
      <x:c r="W180" t="str">
        <x:v>Ružinov</x:v>
      </x:c>
      <x:c r="X180" s="11" t="str">
        <x:v>unavailable</x:v>
      </x:c>
      <x:c r="Y180" s="11" t="str">
        <x:v>https://www.alvy.sk/byt/12-b-11</x:v>
      </x:c>
      <x:c r="Z180" s="11" t="n">
        <x:v>46251.740894027775</x:v>
      </x:c>
      <x:c r="AA180" s="11" t="n">
        <x:v>46254.51251577547</x:v>
      </x:c>
      <x:c r="AB180" s="11" t="n">
        <x:v>46254.51251577547</x:v>
      </x:c>
      <x:c r="AC180" t="str">
        <x:v>alvy</x:v>
      </x:c>
    </x:row>
    <x:row r="181" ht="22" customHeight="1">
      <x:c r="A181" t="str">
        <x:v>ALVY</x:v>
      </x:c>
      <x:c r="B181" t="str">
        <x:v>12.b.12</x:v>
      </x:c>
      <x:c r="C181" t="str">
        <x:v>not_for_sale</x:v>
      </x:c>
      <x:c r="D181" t="str">
        <x:v>present</x:v>
      </x:c>
      <x:c r="E181" t="str">
        <x:v>baseline</x:v>
      </x:c>
      <x:c r="F181" s="11" t="n">
        <x:v>46251.740894027775</x:v>
      </x:c>
      <x:c r="G181" t="str">
        <x:v>flat</x:v>
      </x:c>
      <x:c r="H181" s="12" t="n">
        <x:v>2</x:v>
      </x:c>
      <x:c r="I181" s="13" t="n">
        <x:v>12</x:v>
      </x:c>
      <x:c r="J181" t="str">
        <x:v>SO 100</x:v>
      </x:c>
      <x:c r="K181" s="14" t="n">
        <x:v>47.68</x:v>
      </x:c>
      <x:c r="L181" s="14"/>
      <x:c r="M181" s="14"/>
      <x:c r="N181" s="14"/>
      <x:c r="O181" s="14"/>
      <x:c r="P181" s="14" t="n">
        <x:v>10.33</x:v>
      </x:c>
      <x:c r="Q181" s="14" t="n">
        <x:v>58.01</x:v>
      </x:c>
      <x:c r="R181" s="15"/>
      <x:c r="S181" s="15"/>
      <x:c r="T181" s="15"/>
      <x:c r="U181" s="16"/>
      <x:c r="V181" t="str">
        <x:v>Alto Real Estate</x:v>
      </x:c>
      <x:c r="W181" t="str">
        <x:v>Ružinov</x:v>
      </x:c>
      <x:c r="X181" s="11" t="str">
        <x:v>unavailable</x:v>
      </x:c>
      <x:c r="Y181" s="11" t="str">
        <x:v>https://www.alvy.sk/byt/12-b-12</x:v>
      </x:c>
      <x:c r="Z181" s="11" t="n">
        <x:v>46251.740894027775</x:v>
      </x:c>
      <x:c r="AA181" s="11" t="n">
        <x:v>46254.51251577547</x:v>
      </x:c>
      <x:c r="AB181" s="11" t="n">
        <x:v>46254.51251577547</x:v>
      </x:c>
      <x:c r="AC181" t="str">
        <x:v>alvy</x:v>
      </x:c>
    </x:row>
    <x:row r="182" ht="22" customHeight="1">
      <x:c r="A182" t="str">
        <x:v>ALVY</x:v>
      </x:c>
      <x:c r="B182" t="str">
        <x:v>12.b.13</x:v>
      </x:c>
      <x:c r="C182" t="str">
        <x:v>not_for_sale</x:v>
      </x:c>
      <x:c r="D182" t="str">
        <x:v>present</x:v>
      </x:c>
      <x:c r="E182" t="str">
        <x:v>baseline</x:v>
      </x:c>
      <x:c r="F182" s="11" t="n">
        <x:v>46251.740894027775</x:v>
      </x:c>
      <x:c r="G182" t="str">
        <x:v>flat</x:v>
      </x:c>
      <x:c r="H182" s="12" t="n">
        <x:v>4</x:v>
      </x:c>
      <x:c r="I182" s="13" t="n">
        <x:v>12</x:v>
      </x:c>
      <x:c r="J182" t="str">
        <x:v>SO 100</x:v>
      </x:c>
      <x:c r="K182" s="14" t="n">
        <x:v>104.1</x:v>
      </x:c>
      <x:c r="L182" s="14"/>
      <x:c r="M182" s="14"/>
      <x:c r="N182" s="14"/>
      <x:c r="O182" s="14"/>
      <x:c r="P182" s="14" t="n">
        <x:v>32.17</x:v>
      </x:c>
      <x:c r="Q182" s="14" t="n">
        <x:v>136.27</x:v>
      </x:c>
      <x:c r="R182" s="15"/>
      <x:c r="S182" s="15"/>
      <x:c r="T182" s="15"/>
      <x:c r="U182" s="16"/>
      <x:c r="V182" t="str">
        <x:v>Alto Real Estate</x:v>
      </x:c>
      <x:c r="W182" t="str">
        <x:v>Ružinov</x:v>
      </x:c>
      <x:c r="X182" s="11" t="str">
        <x:v>unavailable</x:v>
      </x:c>
      <x:c r="Y182" s="11" t="str">
        <x:v>https://www.alvy.sk/byt/12-b-13</x:v>
      </x:c>
      <x:c r="Z182" s="11" t="n">
        <x:v>46251.740894027775</x:v>
      </x:c>
      <x:c r="AA182" s="11" t="n">
        <x:v>46254.51251577547</x:v>
      </x:c>
      <x:c r="AB182" s="11" t="n">
        <x:v>46254.51251577547</x:v>
      </x:c>
      <x:c r="AC182" t="str">
        <x:v>alvy</x:v>
      </x:c>
    </x:row>
    <x:row r="183" ht="22" customHeight="1">
      <x:c r="A183" t="str">
        <x:v>ALVY</x:v>
      </x:c>
      <x:c r="B183" t="str">
        <x:v>13.b.01</x:v>
      </x:c>
      <x:c r="C183" t="str">
        <x:v>available</x:v>
      </x:c>
      <x:c r="D183" t="str">
        <x:v>present</x:v>
      </x:c>
      <x:c r="E183" t="str">
        <x:v>baseline</x:v>
      </x:c>
      <x:c r="F183" s="11" t="n">
        <x:v>46251.740894027775</x:v>
      </x:c>
      <x:c r="G183" t="str">
        <x:v>flat</x:v>
      </x:c>
      <x:c r="H183" s="12" t="n">
        <x:v>4</x:v>
      </x:c>
      <x:c r="I183" s="13" t="n">
        <x:v>13</x:v>
      </x:c>
      <x:c r="J183" t="str">
        <x:v>SO 100</x:v>
      </x:c>
      <x:c r="K183" s="14" t="n">
        <x:v>103.99</x:v>
      </x:c>
      <x:c r="L183" s="14"/>
      <x:c r="M183" s="14"/>
      <x:c r="N183" s="14"/>
      <x:c r="O183" s="14"/>
      <x:c r="P183" s="14" t="n">
        <x:v>31.96</x:v>
      </x:c>
      <x:c r="Q183" s="14" t="n">
        <x:v>135.95</x:v>
      </x:c>
      <x:c r="R183" s="15" t="n">
        <x:v>597780</x:v>
      </x:c>
      <x:c r="S183" s="15" t="n">
        <x:v>621523</x:v>
      </x:c>
      <x:c r="T183" s="15" t="n">
        <x:v>597780</x:v>
      </x:c>
      <x:c r="U183" s="16" t="n">
        <x:v>5748.44</x:v>
      </x:c>
      <x:c r="V183" t="str">
        <x:v>Alto Real Estate</x:v>
      </x:c>
      <x:c r="W183" t="str">
        <x:v>Ružinov</x:v>
      </x:c>
      <x:c r="X183" s="11" t="str">
        <x:v>free</x:v>
      </x:c>
      <x:c r="Y183" s="11" t="str">
        <x:v>https://www.alvy.sk/byt/13-b-01</x:v>
      </x:c>
      <x:c r="Z183" s="11" t="n">
        <x:v>46251.740894027775</x:v>
      </x:c>
      <x:c r="AA183" s="11" t="n">
        <x:v>46254.51251577547</x:v>
      </x:c>
      <x:c r="AB183" s="11" t="n">
        <x:v>46254.51251577547</x:v>
      </x:c>
      <x:c r="AC183" t="str">
        <x:v>alvy</x:v>
      </x:c>
    </x:row>
    <x:row r="184" ht="22" customHeight="1">
      <x:c r="A184" t="str">
        <x:v>ALVY</x:v>
      </x:c>
      <x:c r="B184" t="str">
        <x:v>13.b.02</x:v>
      </x:c>
      <x:c r="C184" t="str">
        <x:v>available</x:v>
      </x:c>
      <x:c r="D184" t="str">
        <x:v>present</x:v>
      </x:c>
      <x:c r="E184" t="str">
        <x:v>baseline</x:v>
      </x:c>
      <x:c r="F184" s="11" t="n">
        <x:v>46251.740894027775</x:v>
      </x:c>
      <x:c r="G184" t="str">
        <x:v>flat</x:v>
      </x:c>
      <x:c r="H184" s="12" t="n">
        <x:v>3</x:v>
      </x:c>
      <x:c r="I184" s="13" t="n">
        <x:v>13</x:v>
      </x:c>
      <x:c r="J184" t="str">
        <x:v>SO 100</x:v>
      </x:c>
      <x:c r="K184" s="14" t="n">
        <x:v>72.15</x:v>
      </x:c>
      <x:c r="L184" s="14"/>
      <x:c r="M184" s="14"/>
      <x:c r="N184" s="14"/>
      <x:c r="O184" s="14"/>
      <x:c r="P184" s="14" t="n">
        <x:v>16.02</x:v>
      </x:c>
      <x:c r="Q184" s="14" t="n">
        <x:v>88.17</x:v>
      </x:c>
      <x:c r="R184" s="15" t="n">
        <x:v>434190</x:v>
      </x:c>
      <x:c r="S184" s="15" t="n">
        <x:v>452216</x:v>
      </x:c>
      <x:c r="T184" s="15" t="n">
        <x:v>434190</x:v>
      </x:c>
      <x:c r="U184" s="16" t="n">
        <x:v>6017.88</x:v>
      </x:c>
      <x:c r="V184" t="str">
        <x:v>Alto Real Estate</x:v>
      </x:c>
      <x:c r="W184" t="str">
        <x:v>Ružinov</x:v>
      </x:c>
      <x:c r="X184" s="11" t="str">
        <x:v>free</x:v>
      </x:c>
      <x:c r="Y184" s="11" t="str">
        <x:v>https://www.alvy.sk/byt/13-b-02</x:v>
      </x:c>
      <x:c r="Z184" s="11" t="n">
        <x:v>46251.740894027775</x:v>
      </x:c>
      <x:c r="AA184" s="11" t="n">
        <x:v>46254.51251577547</x:v>
      </x:c>
      <x:c r="AB184" s="11" t="n">
        <x:v>46254.51251577547</x:v>
      </x:c>
      <x:c r="AC184" t="str">
        <x:v>alvy</x:v>
      </x:c>
    </x:row>
    <x:row r="185" ht="22" customHeight="1">
      <x:c r="A185" t="str">
        <x:v>ALVY</x:v>
      </x:c>
      <x:c r="B185" t="str">
        <x:v>13.b.03</x:v>
      </x:c>
      <x:c r="C185" t="str">
        <x:v>available</x:v>
      </x:c>
      <x:c r="D185" t="str">
        <x:v>present</x:v>
      </x:c>
      <x:c r="E185" t="str">
        <x:v>baseline</x:v>
      </x:c>
      <x:c r="F185" s="11" t="n">
        <x:v>46251.740894027775</x:v>
      </x:c>
      <x:c r="G185" t="str">
        <x:v>flat</x:v>
      </x:c>
      <x:c r="H185" s="12" t="n">
        <x:v>3</x:v>
      </x:c>
      <x:c r="I185" s="13" t="n">
        <x:v>13</x:v>
      </x:c>
      <x:c r="J185" t="str">
        <x:v>SO 100</x:v>
      </x:c>
      <x:c r="K185" s="14" t="n">
        <x:v>68.37</x:v>
      </x:c>
      <x:c r="L185" s="14"/>
      <x:c r="M185" s="14"/>
      <x:c r="N185" s="14"/>
      <x:c r="O185" s="14"/>
      <x:c r="P185" s="14" t="n">
        <x:v>15.06</x:v>
      </x:c>
      <x:c r="Q185" s="14" t="n">
        <x:v>83.43</x:v>
      </x:c>
      <x:c r="R185" s="15" t="n">
        <x:v>412050</x:v>
      </x:c>
      <x:c r="S185" s="15" t="n">
        <x:v>428247</x:v>
      </x:c>
      <x:c r="T185" s="15" t="n">
        <x:v>412050</x:v>
      </x:c>
      <x:c r="U185" s="16" t="n">
        <x:v>6026.77</x:v>
      </x:c>
      <x:c r="V185" t="str">
        <x:v>Alto Real Estate</x:v>
      </x:c>
      <x:c r="W185" t="str">
        <x:v>Ružinov</x:v>
      </x:c>
      <x:c r="X185" s="11" t="str">
        <x:v>free</x:v>
      </x:c>
      <x:c r="Y185" s="11" t="str">
        <x:v>https://www.alvy.sk/byt/13-b-03</x:v>
      </x:c>
      <x:c r="Z185" s="11" t="n">
        <x:v>46251.740894027775</x:v>
      </x:c>
      <x:c r="AA185" s="11" t="n">
        <x:v>46254.51251577547</x:v>
      </x:c>
      <x:c r="AB185" s="11" t="n">
        <x:v>46254.51251577547</x:v>
      </x:c>
      <x:c r="AC185" t="str">
        <x:v>alvy</x:v>
      </x:c>
    </x:row>
    <x:row r="186" ht="22" customHeight="1">
      <x:c r="A186" t="str">
        <x:v>ALVY</x:v>
      </x:c>
      <x:c r="B186" t="str">
        <x:v>13.b.04</x:v>
      </x:c>
      <x:c r="C186" t="str">
        <x:v>sold</x:v>
      </x:c>
      <x:c r="D186" t="str">
        <x:v>present</x:v>
      </x:c>
      <x:c r="E186" t="str">
        <x:v>baseline</x:v>
      </x:c>
      <x:c r="F186" s="11" t="n">
        <x:v>46251.740894027775</x:v>
      </x:c>
      <x:c r="G186" t="str">
        <x:v>flat</x:v>
      </x:c>
      <x:c r="H186" s="12" t="n">
        <x:v>2</x:v>
      </x:c>
      <x:c r="I186" s="13" t="n">
        <x:v>13</x:v>
      </x:c>
      <x:c r="J186" t="str">
        <x:v>SO 100</x:v>
      </x:c>
      <x:c r="K186" s="14" t="n">
        <x:v>53.73</x:v>
      </x:c>
      <x:c r="L186" s="14"/>
      <x:c r="M186" s="14"/>
      <x:c r="N186" s="14"/>
      <x:c r="O186" s="14"/>
      <x:c r="P186" s="14" t="n">
        <x:v>10.33</x:v>
      </x:c>
      <x:c r="Q186" s="14" t="n">
        <x:v>64.06</x:v>
      </x:c>
      <x:c r="R186" s="15"/>
      <x:c r="S186" s="15"/>
      <x:c r="T186" s="15"/>
      <x:c r="U186" s="16"/>
      <x:c r="V186" t="str">
        <x:v>Alto Real Estate</x:v>
      </x:c>
      <x:c r="W186" t="str">
        <x:v>Ružinov</x:v>
      </x:c>
      <x:c r="X186" s="11" t="str">
        <x:v>sold</x:v>
      </x:c>
      <x:c r="Y186" s="11" t="str">
        <x:v>https://www.alvy.sk/byt/13-b-04</x:v>
      </x:c>
      <x:c r="Z186" s="11" t="n">
        <x:v>46251.740894027775</x:v>
      </x:c>
      <x:c r="AA186" s="11" t="n">
        <x:v>46254.51251577547</x:v>
      </x:c>
      <x:c r="AB186" s="11" t="n">
        <x:v>46254.51251577547</x:v>
      </x:c>
      <x:c r="AC186" t="str">
        <x:v>alvy</x:v>
      </x:c>
    </x:row>
    <x:row r="187" ht="22" customHeight="1">
      <x:c r="A187" t="str">
        <x:v>ALVY</x:v>
      </x:c>
      <x:c r="B187" t="str">
        <x:v>13.b.05</x:v>
      </x:c>
      <x:c r="C187" t="str">
        <x:v>pre_reserved</x:v>
      </x:c>
      <x:c r="D187" t="str">
        <x:v>present</x:v>
      </x:c>
      <x:c r="E187" t="str">
        <x:v>baseline</x:v>
      </x:c>
      <x:c r="F187" s="11" t="n">
        <x:v>46251.740894027775</x:v>
      </x:c>
      <x:c r="G187" t="str">
        <x:v>flat</x:v>
      </x:c>
      <x:c r="H187" s="12" t="n">
        <x:v>1</x:v>
      </x:c>
      <x:c r="I187" s="13" t="n">
        <x:v>13</x:v>
      </x:c>
      <x:c r="J187" t="str">
        <x:v>SO 100</x:v>
      </x:c>
      <x:c r="K187" s="14" t="n">
        <x:v>35.52</x:v>
      </x:c>
      <x:c r="L187" s="14"/>
      <x:c r="M187" s="14"/>
      <x:c r="N187" s="14"/>
      <x:c r="O187" s="14"/>
      <x:c r="P187" s="14" t="n">
        <x:v>6.18</x:v>
      </x:c>
      <x:c r="Q187" s="14" t="n">
        <x:v>41.7</x:v>
      </x:c>
      <x:c r="R187" s="15" t="n">
        <x:v>241572</x:v>
      </x:c>
      <x:c r="S187" s="15" t="n">
        <x:v>251289</x:v>
      </x:c>
      <x:c r="T187" s="15" t="n">
        <x:v>241572</x:v>
      </x:c>
      <x:c r="U187" s="16" t="n">
        <x:v>6801.01</x:v>
      </x:c>
      <x:c r="V187" t="str">
        <x:v>Alto Real Estate</x:v>
      </x:c>
      <x:c r="W187" t="str">
        <x:v>Ružinov</x:v>
      </x:c>
      <x:c r="X187" s="11" t="str">
        <x:v>pre-reserved</x:v>
      </x:c>
      <x:c r="Y187" s="11" t="str">
        <x:v>https://www.alvy.sk/byt/13-b-05</x:v>
      </x:c>
      <x:c r="Z187" s="11" t="n">
        <x:v>46251.740894027775</x:v>
      </x:c>
      <x:c r="AA187" s="11" t="n">
        <x:v>46254.51251577547</x:v>
      </x:c>
      <x:c r="AB187" s="11" t="n">
        <x:v>46254.51251577547</x:v>
      </x:c>
      <x:c r="AC187" t="str">
        <x:v>alvy</x:v>
      </x:c>
    </x:row>
    <x:row r="188" ht="22" customHeight="1">
      <x:c r="A188" t="str">
        <x:v>ALVY</x:v>
      </x:c>
      <x:c r="B188" t="str">
        <x:v>13.b.06</x:v>
      </x:c>
      <x:c r="C188" t="str">
        <x:v>available</x:v>
      </x:c>
      <x:c r="D188" t="str">
        <x:v>present</x:v>
      </x:c>
      <x:c r="E188" t="str">
        <x:v>baseline</x:v>
      </x:c>
      <x:c r="F188" s="11" t="n">
        <x:v>46251.740894027775</x:v>
      </x:c>
      <x:c r="G188" t="str">
        <x:v>flat</x:v>
      </x:c>
      <x:c r="H188" s="12" t="n">
        <x:v>3</x:v>
      </x:c>
      <x:c r="I188" s="13" t="n">
        <x:v>13</x:v>
      </x:c>
      <x:c r="J188" t="str">
        <x:v>SO 100</x:v>
      </x:c>
      <x:c r="K188" s="14" t="n">
        <x:v>74.36</x:v>
      </x:c>
      <x:c r="L188" s="14"/>
      <x:c r="M188" s="14"/>
      <x:c r="N188" s="14"/>
      <x:c r="O188" s="14"/>
      <x:c r="P188" s="14" t="n">
        <x:v>11.19</x:v>
      </x:c>
      <x:c r="Q188" s="14" t="n">
        <x:v>85.55</x:v>
      </x:c>
      <x:c r="R188" s="15" t="n">
        <x:v>419430</x:v>
      </x:c>
      <x:c r="S188" s="15" t="n">
        <x:v>436656</x:v>
      </x:c>
      <x:c r="T188" s="15" t="n">
        <x:v>419430</x:v>
      </x:c>
      <x:c r="U188" s="16" t="n">
        <x:v>5640.53</x:v>
      </x:c>
      <x:c r="V188" t="str">
        <x:v>Alto Real Estate</x:v>
      </x:c>
      <x:c r="W188" t="str">
        <x:v>Ružinov</x:v>
      </x:c>
      <x:c r="X188" s="11" t="str">
        <x:v>free</x:v>
      </x:c>
      <x:c r="Y188" s="11" t="str">
        <x:v>https://www.alvy.sk/byt/13-b-06</x:v>
      </x:c>
      <x:c r="Z188" s="11" t="n">
        <x:v>46251.740894027775</x:v>
      </x:c>
      <x:c r="AA188" s="11" t="n">
        <x:v>46254.51251577547</x:v>
      </x:c>
      <x:c r="AB188" s="11" t="n">
        <x:v>46254.51251577547</x:v>
      </x:c>
      <x:c r="AC188" t="str">
        <x:v>alvy</x:v>
      </x:c>
    </x:row>
    <x:row r="189" ht="22" customHeight="1">
      <x:c r="A189" t="str">
        <x:v>ALVY</x:v>
      </x:c>
      <x:c r="B189" t="str">
        <x:v>13.b.07</x:v>
      </x:c>
      <x:c r="C189" t="str">
        <x:v>available</x:v>
      </x:c>
      <x:c r="D189" t="str">
        <x:v>present</x:v>
      </x:c>
      <x:c r="E189" t="str">
        <x:v>baseline</x:v>
      </x:c>
      <x:c r="F189" s="11" t="n">
        <x:v>46251.740894027775</x:v>
      </x:c>
      <x:c r="G189" t="str">
        <x:v>flat</x:v>
      </x:c>
      <x:c r="H189" s="12" t="n">
        <x:v>3</x:v>
      </x:c>
      <x:c r="I189" s="13" t="n">
        <x:v>13</x:v>
      </x:c>
      <x:c r="J189" t="str">
        <x:v>SO 100</x:v>
      </x:c>
      <x:c r="K189" s="14" t="n">
        <x:v>74.3</x:v>
      </x:c>
      <x:c r="L189" s="14"/>
      <x:c r="M189" s="14"/>
      <x:c r="N189" s="14"/>
      <x:c r="O189" s="14"/>
      <x:c r="P189" s="14" t="n">
        <x:v>11.2</x:v>
      </x:c>
      <x:c r="Q189" s="14" t="n">
        <x:v>85.5</x:v>
      </x:c>
      <x:c r="R189" s="15" t="n">
        <x:v>392370</x:v>
      </x:c>
      <x:c r="S189" s="15" t="n">
        <x:v>407531</x:v>
      </x:c>
      <x:c r="T189" s="15" t="n">
        <x:v>392370</x:v>
      </x:c>
      <x:c r="U189" s="16" t="n">
        <x:v>5280.89</x:v>
      </x:c>
      <x:c r="V189" t="str">
        <x:v>Alto Real Estate</x:v>
      </x:c>
      <x:c r="W189" t="str">
        <x:v>Ružinov</x:v>
      </x:c>
      <x:c r="X189" s="11" t="str">
        <x:v>free</x:v>
      </x:c>
      <x:c r="Y189" s="11" t="str">
        <x:v>https://www.alvy.sk/byt/13-b-07</x:v>
      </x:c>
      <x:c r="Z189" s="11" t="n">
        <x:v>46251.740894027775</x:v>
      </x:c>
      <x:c r="AA189" s="11" t="n">
        <x:v>46254.51251577547</x:v>
      </x:c>
      <x:c r="AB189" s="11" t="n">
        <x:v>46254.51251577547</x:v>
      </x:c>
      <x:c r="AC189" t="str">
        <x:v>alvy</x:v>
      </x:c>
    </x:row>
    <x:row r="190" ht="22" customHeight="1">
      <x:c r="A190" t="str">
        <x:v>ALVY</x:v>
      </x:c>
      <x:c r="B190" t="str">
        <x:v>13.b.08</x:v>
      </x:c>
      <x:c r="C190" t="str">
        <x:v>available</x:v>
      </x:c>
      <x:c r="D190" t="str">
        <x:v>present</x:v>
      </x:c>
      <x:c r="E190" t="str">
        <x:v>baseline</x:v>
      </x:c>
      <x:c r="F190" s="11" t="n">
        <x:v>46251.740894027775</x:v>
      </x:c>
      <x:c r="G190" t="str">
        <x:v>flat</x:v>
      </x:c>
      <x:c r="H190" s="12" t="n">
        <x:v>1</x:v>
      </x:c>
      <x:c r="I190" s="13" t="n">
        <x:v>13</x:v>
      </x:c>
      <x:c r="J190" t="str">
        <x:v>SO 100</x:v>
      </x:c>
      <x:c r="K190" s="14" t="n">
        <x:v>35.49</x:v>
      </x:c>
      <x:c r="L190" s="14"/>
      <x:c r="M190" s="14"/>
      <x:c r="N190" s="14"/>
      <x:c r="O190" s="14"/>
      <x:c r="P190" s="14" t="n">
        <x:v>6.18</x:v>
      </x:c>
      <x:c r="Q190" s="14" t="n">
        <x:v>41.67</x:v>
      </x:c>
      <x:c r="R190" s="15" t="n">
        <x:v>219063</x:v>
      </x:c>
      <x:c r="S190" s="15" t="n">
        <x:v>227796</x:v>
      </x:c>
      <x:c r="T190" s="15" t="n">
        <x:v>219063</x:v>
      </x:c>
      <x:c r="U190" s="16" t="n">
        <x:v>6172.53</x:v>
      </x:c>
      <x:c r="V190" t="str">
        <x:v>Alto Real Estate</x:v>
      </x:c>
      <x:c r="W190" t="str">
        <x:v>Ružinov</x:v>
      </x:c>
      <x:c r="X190" s="11" t="str">
        <x:v>free</x:v>
      </x:c>
      <x:c r="Y190" s="11" t="str">
        <x:v>https://www.alvy.sk/byt/13-b-08</x:v>
      </x:c>
      <x:c r="Z190" s="11" t="n">
        <x:v>46251.740894027775</x:v>
      </x:c>
      <x:c r="AA190" s="11" t="n">
        <x:v>46254.51251577547</x:v>
      </x:c>
      <x:c r="AB190" s="11" t="n">
        <x:v>46254.51251577547</x:v>
      </x:c>
      <x:c r="AC190" t="str">
        <x:v>alvy</x:v>
      </x:c>
    </x:row>
    <x:row r="191" ht="22" customHeight="1">
      <x:c r="A191" t="str">
        <x:v>ALVY</x:v>
      </x:c>
      <x:c r="B191" t="str">
        <x:v>13.b.09</x:v>
      </x:c>
      <x:c r="C191" t="str">
        <x:v>available</x:v>
      </x:c>
      <x:c r="D191" t="str">
        <x:v>present</x:v>
      </x:c>
      <x:c r="E191" t="str">
        <x:v>baseline</x:v>
      </x:c>
      <x:c r="F191" s="11" t="n">
        <x:v>46251.740894027775</x:v>
      </x:c>
      <x:c r="G191" t="str">
        <x:v>flat</x:v>
      </x:c>
      <x:c r="H191" s="12" t="n">
        <x:v>2</x:v>
      </x:c>
      <x:c r="I191" s="13" t="n">
        <x:v>13</x:v>
      </x:c>
      <x:c r="J191" t="str">
        <x:v>SO 100</x:v>
      </x:c>
      <x:c r="K191" s="14" t="n">
        <x:v>53.81</x:v>
      </x:c>
      <x:c r="L191" s="14"/>
      <x:c r="M191" s="14"/>
      <x:c r="N191" s="14"/>
      <x:c r="O191" s="14"/>
      <x:c r="P191" s="14" t="n">
        <x:v>10.33</x:v>
      </x:c>
      <x:c r="Q191" s="14" t="n">
        <x:v>64.14</x:v>
      </x:c>
      <x:c r="R191" s="15" t="n">
        <x:v>302580</x:v>
      </x:c>
      <x:c r="S191" s="15" t="n">
        <x:v>314146</x:v>
      </x:c>
      <x:c r="T191" s="15" t="n">
        <x:v>302580</x:v>
      </x:c>
      <x:c r="U191" s="16" t="n">
        <x:v>5623.12</x:v>
      </x:c>
      <x:c r="V191" t="str">
        <x:v>Alto Real Estate</x:v>
      </x:c>
      <x:c r="W191" t="str">
        <x:v>Ružinov</x:v>
      </x:c>
      <x:c r="X191" s="11" t="str">
        <x:v>free</x:v>
      </x:c>
      <x:c r="Y191" s="11" t="str">
        <x:v>https://www.alvy.sk/byt/13-b-09</x:v>
      </x:c>
      <x:c r="Z191" s="11" t="n">
        <x:v>46251.740894027775</x:v>
      </x:c>
      <x:c r="AA191" s="11" t="n">
        <x:v>46254.51251577547</x:v>
      </x:c>
      <x:c r="AB191" s="11" t="n">
        <x:v>46254.51251577547</x:v>
      </x:c>
      <x:c r="AC191" t="str">
        <x:v>alvy</x:v>
      </x:c>
    </x:row>
    <x:row r="192" ht="22" customHeight="1">
      <x:c r="A192" t="str">
        <x:v>ALVY</x:v>
      </x:c>
      <x:c r="B192" t="str">
        <x:v>13.b.10</x:v>
      </x:c>
      <x:c r="C192" t="str">
        <x:v>reserved</x:v>
      </x:c>
      <x:c r="D192" t="str">
        <x:v>present</x:v>
      </x:c>
      <x:c r="E192" t="str">
        <x:v>baseline</x:v>
      </x:c>
      <x:c r="F192" s="11" t="n">
        <x:v>46251.740894027775</x:v>
      </x:c>
      <x:c r="G192" t="str">
        <x:v>flat</x:v>
      </x:c>
      <x:c r="H192" s="12" t="n">
        <x:v>2</x:v>
      </x:c>
      <x:c r="I192" s="13" t="n">
        <x:v>13</x:v>
      </x:c>
      <x:c r="J192" t="str">
        <x:v>SO 100</x:v>
      </x:c>
      <x:c r="K192" s="14" t="n">
        <x:v>47.69</x:v>
      </x:c>
      <x:c r="L192" s="14"/>
      <x:c r="M192" s="14"/>
      <x:c r="N192" s="14"/>
      <x:c r="O192" s="14"/>
      <x:c r="P192" s="14" t="n">
        <x:v>10.33</x:v>
      </x:c>
      <x:c r="Q192" s="14" t="n">
        <x:v>58.02</x:v>
      </x:c>
      <x:c r="R192" s="15"/>
      <x:c r="S192" s="15"/>
      <x:c r="T192" s="15"/>
      <x:c r="U192" s="16"/>
      <x:c r="V192" t="str">
        <x:v>Alto Real Estate</x:v>
      </x:c>
      <x:c r="W192" t="str">
        <x:v>Ružinov</x:v>
      </x:c>
      <x:c r="X192" s="11" t="str">
        <x:v>reserved</x:v>
      </x:c>
      <x:c r="Y192" s="11" t="str">
        <x:v>https://www.alvy.sk/byt/13-b-10</x:v>
      </x:c>
      <x:c r="Z192" s="11" t="n">
        <x:v>46251.740894027775</x:v>
      </x:c>
      <x:c r="AA192" s="11" t="n">
        <x:v>46254.51251577547</x:v>
      </x:c>
      <x:c r="AB192" s="11" t="n">
        <x:v>46254.51251577547</x:v>
      </x:c>
      <x:c r="AC192" t="str">
        <x:v>alvy</x:v>
      </x:c>
    </x:row>
    <x:row r="193" ht="22" customHeight="1">
      <x:c r="A193" t="str">
        <x:v>ALVY</x:v>
      </x:c>
      <x:c r="B193" t="str">
        <x:v>13.b.11</x:v>
      </x:c>
      <x:c r="C193" t="str">
        <x:v>sold</x:v>
      </x:c>
      <x:c r="D193" t="str">
        <x:v>present</x:v>
      </x:c>
      <x:c r="E193" t="str">
        <x:v>baseline</x:v>
      </x:c>
      <x:c r="F193" s="11" t="n">
        <x:v>46251.740894027775</x:v>
      </x:c>
      <x:c r="G193" t="str">
        <x:v>flat</x:v>
      </x:c>
      <x:c r="H193" s="12" t="n">
        <x:v>2</x:v>
      </x:c>
      <x:c r="I193" s="13" t="n">
        <x:v>13</x:v>
      </x:c>
      <x:c r="J193" t="str">
        <x:v>SO 100</x:v>
      </x:c>
      <x:c r="K193" s="14" t="n">
        <x:v>47.78</x:v>
      </x:c>
      <x:c r="L193" s="14"/>
      <x:c r="M193" s="14"/>
      <x:c r="N193" s="14"/>
      <x:c r="O193" s="14"/>
      <x:c r="P193" s="14" t="n">
        <x:v>10.33</x:v>
      </x:c>
      <x:c r="Q193" s="14" t="n">
        <x:v>58.11</x:v>
      </x:c>
      <x:c r="R193" s="15"/>
      <x:c r="S193" s="15"/>
      <x:c r="T193" s="15"/>
      <x:c r="U193" s="16"/>
      <x:c r="V193" t="str">
        <x:v>Alto Real Estate</x:v>
      </x:c>
      <x:c r="W193" t="str">
        <x:v>Ružinov</x:v>
      </x:c>
      <x:c r="X193" s="11" t="str">
        <x:v>sold</x:v>
      </x:c>
      <x:c r="Y193" s="11" t="str">
        <x:v>https://www.alvy.sk/byt/13-b-11</x:v>
      </x:c>
      <x:c r="Z193" s="11" t="n">
        <x:v>46251.740894027775</x:v>
      </x:c>
      <x:c r="AA193" s="11" t="n">
        <x:v>46254.51251577547</x:v>
      </x:c>
      <x:c r="AB193" s="11" t="n">
        <x:v>46254.51251577547</x:v>
      </x:c>
      <x:c r="AC193" t="str">
        <x:v>alvy</x:v>
      </x:c>
    </x:row>
    <x:row r="194" ht="22" customHeight="1">
      <x:c r="A194" t="str">
        <x:v>ALVY</x:v>
      </x:c>
      <x:c r="B194" t="str">
        <x:v>13.b.12</x:v>
      </x:c>
      <x:c r="C194" t="str">
        <x:v>sold</x:v>
      </x:c>
      <x:c r="D194" t="str">
        <x:v>present</x:v>
      </x:c>
      <x:c r="E194" t="str">
        <x:v>baseline</x:v>
      </x:c>
      <x:c r="F194" s="11" t="n">
        <x:v>46251.740894027775</x:v>
      </x:c>
      <x:c r="G194" t="str">
        <x:v>flat</x:v>
      </x:c>
      <x:c r="H194" s="12" t="n">
        <x:v>2</x:v>
      </x:c>
      <x:c r="I194" s="13" t="n">
        <x:v>13</x:v>
      </x:c>
      <x:c r="J194" t="str">
        <x:v>SO 100</x:v>
      </x:c>
      <x:c r="K194" s="14" t="n">
        <x:v>47.68</x:v>
      </x:c>
      <x:c r="L194" s="14"/>
      <x:c r="M194" s="14"/>
      <x:c r="N194" s="14"/>
      <x:c r="O194" s="14"/>
      <x:c r="P194" s="14" t="n">
        <x:v>10.33</x:v>
      </x:c>
      <x:c r="Q194" s="14" t="n">
        <x:v>58.01</x:v>
      </x:c>
      <x:c r="R194" s="15"/>
      <x:c r="S194" s="15"/>
      <x:c r="T194" s="15"/>
      <x:c r="U194" s="16"/>
      <x:c r="V194" t="str">
        <x:v>Alto Real Estate</x:v>
      </x:c>
      <x:c r="W194" t="str">
        <x:v>Ružinov</x:v>
      </x:c>
      <x:c r="X194" s="11" t="str">
        <x:v>sold</x:v>
      </x:c>
      <x:c r="Y194" s="11" t="str">
        <x:v>https://www.alvy.sk/byt/13-b-12</x:v>
      </x:c>
      <x:c r="Z194" s="11" t="n">
        <x:v>46251.740894027775</x:v>
      </x:c>
      <x:c r="AA194" s="11" t="n">
        <x:v>46254.51251577547</x:v>
      </x:c>
      <x:c r="AB194" s="11" t="n">
        <x:v>46254.51251577547</x:v>
      </x:c>
      <x:c r="AC194" t="str">
        <x:v>alvy</x:v>
      </x:c>
    </x:row>
    <x:row r="195" ht="22" customHeight="1">
      <x:c r="A195" t="str">
        <x:v>ALVY</x:v>
      </x:c>
      <x:c r="B195" t="str">
        <x:v>13.b.13</x:v>
      </x:c>
      <x:c r="C195" t="str">
        <x:v>available</x:v>
      </x:c>
      <x:c r="D195" t="str">
        <x:v>present</x:v>
      </x:c>
      <x:c r="E195" t="str">
        <x:v>baseline</x:v>
      </x:c>
      <x:c r="F195" s="11" t="n">
        <x:v>46251.740894027775</x:v>
      </x:c>
      <x:c r="G195" t="str">
        <x:v>flat</x:v>
      </x:c>
      <x:c r="H195" s="12" t="n">
        <x:v>4</x:v>
      </x:c>
      <x:c r="I195" s="13" t="n">
        <x:v>13</x:v>
      </x:c>
      <x:c r="J195" t="str">
        <x:v>SO 100</x:v>
      </x:c>
      <x:c r="K195" s="14" t="n">
        <x:v>104.1</x:v>
      </x:c>
      <x:c r="L195" s="14"/>
      <x:c r="M195" s="14"/>
      <x:c r="N195" s="14"/>
      <x:c r="O195" s="14"/>
      <x:c r="P195" s="14" t="n">
        <x:v>32.17</x:v>
      </x:c>
      <x:c r="Q195" s="14" t="n">
        <x:v>136.27</x:v>
      </x:c>
      <x:c r="R195" s="15" t="n">
        <x:v>570720</x:v>
      </x:c>
      <x:c r="S195" s="15" t="n">
        <x:v>593412</x:v>
      </x:c>
      <x:c r="T195" s="15" t="n">
        <x:v>570720</x:v>
      </x:c>
      <x:c r="U195" s="16" t="n">
        <x:v>5482.42</x:v>
      </x:c>
      <x:c r="V195" t="str">
        <x:v>Alto Real Estate</x:v>
      </x:c>
      <x:c r="W195" t="str">
        <x:v>Ružinov</x:v>
      </x:c>
      <x:c r="X195" s="11" t="str">
        <x:v>free</x:v>
      </x:c>
      <x:c r="Y195" s="11" t="str">
        <x:v>https://www.alvy.sk/byt/13-b-13</x:v>
      </x:c>
      <x:c r="Z195" s="11" t="n">
        <x:v>46251.740894027775</x:v>
      </x:c>
      <x:c r="AA195" s="11" t="n">
        <x:v>46254.51251577547</x:v>
      </x:c>
      <x:c r="AB195" s="11" t="n">
        <x:v>46254.51251577547</x:v>
      </x:c>
      <x:c r="AC195" t="str">
        <x:v>alvy</x:v>
      </x:c>
    </x:row>
    <x:row r="196" ht="22" customHeight="1">
      <x:c r="A196" t="str">
        <x:v>ALVY</x:v>
      </x:c>
      <x:c r="B196" t="str">
        <x:v>14.b.02</x:v>
      </x:c>
      <x:c r="C196" t="str">
        <x:v>not_for_sale</x:v>
      </x:c>
      <x:c r="D196" t="str">
        <x:v>present</x:v>
      </x:c>
      <x:c r="E196" t="str">
        <x:v>baseline</x:v>
      </x:c>
      <x:c r="F196" s="11" t="n">
        <x:v>46251.740894027775</x:v>
      </x:c>
      <x:c r="G196" t="str">
        <x:v>flat</x:v>
      </x:c>
      <x:c r="H196" s="12" t="n">
        <x:v>3</x:v>
      </x:c>
      <x:c r="I196" s="13" t="n">
        <x:v>14</x:v>
      </x:c>
      <x:c r="J196" t="str">
        <x:v>SO 100</x:v>
      </x:c>
      <x:c r="K196" s="14" t="n">
        <x:v>72.15</x:v>
      </x:c>
      <x:c r="L196" s="14"/>
      <x:c r="M196" s="14"/>
      <x:c r="N196" s="14"/>
      <x:c r="O196" s="14"/>
      <x:c r="P196" s="14" t="n">
        <x:v>16.02</x:v>
      </x:c>
      <x:c r="Q196" s="14" t="n">
        <x:v>88.17</x:v>
      </x:c>
      <x:c r="R196" s="15"/>
      <x:c r="S196" s="15"/>
      <x:c r="T196" s="15"/>
      <x:c r="U196" s="16"/>
      <x:c r="V196" t="str">
        <x:v>Alto Real Estate</x:v>
      </x:c>
      <x:c r="W196" t="str">
        <x:v>Ružinov</x:v>
      </x:c>
      <x:c r="X196" s="11" t="str">
        <x:v>unavailable</x:v>
      </x:c>
      <x:c r="Y196" s="11" t="str">
        <x:v>https://www.alvy.sk/byt/14-b-02</x:v>
      </x:c>
      <x:c r="Z196" s="11" t="n">
        <x:v>46251.740894027775</x:v>
      </x:c>
      <x:c r="AA196" s="11" t="n">
        <x:v>46254.51251577547</x:v>
      </x:c>
      <x:c r="AB196" s="11" t="n">
        <x:v>46254.51251577547</x:v>
      </x:c>
      <x:c r="AC196" t="str">
        <x:v>alvy</x:v>
      </x:c>
    </x:row>
    <x:row r="197" ht="22" customHeight="1">
      <x:c r="A197" t="str">
        <x:v>ALVY</x:v>
      </x:c>
      <x:c r="B197" t="str">
        <x:v>14.b.03</x:v>
      </x:c>
      <x:c r="C197" t="str">
        <x:v>not_for_sale</x:v>
      </x:c>
      <x:c r="D197" t="str">
        <x:v>present</x:v>
      </x:c>
      <x:c r="E197" t="str">
        <x:v>baseline</x:v>
      </x:c>
      <x:c r="F197" s="11" t="n">
        <x:v>46251.740894027775</x:v>
      </x:c>
      <x:c r="G197" t="str">
        <x:v>flat</x:v>
      </x:c>
      <x:c r="H197" s="12" t="n">
        <x:v>3</x:v>
      </x:c>
      <x:c r="I197" s="13" t="n">
        <x:v>14</x:v>
      </x:c>
      <x:c r="J197" t="str">
        <x:v>SO 100</x:v>
      </x:c>
      <x:c r="K197" s="14" t="n">
        <x:v>68.37</x:v>
      </x:c>
      <x:c r="L197" s="14"/>
      <x:c r="M197" s="14"/>
      <x:c r="N197" s="14"/>
      <x:c r="O197" s="14"/>
      <x:c r="P197" s="14" t="n">
        <x:v>15.06</x:v>
      </x:c>
      <x:c r="Q197" s="14" t="n">
        <x:v>83.43</x:v>
      </x:c>
      <x:c r="R197" s="15"/>
      <x:c r="S197" s="15"/>
      <x:c r="T197" s="15"/>
      <x:c r="U197" s="16"/>
      <x:c r="V197" t="str">
        <x:v>Alto Real Estate</x:v>
      </x:c>
      <x:c r="W197" t="str">
        <x:v>Ružinov</x:v>
      </x:c>
      <x:c r="X197" s="11" t="str">
        <x:v>unavailable</x:v>
      </x:c>
      <x:c r="Y197" s="11" t="str">
        <x:v>https://www.alvy.sk/byt/14-b-03</x:v>
      </x:c>
      <x:c r="Z197" s="11" t="n">
        <x:v>46251.740894027775</x:v>
      </x:c>
      <x:c r="AA197" s="11" t="n">
        <x:v>46254.51251577547</x:v>
      </x:c>
      <x:c r="AB197" s="11" t="n">
        <x:v>46254.51251577547</x:v>
      </x:c>
      <x:c r="AC197" t="str">
        <x:v>alvy</x:v>
      </x:c>
    </x:row>
    <x:row r="198" ht="22" customHeight="1">
      <x:c r="A198" t="str">
        <x:v>ALVY</x:v>
      </x:c>
      <x:c r="B198" t="str">
        <x:v>14.b.04</x:v>
      </x:c>
      <x:c r="C198" t="str">
        <x:v>not_for_sale</x:v>
      </x:c>
      <x:c r="D198" t="str">
        <x:v>present</x:v>
      </x:c>
      <x:c r="E198" t="str">
        <x:v>baseline</x:v>
      </x:c>
      <x:c r="F198" s="11" t="n">
        <x:v>46251.740894027775</x:v>
      </x:c>
      <x:c r="G198" t="str">
        <x:v>flat</x:v>
      </x:c>
      <x:c r="H198" s="12" t="n">
        <x:v>2</x:v>
      </x:c>
      <x:c r="I198" s="13" t="n">
        <x:v>14</x:v>
      </x:c>
      <x:c r="J198" t="str">
        <x:v>SO 100</x:v>
      </x:c>
      <x:c r="K198" s="14" t="n">
        <x:v>53.73</x:v>
      </x:c>
      <x:c r="L198" s="14"/>
      <x:c r="M198" s="14"/>
      <x:c r="N198" s="14"/>
      <x:c r="O198" s="14"/>
      <x:c r="P198" s="14" t="n">
        <x:v>10.33</x:v>
      </x:c>
      <x:c r="Q198" s="14" t="n">
        <x:v>64.06</x:v>
      </x:c>
      <x:c r="R198" s="15"/>
      <x:c r="S198" s="15"/>
      <x:c r="T198" s="15"/>
      <x:c r="U198" s="16"/>
      <x:c r="V198" t="str">
        <x:v>Alto Real Estate</x:v>
      </x:c>
      <x:c r="W198" t="str">
        <x:v>Ružinov</x:v>
      </x:c>
      <x:c r="X198" s="11" t="str">
        <x:v>unavailable</x:v>
      </x:c>
      <x:c r="Y198" s="11" t="str">
        <x:v>https://www.alvy.sk/byt/14-b-04</x:v>
      </x:c>
      <x:c r="Z198" s="11" t="n">
        <x:v>46251.740894027775</x:v>
      </x:c>
      <x:c r="AA198" s="11" t="n">
        <x:v>46254.51251577547</x:v>
      </x:c>
      <x:c r="AB198" s="11" t="n">
        <x:v>46254.51251577547</x:v>
      </x:c>
      <x:c r="AC198" t="str">
        <x:v>alvy</x:v>
      </x:c>
    </x:row>
    <x:row r="199" ht="22" customHeight="1">
      <x:c r="A199" t="str">
        <x:v>ALVY</x:v>
      </x:c>
      <x:c r="B199" t="str">
        <x:v>14.b.05</x:v>
      </x:c>
      <x:c r="C199" t="str">
        <x:v>not_for_sale</x:v>
      </x:c>
      <x:c r="D199" t="str">
        <x:v>present</x:v>
      </x:c>
      <x:c r="E199" t="str">
        <x:v>baseline</x:v>
      </x:c>
      <x:c r="F199" s="11" t="n">
        <x:v>46251.740894027775</x:v>
      </x:c>
      <x:c r="G199" t="str">
        <x:v>flat</x:v>
      </x:c>
      <x:c r="H199" s="12" t="n">
        <x:v>1</x:v>
      </x:c>
      <x:c r="I199" s="13" t="n">
        <x:v>14</x:v>
      </x:c>
      <x:c r="J199" t="str">
        <x:v>SO 100</x:v>
      </x:c>
      <x:c r="K199" s="14" t="n">
        <x:v>35.52</x:v>
      </x:c>
      <x:c r="L199" s="14"/>
      <x:c r="M199" s="14"/>
      <x:c r="N199" s="14"/>
      <x:c r="O199" s="14"/>
      <x:c r="P199" s="14" t="n">
        <x:v>6.18</x:v>
      </x:c>
      <x:c r="Q199" s="14" t="n">
        <x:v>41.7</x:v>
      </x:c>
      <x:c r="R199" s="15"/>
      <x:c r="S199" s="15"/>
      <x:c r="T199" s="15"/>
      <x:c r="U199" s="16"/>
      <x:c r="V199" t="str">
        <x:v>Alto Real Estate</x:v>
      </x:c>
      <x:c r="W199" t="str">
        <x:v>Ružinov</x:v>
      </x:c>
      <x:c r="X199" s="11" t="str">
        <x:v>unavailable</x:v>
      </x:c>
      <x:c r="Y199" s="11" t="str">
        <x:v>https://www.alvy.sk/byt/14-b-05</x:v>
      </x:c>
      <x:c r="Z199" s="11" t="n">
        <x:v>46251.740894027775</x:v>
      </x:c>
      <x:c r="AA199" s="11" t="n">
        <x:v>46254.51251577547</x:v>
      </x:c>
      <x:c r="AB199" s="11" t="n">
        <x:v>46254.51251577547</x:v>
      </x:c>
      <x:c r="AC199" t="str">
        <x:v>alvy</x:v>
      </x:c>
    </x:row>
    <x:row r="200" ht="22" customHeight="1">
      <x:c r="A200" t="str">
        <x:v>ALVY</x:v>
      </x:c>
      <x:c r="B200" t="str">
        <x:v>14.b.06</x:v>
      </x:c>
      <x:c r="C200" t="str">
        <x:v>not_for_sale</x:v>
      </x:c>
      <x:c r="D200" t="str">
        <x:v>present</x:v>
      </x:c>
      <x:c r="E200" t="str">
        <x:v>baseline</x:v>
      </x:c>
      <x:c r="F200" s="11" t="n">
        <x:v>46251.740894027775</x:v>
      </x:c>
      <x:c r="G200" t="str">
        <x:v>flat</x:v>
      </x:c>
      <x:c r="H200" s="12" t="n">
        <x:v>3</x:v>
      </x:c>
      <x:c r="I200" s="13" t="n">
        <x:v>14</x:v>
      </x:c>
      <x:c r="J200" t="str">
        <x:v>SO 100</x:v>
      </x:c>
      <x:c r="K200" s="14" t="n">
        <x:v>74.36</x:v>
      </x:c>
      <x:c r="L200" s="14"/>
      <x:c r="M200" s="14"/>
      <x:c r="N200" s="14"/>
      <x:c r="O200" s="14"/>
      <x:c r="P200" s="14" t="n">
        <x:v>11.19</x:v>
      </x:c>
      <x:c r="Q200" s="14" t="n">
        <x:v>85.55</x:v>
      </x:c>
      <x:c r="R200" s="15"/>
      <x:c r="S200" s="15"/>
      <x:c r="T200" s="15"/>
      <x:c r="U200" s="16"/>
      <x:c r="V200" t="str">
        <x:v>Alto Real Estate</x:v>
      </x:c>
      <x:c r="W200" t="str">
        <x:v>Ružinov</x:v>
      </x:c>
      <x:c r="X200" s="11" t="str">
        <x:v>unavailable</x:v>
      </x:c>
      <x:c r="Y200" s="11" t="str">
        <x:v>https://www.alvy.sk/byt/14-b-06</x:v>
      </x:c>
      <x:c r="Z200" s="11" t="n">
        <x:v>46251.740894027775</x:v>
      </x:c>
      <x:c r="AA200" s="11" t="n">
        <x:v>46254.51251577547</x:v>
      </x:c>
      <x:c r="AB200" s="11" t="n">
        <x:v>46254.51251577547</x:v>
      </x:c>
      <x:c r="AC200" t="str">
        <x:v>alvy</x:v>
      </x:c>
    </x:row>
    <x:row r="201" ht="22" customHeight="1">
      <x:c r="A201" t="str">
        <x:v>ALVY</x:v>
      </x:c>
      <x:c r="B201" t="str">
        <x:v>14.b.07</x:v>
      </x:c>
      <x:c r="C201" t="str">
        <x:v>not_for_sale</x:v>
      </x:c>
      <x:c r="D201" t="str">
        <x:v>present</x:v>
      </x:c>
      <x:c r="E201" t="str">
        <x:v>baseline</x:v>
      </x:c>
      <x:c r="F201" s="11" t="n">
        <x:v>46251.740894027775</x:v>
      </x:c>
      <x:c r="G201" t="str">
        <x:v>flat</x:v>
      </x:c>
      <x:c r="H201" s="12" t="n">
        <x:v>3</x:v>
      </x:c>
      <x:c r="I201" s="13" t="n">
        <x:v>14</x:v>
      </x:c>
      <x:c r="J201" t="str">
        <x:v>SO 100</x:v>
      </x:c>
      <x:c r="K201" s="14" t="n">
        <x:v>74.3</x:v>
      </x:c>
      <x:c r="L201" s="14"/>
      <x:c r="M201" s="14"/>
      <x:c r="N201" s="14"/>
      <x:c r="O201" s="14"/>
      <x:c r="P201" s="14" t="n">
        <x:v>11.2</x:v>
      </x:c>
      <x:c r="Q201" s="14" t="n">
        <x:v>85.5</x:v>
      </x:c>
      <x:c r="R201" s="15"/>
      <x:c r="S201" s="15"/>
      <x:c r="T201" s="15"/>
      <x:c r="U201" s="16"/>
      <x:c r="V201" t="str">
        <x:v>Alto Real Estate</x:v>
      </x:c>
      <x:c r="W201" t="str">
        <x:v>Ružinov</x:v>
      </x:c>
      <x:c r="X201" s="11" t="str">
        <x:v>unavailable</x:v>
      </x:c>
      <x:c r="Y201" s="11" t="str">
        <x:v>https://www.alvy.sk/byt/14-b-07</x:v>
      </x:c>
      <x:c r="Z201" s="11" t="n">
        <x:v>46251.740894027775</x:v>
      </x:c>
      <x:c r="AA201" s="11" t="n">
        <x:v>46254.51251577547</x:v>
      </x:c>
      <x:c r="AB201" s="11" t="n">
        <x:v>46254.51251577547</x:v>
      </x:c>
      <x:c r="AC201" t="str">
        <x:v>alvy</x:v>
      </x:c>
    </x:row>
    <x:row r="202" ht="22" customHeight="1">
      <x:c r="A202" t="str">
        <x:v>ALVY</x:v>
      </x:c>
      <x:c r="B202" t="str">
        <x:v>14.b.08</x:v>
      </x:c>
      <x:c r="C202" t="str">
        <x:v>not_for_sale</x:v>
      </x:c>
      <x:c r="D202" t="str">
        <x:v>present</x:v>
      </x:c>
      <x:c r="E202" t="str">
        <x:v>baseline</x:v>
      </x:c>
      <x:c r="F202" s="11" t="n">
        <x:v>46251.740894027775</x:v>
      </x:c>
      <x:c r="G202" t="str">
        <x:v>flat</x:v>
      </x:c>
      <x:c r="H202" s="12" t="n">
        <x:v>1</x:v>
      </x:c>
      <x:c r="I202" s="13" t="n">
        <x:v>14</x:v>
      </x:c>
      <x:c r="J202" t="str">
        <x:v>SO 100</x:v>
      </x:c>
      <x:c r="K202" s="14" t="n">
        <x:v>35.49</x:v>
      </x:c>
      <x:c r="L202" s="14"/>
      <x:c r="M202" s="14"/>
      <x:c r="N202" s="14"/>
      <x:c r="O202" s="14"/>
      <x:c r="P202" s="14" t="n">
        <x:v>6.18</x:v>
      </x:c>
      <x:c r="Q202" s="14" t="n">
        <x:v>41.67</x:v>
      </x:c>
      <x:c r="R202" s="15"/>
      <x:c r="S202" s="15"/>
      <x:c r="T202" s="15"/>
      <x:c r="U202" s="16"/>
      <x:c r="V202" t="str">
        <x:v>Alto Real Estate</x:v>
      </x:c>
      <x:c r="W202" t="str">
        <x:v>Ružinov</x:v>
      </x:c>
      <x:c r="X202" s="11" t="str">
        <x:v>unavailable</x:v>
      </x:c>
      <x:c r="Y202" s="11" t="str">
        <x:v>https://www.alvy.sk/byt/14-b-08</x:v>
      </x:c>
      <x:c r="Z202" s="11" t="n">
        <x:v>46251.740894027775</x:v>
      </x:c>
      <x:c r="AA202" s="11" t="n">
        <x:v>46254.51251577547</x:v>
      </x:c>
      <x:c r="AB202" s="11" t="n">
        <x:v>46254.51251577547</x:v>
      </x:c>
      <x:c r="AC202" t="str">
        <x:v>alvy</x:v>
      </x:c>
    </x:row>
    <x:row r="203" ht="22" customHeight="1">
      <x:c r="A203" t="str">
        <x:v>ALVY</x:v>
      </x:c>
      <x:c r="B203" t="str">
        <x:v>14.b.09</x:v>
      </x:c>
      <x:c r="C203" t="str">
        <x:v>not_for_sale</x:v>
      </x:c>
      <x:c r="D203" t="str">
        <x:v>present</x:v>
      </x:c>
      <x:c r="E203" t="str">
        <x:v>baseline</x:v>
      </x:c>
      <x:c r="F203" s="11" t="n">
        <x:v>46251.740894027775</x:v>
      </x:c>
      <x:c r="G203" t="str">
        <x:v>flat</x:v>
      </x:c>
      <x:c r="H203" s="12" t="n">
        <x:v>2</x:v>
      </x:c>
      <x:c r="I203" s="13" t="n">
        <x:v>14</x:v>
      </x:c>
      <x:c r="J203" t="str">
        <x:v>SO 100</x:v>
      </x:c>
      <x:c r="K203" s="14" t="n">
        <x:v>53.81</x:v>
      </x:c>
      <x:c r="L203" s="14"/>
      <x:c r="M203" s="14"/>
      <x:c r="N203" s="14"/>
      <x:c r="O203" s="14"/>
      <x:c r="P203" s="14" t="n">
        <x:v>10.33</x:v>
      </x:c>
      <x:c r="Q203" s="14" t="n">
        <x:v>64.14</x:v>
      </x:c>
      <x:c r="R203" s="15"/>
      <x:c r="S203" s="15"/>
      <x:c r="T203" s="15"/>
      <x:c r="U203" s="16"/>
      <x:c r="V203" t="str">
        <x:v>Alto Real Estate</x:v>
      </x:c>
      <x:c r="W203" t="str">
        <x:v>Ružinov</x:v>
      </x:c>
      <x:c r="X203" s="11" t="str">
        <x:v>unavailable</x:v>
      </x:c>
      <x:c r="Y203" s="11" t="str">
        <x:v>https://www.alvy.sk/byt/14-b-09</x:v>
      </x:c>
      <x:c r="Z203" s="11" t="n">
        <x:v>46251.740894027775</x:v>
      </x:c>
      <x:c r="AA203" s="11" t="n">
        <x:v>46254.51251577547</x:v>
      </x:c>
      <x:c r="AB203" s="11" t="n">
        <x:v>46254.51251577547</x:v>
      </x:c>
      <x:c r="AC203" t="str">
        <x:v>alvy</x:v>
      </x:c>
    </x:row>
    <x:row r="204" ht="22" customHeight="1">
      <x:c r="A204" t="str">
        <x:v>ALVY</x:v>
      </x:c>
      <x:c r="B204" t="str">
        <x:v>14.b.10</x:v>
      </x:c>
      <x:c r="C204" t="str">
        <x:v>not_for_sale</x:v>
      </x:c>
      <x:c r="D204" t="str">
        <x:v>present</x:v>
      </x:c>
      <x:c r="E204" t="str">
        <x:v>baseline</x:v>
      </x:c>
      <x:c r="F204" s="11" t="n">
        <x:v>46251.740894027775</x:v>
      </x:c>
      <x:c r="G204" t="str">
        <x:v>flat</x:v>
      </x:c>
      <x:c r="H204" s="12" t="n">
        <x:v>2</x:v>
      </x:c>
      <x:c r="I204" s="13" t="n">
        <x:v>14</x:v>
      </x:c>
      <x:c r="J204" t="str">
        <x:v>SO 100</x:v>
      </x:c>
      <x:c r="K204" s="14" t="n">
        <x:v>47.51</x:v>
      </x:c>
      <x:c r="L204" s="14"/>
      <x:c r="M204" s="14"/>
      <x:c r="N204" s="14"/>
      <x:c r="O204" s="14"/>
      <x:c r="P204" s="14" t="n">
        <x:v>10.33</x:v>
      </x:c>
      <x:c r="Q204" s="14" t="n">
        <x:v>57.84</x:v>
      </x:c>
      <x:c r="R204" s="15"/>
      <x:c r="S204" s="15"/>
      <x:c r="T204" s="15"/>
      <x:c r="U204" s="16"/>
      <x:c r="V204" t="str">
        <x:v>Alto Real Estate</x:v>
      </x:c>
      <x:c r="W204" t="str">
        <x:v>Ružinov</x:v>
      </x:c>
      <x:c r="X204" s="11" t="str">
        <x:v>unavailable</x:v>
      </x:c>
      <x:c r="Y204" s="11" t="str">
        <x:v>https://www.alvy.sk/byt/14-b-10</x:v>
      </x:c>
      <x:c r="Z204" s="11" t="n">
        <x:v>46251.740894027775</x:v>
      </x:c>
      <x:c r="AA204" s="11" t="n">
        <x:v>46254.51251577547</x:v>
      </x:c>
      <x:c r="AB204" s="11" t="n">
        <x:v>46254.51251577547</x:v>
      </x:c>
      <x:c r="AC204" t="str">
        <x:v>alvy</x:v>
      </x:c>
    </x:row>
    <x:row r="205" ht="22" customHeight="1">
      <x:c r="A205" t="str">
        <x:v>ALVY</x:v>
      </x:c>
      <x:c r="B205" t="str">
        <x:v>14.b.11</x:v>
      </x:c>
      <x:c r="C205" t="str">
        <x:v>not_for_sale</x:v>
      </x:c>
      <x:c r="D205" t="str">
        <x:v>present</x:v>
      </x:c>
      <x:c r="E205" t="str">
        <x:v>baseline</x:v>
      </x:c>
      <x:c r="F205" s="11" t="n">
        <x:v>46251.740894027775</x:v>
      </x:c>
      <x:c r="G205" t="str">
        <x:v>flat</x:v>
      </x:c>
      <x:c r="H205" s="12" t="n">
        <x:v>2</x:v>
      </x:c>
      <x:c r="I205" s="13" t="n">
        <x:v>14</x:v>
      </x:c>
      <x:c r="J205" t="str">
        <x:v>SO 100</x:v>
      </x:c>
      <x:c r="K205" s="14" t="n">
        <x:v>47.7</x:v>
      </x:c>
      <x:c r="L205" s="14"/>
      <x:c r="M205" s="14"/>
      <x:c r="N205" s="14"/>
      <x:c r="O205" s="14"/>
      <x:c r="P205" s="14" t="n">
        <x:v>10.33</x:v>
      </x:c>
      <x:c r="Q205" s="14" t="n">
        <x:v>58.03</x:v>
      </x:c>
      <x:c r="R205" s="15"/>
      <x:c r="S205" s="15"/>
      <x:c r="T205" s="15"/>
      <x:c r="U205" s="16"/>
      <x:c r="V205" t="str">
        <x:v>Alto Real Estate</x:v>
      </x:c>
      <x:c r="W205" t="str">
        <x:v>Ružinov</x:v>
      </x:c>
      <x:c r="X205" s="11" t="str">
        <x:v>unavailable</x:v>
      </x:c>
      <x:c r="Y205" s="11" t="str">
        <x:v>https://www.alvy.sk/byt/14-b-11</x:v>
      </x:c>
      <x:c r="Z205" s="11" t="n">
        <x:v>46251.740894027775</x:v>
      </x:c>
      <x:c r="AA205" s="11" t="n">
        <x:v>46254.51251577547</x:v>
      </x:c>
      <x:c r="AB205" s="11" t="n">
        <x:v>46254.51251577547</x:v>
      </x:c>
      <x:c r="AC205" t="str">
        <x:v>alvy</x:v>
      </x:c>
    </x:row>
    <x:row r="206" ht="22" customHeight="1">
      <x:c r="A206" t="str">
        <x:v>ALVY</x:v>
      </x:c>
      <x:c r="B206" t="str">
        <x:v>14.b.12</x:v>
      </x:c>
      <x:c r="C206" t="str">
        <x:v>not_for_sale</x:v>
      </x:c>
      <x:c r="D206" t="str">
        <x:v>present</x:v>
      </x:c>
      <x:c r="E206" t="str">
        <x:v>baseline</x:v>
      </x:c>
      <x:c r="F206" s="11" t="n">
        <x:v>46251.740894027775</x:v>
      </x:c>
      <x:c r="G206" t="str">
        <x:v>flat</x:v>
      </x:c>
      <x:c r="H206" s="12" t="n">
        <x:v>2</x:v>
      </x:c>
      <x:c r="I206" s="13" t="n">
        <x:v>14</x:v>
      </x:c>
      <x:c r="J206" t="str">
        <x:v>SO 100</x:v>
      </x:c>
      <x:c r="K206" s="14" t="n">
        <x:v>47.54</x:v>
      </x:c>
      <x:c r="L206" s="14"/>
      <x:c r="M206" s="14"/>
      <x:c r="N206" s="14"/>
      <x:c r="O206" s="14"/>
      <x:c r="P206" s="14" t="n">
        <x:v>10.33</x:v>
      </x:c>
      <x:c r="Q206" s="14" t="n">
        <x:v>57.87</x:v>
      </x:c>
      <x:c r="R206" s="15"/>
      <x:c r="S206" s="15"/>
      <x:c r="T206" s="15"/>
      <x:c r="U206" s="16"/>
      <x:c r="V206" t="str">
        <x:v>Alto Real Estate</x:v>
      </x:c>
      <x:c r="W206" t="str">
        <x:v>Ružinov</x:v>
      </x:c>
      <x:c r="X206" s="11" t="str">
        <x:v>unavailable</x:v>
      </x:c>
      <x:c r="Y206" s="11" t="str">
        <x:v>https://www.alvy.sk/byt/14-b-12</x:v>
      </x:c>
      <x:c r="Z206" s="11" t="n">
        <x:v>46251.740894027775</x:v>
      </x:c>
      <x:c r="AA206" s="11" t="n">
        <x:v>46254.51251577547</x:v>
      </x:c>
      <x:c r="AB206" s="11" t="n">
        <x:v>46254.51251577547</x:v>
      </x:c>
      <x:c r="AC206" t="str">
        <x:v>alvy</x:v>
      </x:c>
    </x:row>
    <x:row r="207" ht="22" customHeight="1">
      <x:c r="A207" t="str">
        <x:v>ALVY</x:v>
      </x:c>
      <x:c r="B207" t="str">
        <x:v>15.b.01</x:v>
      </x:c>
      <x:c r="C207" t="str">
        <x:v>sold</x:v>
      </x:c>
      <x:c r="D207" t="str">
        <x:v>present</x:v>
      </x:c>
      <x:c r="E207" t="str">
        <x:v>baseline</x:v>
      </x:c>
      <x:c r="F207" s="11" t="n">
        <x:v>46251.740894027775</x:v>
      </x:c>
      <x:c r="G207" t="str">
        <x:v>flat</x:v>
      </x:c>
      <x:c r="H207" s="12" t="n">
        <x:v>3</x:v>
      </x:c>
      <x:c r="I207" s="13" t="n">
        <x:v>15</x:v>
      </x:c>
      <x:c r="J207" t="str">
        <x:v>SO 100</x:v>
      </x:c>
      <x:c r="K207" s="14" t="n">
        <x:v>75.66</x:v>
      </x:c>
      <x:c r="L207" s="14"/>
      <x:c r="M207" s="14"/>
      <x:c r="N207" s="14"/>
      <x:c r="O207" s="14"/>
      <x:c r="P207" s="14" t="n">
        <x:v>46.21</x:v>
      </x:c>
      <x:c r="Q207" s="14" t="n">
        <x:v>121.87</x:v>
      </x:c>
      <x:c r="R207" s="15"/>
      <x:c r="S207" s="15"/>
      <x:c r="T207" s="15"/>
      <x:c r="U207" s="16"/>
      <x:c r="V207" t="str">
        <x:v>Alto Real Estate</x:v>
      </x:c>
      <x:c r="W207" t="str">
        <x:v>Ružinov</x:v>
      </x:c>
      <x:c r="X207" s="11" t="str">
        <x:v>sold</x:v>
      </x:c>
      <x:c r="Y207" s="11" t="str">
        <x:v>https://www.alvy.sk/byt/15-b-01</x:v>
      </x:c>
      <x:c r="Z207" s="11" t="n">
        <x:v>46251.740894027775</x:v>
      </x:c>
      <x:c r="AA207" s="11" t="n">
        <x:v>46254.51251577547</x:v>
      </x:c>
      <x:c r="AB207" s="11" t="n">
        <x:v>46254.51251577547</x:v>
      </x:c>
      <x:c r="AC207" t="str">
        <x:v>alvy</x:v>
      </x:c>
    </x:row>
    <x:row r="208" ht="22" customHeight="1">
      <x:c r="A208" t="str">
        <x:v>ALVY</x:v>
      </x:c>
      <x:c r="B208" t="str">
        <x:v>15.b.02</x:v>
      </x:c>
      <x:c r="C208" t="str">
        <x:v>not_for_sale</x:v>
      </x:c>
      <x:c r="D208" t="str">
        <x:v>present</x:v>
      </x:c>
      <x:c r="E208" t="str">
        <x:v>baseline</x:v>
      </x:c>
      <x:c r="F208" s="11" t="n">
        <x:v>46251.740894027775</x:v>
      </x:c>
      <x:c r="G208" t="str">
        <x:v>flat</x:v>
      </x:c>
      <x:c r="H208" s="12" t="n">
        <x:v>4</x:v>
      </x:c>
      <x:c r="I208" s="13" t="n">
        <x:v>15</x:v>
      </x:c>
      <x:c r="J208" t="str">
        <x:v>SO 100</x:v>
      </x:c>
      <x:c r="K208" s="14" t="n">
        <x:v>95.5</x:v>
      </x:c>
      <x:c r="L208" s="14"/>
      <x:c r="M208" s="14"/>
      <x:c r="N208" s="14"/>
      <x:c r="O208" s="14"/>
      <x:c r="P208" s="14" t="n">
        <x:v>64.1</x:v>
      </x:c>
      <x:c r="Q208" s="14" t="n">
        <x:v>159.6</x:v>
      </x:c>
      <x:c r="R208" s="15"/>
      <x:c r="S208" s="15"/>
      <x:c r="T208" s="15"/>
      <x:c r="U208" s="16"/>
      <x:c r="V208" t="str">
        <x:v>Alto Real Estate</x:v>
      </x:c>
      <x:c r="W208" t="str">
        <x:v>Ružinov</x:v>
      </x:c>
      <x:c r="X208" s="11" t="str">
        <x:v>unavailable</x:v>
      </x:c>
      <x:c r="Y208" s="11" t="str">
        <x:v>https://www.alvy.sk/byt/15-b-02</x:v>
      </x:c>
      <x:c r="Z208" s="11" t="n">
        <x:v>46251.740894027775</x:v>
      </x:c>
      <x:c r="AA208" s="11" t="n">
        <x:v>46254.51251577547</x:v>
      </x:c>
      <x:c r="AB208" s="11" t="n">
        <x:v>46254.51251577547</x:v>
      </x:c>
      <x:c r="AC208" t="str">
        <x:v>alvy</x:v>
      </x:c>
    </x:row>
    <x:row r="209" ht="22" customHeight="1">
      <x:c r="A209" t="str">
        <x:v>ALVY</x:v>
      </x:c>
      <x:c r="B209" t="str">
        <x:v>15.b.03</x:v>
      </x:c>
      <x:c r="C209" t="str">
        <x:v>sold</x:v>
      </x:c>
      <x:c r="D209" t="str">
        <x:v>present</x:v>
      </x:c>
      <x:c r="E209" t="str">
        <x:v>baseline</x:v>
      </x:c>
      <x:c r="F209" s="11" t="n">
        <x:v>46251.740894027775</x:v>
      </x:c>
      <x:c r="G209" t="str">
        <x:v>flat</x:v>
      </x:c>
      <x:c r="H209" s="12" t="n">
        <x:v>4</x:v>
      </x:c>
      <x:c r="I209" s="13" t="n">
        <x:v>15</x:v>
      </x:c>
      <x:c r="J209" t="str">
        <x:v>SO 100</x:v>
      </x:c>
      <x:c r="K209" s="14" t="n">
        <x:v>95.73</x:v>
      </x:c>
      <x:c r="L209" s="14"/>
      <x:c r="M209" s="14"/>
      <x:c r="N209" s="14"/>
      <x:c r="O209" s="14"/>
      <x:c r="P209" s="14" t="n">
        <x:v>64.13</x:v>
      </x:c>
      <x:c r="Q209" s="14" t="n">
        <x:v>159.86</x:v>
      </x:c>
      <x:c r="R209" s="15"/>
      <x:c r="S209" s="15"/>
      <x:c r="T209" s="15"/>
      <x:c r="U209" s="16"/>
      <x:c r="V209" t="str">
        <x:v>Alto Real Estate</x:v>
      </x:c>
      <x:c r="W209" t="str">
        <x:v>Ružinov</x:v>
      </x:c>
      <x:c r="X209" s="11" t="str">
        <x:v>sold</x:v>
      </x:c>
      <x:c r="Y209" s="11" t="str">
        <x:v>https://www.alvy.sk/byt/15-b-03</x:v>
      </x:c>
      <x:c r="Z209" s="11" t="n">
        <x:v>46251.740894027775</x:v>
      </x:c>
      <x:c r="AA209" s="11" t="n">
        <x:v>46254.51251577547</x:v>
      </x:c>
      <x:c r="AB209" s="11" t="n">
        <x:v>46254.51251577547</x:v>
      </x:c>
      <x:c r="AC209" t="str">
        <x:v>alvy</x:v>
      </x:c>
    </x:row>
    <x:row r="210" ht="22" customHeight="1">
      <x:c r="A210" t="str">
        <x:v>ALVY</x:v>
      </x:c>
      <x:c r="B210" t="str">
        <x:v>15.b.04</x:v>
      </x:c>
      <x:c r="C210" t="str">
        <x:v>sold</x:v>
      </x:c>
      <x:c r="D210" t="str">
        <x:v>present</x:v>
      </x:c>
      <x:c r="E210" t="str">
        <x:v>baseline</x:v>
      </x:c>
      <x:c r="F210" s="11" t="n">
        <x:v>46251.740894027775</x:v>
      </x:c>
      <x:c r="G210" t="str">
        <x:v>flat</x:v>
      </x:c>
      <x:c r="H210" s="12" t="n">
        <x:v>4</x:v>
      </x:c>
      <x:c r="I210" s="13" t="n">
        <x:v>15</x:v>
      </x:c>
      <x:c r="J210" t="str">
        <x:v>SO 100</x:v>
      </x:c>
      <x:c r="K210" s="14" t="n">
        <x:v>100.77</x:v>
      </x:c>
      <x:c r="L210" s="14"/>
      <x:c r="M210" s="14"/>
      <x:c r="N210" s="14"/>
      <x:c r="O210" s="14"/>
      <x:c r="P210" s="14" t="n">
        <x:v>54.53</x:v>
      </x:c>
      <x:c r="Q210" s="14" t="n">
        <x:v>155.3</x:v>
      </x:c>
      <x:c r="R210" s="15"/>
      <x:c r="S210" s="15"/>
      <x:c r="T210" s="15"/>
      <x:c r="U210" s="16"/>
      <x:c r="V210" t="str">
        <x:v>Alto Real Estate</x:v>
      </x:c>
      <x:c r="W210" t="str">
        <x:v>Ružinov</x:v>
      </x:c>
      <x:c r="X210" s="11" t="str">
        <x:v>sold</x:v>
      </x:c>
      <x:c r="Y210" s="11" t="str">
        <x:v>https://www.alvy.sk/byt/15-b-04</x:v>
      </x:c>
      <x:c r="Z210" s="11" t="n">
        <x:v>46251.740894027775</x:v>
      </x:c>
      <x:c r="AA210" s="11" t="n">
        <x:v>46254.51251577547</x:v>
      </x:c>
      <x:c r="AB210" s="11" t="n">
        <x:v>46254.51251577547</x:v>
      </x:c>
      <x:c r="AC210" t="str">
        <x:v>alvy</x:v>
      </x:c>
    </x:row>
    <x:row r="211" ht="22" customHeight="1">
      <x:c r="A211" t="str">
        <x:v>BAYA</x:v>
      </x:c>
      <x:c r="B211" t="str">
        <x:v>5.01</x:v>
      </x:c>
      <x:c r="C211" t="str">
        <x:v>available</x:v>
      </x:c>
      <x:c r="D211" t="str">
        <x:v>present</x:v>
      </x:c>
      <x:c r="E211" t="str">
        <x:v>baseline</x:v>
      </x:c>
      <x:c r="F211" s="11" t="n">
        <x:v>46251.740894027775</x:v>
      </x:c>
      <x:c r="G211" t="str">
        <x:v>Byt</x:v>
      </x:c>
      <x:c r="H211" s="12" t="n">
        <x:v>2</x:v>
      </x:c>
      <x:c r="I211" s="13" t="n">
        <x:v>5</x:v>
      </x:c>
      <x:c r="J211" t="str">
        <x:v>BAYA</x:v>
      </x:c>
      <x:c r="K211" s="14" t="n">
        <x:v>56.35</x:v>
      </x:c>
      <x:c r="L211" s="14" t="n">
        <x:v>6.15</x:v>
      </x:c>
      <x:c r="M211" s="14" t="n">
        <x:v>0</x:v>
      </x:c>
      <x:c r="N211" s="14" t="n">
        <x:v>0</x:v>
      </x:c>
      <x:c r="O211" s="14"/>
      <x:c r="P211" s="14" t="n">
        <x:v>6.15</x:v>
      </x:c>
      <x:c r="Q211" s="14" t="n">
        <x:v>62.5</x:v>
      </x:c>
      <x:c r="R211" s="15" t="n">
        <x:v>340</x:v>
      </x:c>
      <x:c r="S211" s="15" t="n">
        <x:v>340</x:v>
      </x:c>
      <x:c r="T211" s="15"/>
      <x:c r="U211" s="16" t="n">
        <x:v>6.03</x:v>
      </x:c>
      <x:c r="V211" t="str">
        <x:v>BTK</x:v>
      </x:c>
      <x:c r="W211" t="str">
        <x:v>Ružinov</x:v>
      </x:c>
      <x:c r="X211" s="11" t="str">
        <x:v>Dostupný</x:v>
      </x:c>
      <x:c r="Y211" s="11" t="str">
        <x:v>https://www.baya.btk.sk/sk/byt/501</x:v>
      </x:c>
      <x:c r="Z211" s="11" t="n">
        <x:v>46251.740894027775</x:v>
      </x:c>
      <x:c r="AA211" s="11" t="n">
        <x:v>46254.51251577547</x:v>
      </x:c>
      <x:c r="AB211" s="11" t="n">
        <x:v>46254.51251577547</x:v>
      </x:c>
      <x:c r="AC211" t="str">
        <x:v>baya</x:v>
      </x:c>
    </x:row>
    <x:row r="212" ht="22" customHeight="1">
      <x:c r="A212" t="str">
        <x:v>BAYA</x:v>
      </x:c>
      <x:c r="B212" t="str">
        <x:v>5.02</x:v>
      </x:c>
      <x:c r="C212" t="str">
        <x:v>sold</x:v>
      </x:c>
      <x:c r="D212" t="str">
        <x:v>present</x:v>
      </x:c>
      <x:c r="E212" t="str">
        <x:v>baseline</x:v>
      </x:c>
      <x:c r="F212" s="11" t="n">
        <x:v>46251.740894027775</x:v>
      </x:c>
      <x:c r="G212" t="str">
        <x:v>Byt</x:v>
      </x:c>
      <x:c r="H212" s="12" t="n">
        <x:v>1</x:v>
      </x:c>
      <x:c r="I212" s="13" t="n">
        <x:v>5</x:v>
      </x:c>
      <x:c r="J212" t="str">
        <x:v>BAYA</x:v>
      </x:c>
      <x:c r="K212" s="14" t="n">
        <x:v>31.47</x:v>
      </x:c>
      <x:c r="L212" s="14" t="n">
        <x:v>6.15</x:v>
      </x:c>
      <x:c r="M212" s="14" t="n">
        <x:v>0</x:v>
      </x:c>
      <x:c r="N212" s="14" t="n">
        <x:v>0</x:v>
      </x:c>
      <x:c r="O212" s="14"/>
      <x:c r="P212" s="14" t="n">
        <x:v>6.15</x:v>
      </x:c>
      <x:c r="Q212" s="14" t="n">
        <x:v>37.62</x:v>
      </x:c>
      <x:c r="R212" s="15"/>
      <x:c r="S212" s="15"/>
      <x:c r="T212" s="15"/>
      <x:c r="U212" s="16"/>
      <x:c r="V212" t="str">
        <x:v>BTK</x:v>
      </x:c>
      <x:c r="W212" t="str">
        <x:v>Ružinov</x:v>
      </x:c>
      <x:c r="X212" s="11" t="str">
        <x:v>Predané</x:v>
      </x:c>
      <x:c r="Y212" s="11" t="str">
        <x:v>https://www.baya.btk.sk/sk/byt/502</x:v>
      </x:c>
      <x:c r="Z212" s="11" t="n">
        <x:v>46251.740894027775</x:v>
      </x:c>
      <x:c r="AA212" s="11" t="n">
        <x:v>46254.51251577547</x:v>
      </x:c>
      <x:c r="AB212" s="11" t="n">
        <x:v>46254.51251577547</x:v>
      </x:c>
      <x:c r="AC212" t="str">
        <x:v>baya</x:v>
      </x:c>
    </x:row>
    <x:row r="213" ht="22" customHeight="1">
      <x:c r="A213" t="str">
        <x:v>BAYA</x:v>
      </x:c>
      <x:c r="B213" t="str">
        <x:v>5.03</x:v>
      </x:c>
      <x:c r="C213" t="str">
        <x:v>available</x:v>
      </x:c>
      <x:c r="D213" t="str">
        <x:v>present</x:v>
      </x:c>
      <x:c r="E213" t="str">
        <x:v>baseline</x:v>
      </x:c>
      <x:c r="F213" s="11" t="n">
        <x:v>46251.740894027775</x:v>
      </x:c>
      <x:c r="G213" t="str">
        <x:v>Byt</x:v>
      </x:c>
      <x:c r="H213" s="12" t="n">
        <x:v>2</x:v>
      </x:c>
      <x:c r="I213" s="13" t="n">
        <x:v>5</x:v>
      </x:c>
      <x:c r="J213" t="str">
        <x:v>BAYA</x:v>
      </x:c>
      <x:c r="K213" s="14" t="n">
        <x:v>56.49</x:v>
      </x:c>
      <x:c r="L213" s="14" t="n">
        <x:v>7.5</x:v>
      </x:c>
      <x:c r="M213" s="14" t="n">
        <x:v>0</x:v>
      </x:c>
      <x:c r="N213" s="14" t="n">
        <x:v>0</x:v>
      </x:c>
      <x:c r="O213" s="14"/>
      <x:c r="P213" s="14" t="n">
        <x:v>7.5</x:v>
      </x:c>
      <x:c r="Q213" s="14" t="n">
        <x:v>63.99</x:v>
      </x:c>
      <x:c r="R213" s="15" t="n">
        <x:v>344</x:v>
      </x:c>
      <x:c r="S213" s="15" t="n">
        <x:v>344</x:v>
      </x:c>
      <x:c r="T213" s="15"/>
      <x:c r="U213" s="16" t="n">
        <x:v>6.09</x:v>
      </x:c>
      <x:c r="V213" t="str">
        <x:v>BTK</x:v>
      </x:c>
      <x:c r="W213" t="str">
        <x:v>Ružinov</x:v>
      </x:c>
      <x:c r="X213" s="11" t="str">
        <x:v>Dostupný</x:v>
      </x:c>
      <x:c r="Y213" s="11" t="str">
        <x:v>https://www.baya.btk.sk/sk/byt/503</x:v>
      </x:c>
      <x:c r="Z213" s="11" t="n">
        <x:v>46251.740894027775</x:v>
      </x:c>
      <x:c r="AA213" s="11" t="n">
        <x:v>46254.51251577547</x:v>
      </x:c>
      <x:c r="AB213" s="11" t="n">
        <x:v>46254.51251577547</x:v>
      </x:c>
      <x:c r="AC213" t="str">
        <x:v>baya</x:v>
      </x:c>
    </x:row>
    <x:row r="214" ht="22" customHeight="1">
      <x:c r="A214" t="str">
        <x:v>BAYA</x:v>
      </x:c>
      <x:c r="B214" t="str">
        <x:v>5.04</x:v>
      </x:c>
      <x:c r="C214" t="str">
        <x:v>available</x:v>
      </x:c>
      <x:c r="D214" t="str">
        <x:v>present</x:v>
      </x:c>
      <x:c r="E214" t="str">
        <x:v>baseline</x:v>
      </x:c>
      <x:c r="F214" s="11" t="n">
        <x:v>46251.740894027775</x:v>
      </x:c>
      <x:c r="G214" t="str">
        <x:v>Byt</x:v>
      </x:c>
      <x:c r="H214" s="12" t="n">
        <x:v>2</x:v>
      </x:c>
      <x:c r="I214" s="13" t="n">
        <x:v>5</x:v>
      </x:c>
      <x:c r="J214" t="str">
        <x:v>BAYA</x:v>
      </x:c>
      <x:c r="K214" s="14" t="n">
        <x:v>57.66</x:v>
      </x:c>
      <x:c r="L214" s="14" t="n">
        <x:v>6.15</x:v>
      </x:c>
      <x:c r="M214" s="14" t="n">
        <x:v>0</x:v>
      </x:c>
      <x:c r="N214" s="14" t="n">
        <x:v>0</x:v>
      </x:c>
      <x:c r="O214" s="14"/>
      <x:c r="P214" s="14" t="n">
        <x:v>6.15</x:v>
      </x:c>
      <x:c r="Q214" s="14" t="n">
        <x:v>63.81</x:v>
      </x:c>
      <x:c r="R214" s="15" t="n">
        <x:v>353</x:v>
      </x:c>
      <x:c r="S214" s="15" t="n">
        <x:v>353</x:v>
      </x:c>
      <x:c r="T214" s="15"/>
      <x:c r="U214" s="16" t="n">
        <x:v>6.12</x:v>
      </x:c>
      <x:c r="V214" t="str">
        <x:v>BTK</x:v>
      </x:c>
      <x:c r="W214" t="str">
        <x:v>Ružinov</x:v>
      </x:c>
      <x:c r="X214" s="11" t="str">
        <x:v>Dostupný</x:v>
      </x:c>
      <x:c r="Y214" s="11" t="str">
        <x:v>https://www.baya.btk.sk/sk/byt/504</x:v>
      </x:c>
      <x:c r="Z214" s="11" t="n">
        <x:v>46251.740894027775</x:v>
      </x:c>
      <x:c r="AA214" s="11" t="n">
        <x:v>46254.51251577547</x:v>
      </x:c>
      <x:c r="AB214" s="11" t="n">
        <x:v>46254.51251577547</x:v>
      </x:c>
      <x:c r="AC214" t="str">
        <x:v>baya</x:v>
      </x:c>
    </x:row>
    <x:row r="215" ht="22" customHeight="1">
      <x:c r="A215" t="str">
        <x:v>BAYA</x:v>
      </x:c>
      <x:c r="B215" t="str">
        <x:v>5.05</x:v>
      </x:c>
      <x:c r="C215" t="str">
        <x:v>available</x:v>
      </x:c>
      <x:c r="D215" t="str">
        <x:v>present</x:v>
      </x:c>
      <x:c r="E215" t="str">
        <x:v>baseline</x:v>
      </x:c>
      <x:c r="F215" s="11" t="n">
        <x:v>46251.740894027775</x:v>
      </x:c>
      <x:c r="G215" t="str">
        <x:v>Byt</x:v>
      </x:c>
      <x:c r="H215" s="12" t="n">
        <x:v>2</x:v>
      </x:c>
      <x:c r="I215" s="13" t="n">
        <x:v>5</x:v>
      </x:c>
      <x:c r="J215" t="str">
        <x:v>BAYA</x:v>
      </x:c>
      <x:c r="K215" s="14" t="n">
        <x:v>57.66</x:v>
      </x:c>
      <x:c r="L215" s="14" t="n">
        <x:v>6.15</x:v>
      </x:c>
      <x:c r="M215" s="14" t="n">
        <x:v>0</x:v>
      </x:c>
      <x:c r="N215" s="14" t="n">
        <x:v>0</x:v>
      </x:c>
      <x:c r="O215" s="14"/>
      <x:c r="P215" s="14" t="n">
        <x:v>6.15</x:v>
      </x:c>
      <x:c r="Q215" s="14" t="n">
        <x:v>63.81</x:v>
      </x:c>
      <x:c r="R215" s="15" t="n">
        <x:v>347</x:v>
      </x:c>
      <x:c r="S215" s="15" t="n">
        <x:v>347</x:v>
      </x:c>
      <x:c r="T215" s="15"/>
      <x:c r="U215" s="16" t="n">
        <x:v>6.02</x:v>
      </x:c>
      <x:c r="V215" t="str">
        <x:v>BTK</x:v>
      </x:c>
      <x:c r="W215" t="str">
        <x:v>Ružinov</x:v>
      </x:c>
      <x:c r="X215" s="11" t="str">
        <x:v>Dostupný</x:v>
      </x:c>
      <x:c r="Y215" s="11" t="str">
        <x:v>https://www.baya.btk.sk/sk/byt/505</x:v>
      </x:c>
      <x:c r="Z215" s="11" t="n">
        <x:v>46251.740894027775</x:v>
      </x:c>
      <x:c r="AA215" s="11" t="n">
        <x:v>46254.51251577547</x:v>
      </x:c>
      <x:c r="AB215" s="11" t="n">
        <x:v>46254.51251577547</x:v>
      </x:c>
      <x:c r="AC215" t="str">
        <x:v>baya</x:v>
      </x:c>
    </x:row>
    <x:row r="216" ht="22" customHeight="1">
      <x:c r="A216" t="str">
        <x:v>BAYA</x:v>
      </x:c>
      <x:c r="B216" t="str">
        <x:v>5.06</x:v>
      </x:c>
      <x:c r="C216" t="str">
        <x:v>available</x:v>
      </x:c>
      <x:c r="D216" t="str">
        <x:v>present</x:v>
      </x:c>
      <x:c r="E216" t="str">
        <x:v>baseline</x:v>
      </x:c>
      <x:c r="F216" s="11" t="n">
        <x:v>46251.740894027775</x:v>
      </x:c>
      <x:c r="G216" t="str">
        <x:v>Byt</x:v>
      </x:c>
      <x:c r="H216" s="12" t="n">
        <x:v>2</x:v>
      </x:c>
      <x:c r="I216" s="13" t="n">
        <x:v>5</x:v>
      </x:c>
      <x:c r="J216" t="str">
        <x:v>BAYA</x:v>
      </x:c>
      <x:c r="K216" s="14" t="n">
        <x:v>57.63</x:v>
      </x:c>
      <x:c r="L216" s="14" t="n">
        <x:v>8.6</x:v>
      </x:c>
      <x:c r="M216" s="14" t="n">
        <x:v>0</x:v>
      </x:c>
      <x:c r="N216" s="14" t="n">
        <x:v>0</x:v>
      </x:c>
      <x:c r="O216" s="14"/>
      <x:c r="P216" s="14" t="n">
        <x:v>8.6</x:v>
      </x:c>
      <x:c r="Q216" s="14" t="n">
        <x:v>66.23</x:v>
      </x:c>
      <x:c r="R216" s="15" t="n">
        <x:v>360</x:v>
      </x:c>
      <x:c r="S216" s="15" t="n">
        <x:v>360</x:v>
      </x:c>
      <x:c r="T216" s="15"/>
      <x:c r="U216" s="16" t="n">
        <x:v>6.25</x:v>
      </x:c>
      <x:c r="V216" t="str">
        <x:v>BTK</x:v>
      </x:c>
      <x:c r="W216" t="str">
        <x:v>Ružinov</x:v>
      </x:c>
      <x:c r="X216" s="11" t="str">
        <x:v>Dostupný</x:v>
      </x:c>
      <x:c r="Y216" s="11" t="str">
        <x:v>https://www.baya.btk.sk/sk/byt/506</x:v>
      </x:c>
      <x:c r="Z216" s="11" t="n">
        <x:v>46251.740894027775</x:v>
      </x:c>
      <x:c r="AA216" s="11" t="n">
        <x:v>46254.51251577547</x:v>
      </x:c>
      <x:c r="AB216" s="11" t="n">
        <x:v>46254.51251577547</x:v>
      </x:c>
      <x:c r="AC216" t="str">
        <x:v>baya</x:v>
      </x:c>
    </x:row>
    <x:row r="217" ht="22" customHeight="1">
      <x:c r="A217" t="str">
        <x:v>BAYA</x:v>
      </x:c>
      <x:c r="B217" t="str">
        <x:v>5.07</x:v>
      </x:c>
      <x:c r="C217" t="str">
        <x:v>available</x:v>
      </x:c>
      <x:c r="D217" t="str">
        <x:v>present</x:v>
      </x:c>
      <x:c r="E217" t="str">
        <x:v>baseline</x:v>
      </x:c>
      <x:c r="F217" s="11" t="n">
        <x:v>46251.740894027775</x:v>
      </x:c>
      <x:c r="G217" t="str">
        <x:v>Byt</x:v>
      </x:c>
      <x:c r="H217" s="12" t="n">
        <x:v>2</x:v>
      </x:c>
      <x:c r="I217" s="13" t="n">
        <x:v>5</x:v>
      </x:c>
      <x:c r="J217" t="str">
        <x:v>BAYA</x:v>
      </x:c>
      <x:c r="K217" s="14" t="n">
        <x:v>56.2</x:v>
      </x:c>
      <x:c r="L217" s="14" t="n">
        <x:v>8.6</x:v>
      </x:c>
      <x:c r="M217" s="14" t="n">
        <x:v>0</x:v>
      </x:c>
      <x:c r="N217" s="14" t="n">
        <x:v>0</x:v>
      </x:c>
      <x:c r="O217" s="14"/>
      <x:c r="P217" s="14" t="n">
        <x:v>8.6</x:v>
      </x:c>
      <x:c r="Q217" s="14" t="n">
        <x:v>64.8</x:v>
      </x:c>
      <x:c r="R217" s="15" t="n">
        <x:v>346</x:v>
      </x:c>
      <x:c r="S217" s="15" t="n">
        <x:v>346</x:v>
      </x:c>
      <x:c r="T217" s="15"/>
      <x:c r="U217" s="16" t="n">
        <x:v>6.16</x:v>
      </x:c>
      <x:c r="V217" t="str">
        <x:v>BTK</x:v>
      </x:c>
      <x:c r="W217" t="str">
        <x:v>Ružinov</x:v>
      </x:c>
      <x:c r="X217" s="11" t="str">
        <x:v>Dostupný</x:v>
      </x:c>
      <x:c r="Y217" s="11" t="str">
        <x:v>https://www.baya.btk.sk/sk/byt/507</x:v>
      </x:c>
      <x:c r="Z217" s="11" t="n">
        <x:v>46251.740894027775</x:v>
      </x:c>
      <x:c r="AA217" s="11" t="n">
        <x:v>46254.51251577547</x:v>
      </x:c>
      <x:c r="AB217" s="11" t="n">
        <x:v>46254.51251577547</x:v>
      </x:c>
      <x:c r="AC217" t="str">
        <x:v>baya</x:v>
      </x:c>
    </x:row>
    <x:row r="218" ht="22" customHeight="1">
      <x:c r="A218" t="str">
        <x:v>BAYA</x:v>
      </x:c>
      <x:c r="B218" t="str">
        <x:v>5.08</x:v>
      </x:c>
      <x:c r="C218" t="str">
        <x:v>available</x:v>
      </x:c>
      <x:c r="D218" t="str">
        <x:v>present</x:v>
      </x:c>
      <x:c r="E218" t="str">
        <x:v>baseline</x:v>
      </x:c>
      <x:c r="F218" s="11" t="n">
        <x:v>46251.740894027775</x:v>
      </x:c>
      <x:c r="G218" t="str">
        <x:v>Byt</x:v>
      </x:c>
      <x:c r="H218" s="12" t="n">
        <x:v>2</x:v>
      </x:c>
      <x:c r="I218" s="13" t="n">
        <x:v>5</x:v>
      </x:c>
      <x:c r="J218" t="str">
        <x:v>BAYA</x:v>
      </x:c>
      <x:c r="K218" s="14" t="n">
        <x:v>57.52</x:v>
      </x:c>
      <x:c r="L218" s="14" t="n">
        <x:v>6.15</x:v>
      </x:c>
      <x:c r="M218" s="14" t="n">
        <x:v>0</x:v>
      </x:c>
      <x:c r="N218" s="14" t="n">
        <x:v>0</x:v>
      </x:c>
      <x:c r="O218" s="14"/>
      <x:c r="P218" s="14" t="n">
        <x:v>6.15</x:v>
      </x:c>
      <x:c r="Q218" s="14" t="n">
        <x:v>63.67</x:v>
      </x:c>
      <x:c r="R218" s="15" t="n">
        <x:v>352</x:v>
      </x:c>
      <x:c r="S218" s="15" t="n">
        <x:v>352</x:v>
      </x:c>
      <x:c r="T218" s="15"/>
      <x:c r="U218" s="16" t="n">
        <x:v>6.12</x:v>
      </x:c>
      <x:c r="V218" t="str">
        <x:v>BTK</x:v>
      </x:c>
      <x:c r="W218" t="str">
        <x:v>Ružinov</x:v>
      </x:c>
      <x:c r="X218" s="11" t="str">
        <x:v>Dostupný</x:v>
      </x:c>
      <x:c r="Y218" s="11" t="str">
        <x:v>https://www.baya.btk.sk/sk/byt/508</x:v>
      </x:c>
      <x:c r="Z218" s="11" t="n">
        <x:v>46251.740894027775</x:v>
      </x:c>
      <x:c r="AA218" s="11" t="n">
        <x:v>46254.51251577547</x:v>
      </x:c>
      <x:c r="AB218" s="11" t="n">
        <x:v>46254.51251577547</x:v>
      </x:c>
      <x:c r="AC218" t="str">
        <x:v>baya</x:v>
      </x:c>
    </x:row>
    <x:row r="219" ht="22" customHeight="1">
      <x:c r="A219" t="str">
        <x:v>BAYA</x:v>
      </x:c>
      <x:c r="B219" t="str">
        <x:v>5.09</x:v>
      </x:c>
      <x:c r="C219" t="str">
        <x:v>available</x:v>
      </x:c>
      <x:c r="D219" t="str">
        <x:v>present</x:v>
      </x:c>
      <x:c r="E219" t="str">
        <x:v>baseline</x:v>
      </x:c>
      <x:c r="F219" s="11" t="n">
        <x:v>46251.740894027775</x:v>
      </x:c>
      <x:c r="G219" t="str">
        <x:v>Byt</x:v>
      </x:c>
      <x:c r="H219" s="12" t="n">
        <x:v>2</x:v>
      </x:c>
      <x:c r="I219" s="13" t="n">
        <x:v>5</x:v>
      </x:c>
      <x:c r="J219" t="str">
        <x:v>BAYA</x:v>
      </x:c>
      <x:c r="K219" s="14" t="n">
        <x:v>57.66</x:v>
      </x:c>
      <x:c r="L219" s="14" t="n">
        <x:v>6.15</x:v>
      </x:c>
      <x:c r="M219" s="14" t="n">
        <x:v>0</x:v>
      </x:c>
      <x:c r="N219" s="14" t="n">
        <x:v>0</x:v>
      </x:c>
      <x:c r="O219" s="14"/>
      <x:c r="P219" s="14" t="n">
        <x:v>6.15</x:v>
      </x:c>
      <x:c r="Q219" s="14" t="n">
        <x:v>63.81</x:v>
      </x:c>
      <x:c r="R219" s="15" t="n">
        <x:v>347</x:v>
      </x:c>
      <x:c r="S219" s="15" t="n">
        <x:v>347</x:v>
      </x:c>
      <x:c r="T219" s="15"/>
      <x:c r="U219" s="16" t="n">
        <x:v>6.02</x:v>
      </x:c>
      <x:c r="V219" t="str">
        <x:v>BTK</x:v>
      </x:c>
      <x:c r="W219" t="str">
        <x:v>Ružinov</x:v>
      </x:c>
      <x:c r="X219" s="11" t="str">
        <x:v>Dostupný</x:v>
      </x:c>
      <x:c r="Y219" s="11" t="str">
        <x:v>https://www.baya.btk.sk/sk/byt/509</x:v>
      </x:c>
      <x:c r="Z219" s="11" t="n">
        <x:v>46251.740894027775</x:v>
      </x:c>
      <x:c r="AA219" s="11" t="n">
        <x:v>46254.51251577547</x:v>
      </x:c>
      <x:c r="AB219" s="11" t="n">
        <x:v>46254.51251577547</x:v>
      </x:c>
      <x:c r="AC219" t="str">
        <x:v>baya</x:v>
      </x:c>
    </x:row>
    <x:row r="220" ht="22" customHeight="1">
      <x:c r="A220" t="str">
        <x:v>BAYA</x:v>
      </x:c>
      <x:c r="B220" t="str">
        <x:v>5.10</x:v>
      </x:c>
      <x:c r="C220" t="str">
        <x:v>sold</x:v>
      </x:c>
      <x:c r="D220" t="str">
        <x:v>present</x:v>
      </x:c>
      <x:c r="E220" t="str">
        <x:v>baseline</x:v>
      </x:c>
      <x:c r="F220" s="11" t="n">
        <x:v>46251.740894027775</x:v>
      </x:c>
      <x:c r="G220" t="str">
        <x:v>Byt</x:v>
      </x:c>
      <x:c r="H220" s="12" t="n">
        <x:v>2</x:v>
      </x:c>
      <x:c r="I220" s="13" t="n">
        <x:v>5</x:v>
      </x:c>
      <x:c r="J220" t="str">
        <x:v>BAYA</x:v>
      </x:c>
      <x:c r="K220" s="14" t="n">
        <x:v>57.63</x:v>
      </x:c>
      <x:c r="L220" s="14" t="n">
        <x:v>5.58</x:v>
      </x:c>
      <x:c r="M220" s="14" t="n">
        <x:v>0</x:v>
      </x:c>
      <x:c r="N220" s="14" t="n">
        <x:v>0</x:v>
      </x:c>
      <x:c r="O220" s="14"/>
      <x:c r="P220" s="14" t="n">
        <x:v>5.58</x:v>
      </x:c>
      <x:c r="Q220" s="14" t="n">
        <x:v>63.21</x:v>
      </x:c>
      <x:c r="R220" s="15"/>
      <x:c r="S220" s="15"/>
      <x:c r="T220" s="15"/>
      <x:c r="U220" s="16"/>
      <x:c r="V220" t="str">
        <x:v>BTK</x:v>
      </x:c>
      <x:c r="W220" t="str">
        <x:v>Ružinov</x:v>
      </x:c>
      <x:c r="X220" s="11" t="str">
        <x:v>Predané</x:v>
      </x:c>
      <x:c r="Y220" s="11" t="str">
        <x:v>https://www.baya.btk.sk/sk/byt/510</x:v>
      </x:c>
      <x:c r="Z220" s="11" t="n">
        <x:v>46251.740894027775</x:v>
      </x:c>
      <x:c r="AA220" s="11" t="n">
        <x:v>46254.51251577547</x:v>
      </x:c>
      <x:c r="AB220" s="11" t="n">
        <x:v>46254.51251577547</x:v>
      </x:c>
      <x:c r="AC220" t="str">
        <x:v>baya</x:v>
      </x:c>
    </x:row>
    <x:row r="221" ht="22" customHeight="1">
      <x:c r="A221" t="str">
        <x:v>BAYA</x:v>
      </x:c>
      <x:c r="B221" t="str">
        <x:v>5.11</x:v>
      </x:c>
      <x:c r="C221" t="str">
        <x:v>available</x:v>
      </x:c>
      <x:c r="D221" t="str">
        <x:v>present</x:v>
      </x:c>
      <x:c r="E221" t="str">
        <x:v>baseline</x:v>
      </x:c>
      <x:c r="F221" s="11" t="n">
        <x:v>46251.740894027775</x:v>
      </x:c>
      <x:c r="G221" t="str">
        <x:v>Byt</x:v>
      </x:c>
      <x:c r="H221" s="12" t="n">
        <x:v>2</x:v>
      </x:c>
      <x:c r="I221" s="13" t="n">
        <x:v>5</x:v>
      </x:c>
      <x:c r="J221" t="str">
        <x:v>BAYA</x:v>
      </x:c>
      <x:c r="K221" s="14" t="n">
        <x:v>57.63</x:v>
      </x:c>
      <x:c r="L221" s="14" t="n">
        <x:v>8.6</x:v>
      </x:c>
      <x:c r="M221" s="14" t="n">
        <x:v>0</x:v>
      </x:c>
      <x:c r="N221" s="14" t="n">
        <x:v>0</x:v>
      </x:c>
      <x:c r="O221" s="14"/>
      <x:c r="P221" s="14" t="n">
        <x:v>8.6</x:v>
      </x:c>
      <x:c r="Q221" s="14" t="n">
        <x:v>66.23</x:v>
      </x:c>
      <x:c r="R221" s="15" t="n">
        <x:v>354</x:v>
      </x:c>
      <x:c r="S221" s="15" t="n">
        <x:v>354</x:v>
      </x:c>
      <x:c r="T221" s="15"/>
      <x:c r="U221" s="16" t="n">
        <x:v>6.14</x:v>
      </x:c>
      <x:c r="V221" t="str">
        <x:v>BTK</x:v>
      </x:c>
      <x:c r="W221" t="str">
        <x:v>Ružinov</x:v>
      </x:c>
      <x:c r="X221" s="11" t="str">
        <x:v>Dostupný</x:v>
      </x:c>
      <x:c r="Y221" s="11" t="str">
        <x:v>https://www.baya.btk.sk/sk/byt/511</x:v>
      </x:c>
      <x:c r="Z221" s="11" t="n">
        <x:v>46251.740894027775</x:v>
      </x:c>
      <x:c r="AA221" s="11" t="n">
        <x:v>46254.51251577547</x:v>
      </x:c>
      <x:c r="AB221" s="11" t="n">
        <x:v>46254.51251577547</x:v>
      </x:c>
      <x:c r="AC221" t="str">
        <x:v>baya</x:v>
      </x:c>
    </x:row>
    <x:row r="222" ht="22" customHeight="1">
      <x:c r="A222" t="str">
        <x:v>BAYA</x:v>
      </x:c>
      <x:c r="B222" t="str">
        <x:v>5.12</x:v>
      </x:c>
      <x:c r="C222" t="str">
        <x:v>available</x:v>
      </x:c>
      <x:c r="D222" t="str">
        <x:v>present</x:v>
      </x:c>
      <x:c r="E222" t="str">
        <x:v>baseline</x:v>
      </x:c>
      <x:c r="F222" s="11" t="n">
        <x:v>46251.740894027775</x:v>
      </x:c>
      <x:c r="G222" t="str">
        <x:v>Byt</x:v>
      </x:c>
      <x:c r="H222" s="12" t="n">
        <x:v>1</x:v>
      </x:c>
      <x:c r="I222" s="13" t="n">
        <x:v>5</x:v>
      </x:c>
      <x:c r="J222" t="str">
        <x:v>BAYA</x:v>
      </x:c>
      <x:c r="K222" s="14" t="n">
        <x:v>35.35</x:v>
      </x:c>
      <x:c r="L222" s="14" t="n">
        <x:v>7.58</x:v>
      </x:c>
      <x:c r="M222" s="14" t="n">
        <x:v>0</x:v>
      </x:c>
      <x:c r="N222" s="14" t="n">
        <x:v>0</x:v>
      </x:c>
      <x:c r="O222" s="14"/>
      <x:c r="P222" s="14" t="n">
        <x:v>7.58</x:v>
      </x:c>
      <x:c r="Q222" s="14" t="n">
        <x:v>42.93</x:v>
      </x:c>
      <x:c r="R222" s="15" t="n">
        <x:v>229</x:v>
      </x:c>
      <x:c r="S222" s="15" t="n">
        <x:v>229</x:v>
      </x:c>
      <x:c r="T222" s="15"/>
      <x:c r="U222" s="16" t="n">
        <x:v>6.48</x:v>
      </x:c>
      <x:c r="V222" t="str">
        <x:v>BTK</x:v>
      </x:c>
      <x:c r="W222" t="str">
        <x:v>Ružinov</x:v>
      </x:c>
      <x:c r="X222" s="11" t="str">
        <x:v>Dostupný</x:v>
      </x:c>
      <x:c r="Y222" s="11" t="str">
        <x:v>https://www.baya.btk.sk/sk/byt/512</x:v>
      </x:c>
      <x:c r="Z222" s="11" t="n">
        <x:v>46251.740894027775</x:v>
      </x:c>
      <x:c r="AA222" s="11" t="n">
        <x:v>46254.51251577547</x:v>
      </x:c>
      <x:c r="AB222" s="11" t="n">
        <x:v>46254.51251577547</x:v>
      </x:c>
      <x:c r="AC222" t="str">
        <x:v>baya</x:v>
      </x:c>
    </x:row>
    <x:row r="223" ht="22" customHeight="1">
      <x:c r="A223" t="str">
        <x:v>BAYA</x:v>
      </x:c>
      <x:c r="B223" t="str">
        <x:v>5.13</x:v>
      </x:c>
      <x:c r="C223" t="str">
        <x:v>available</x:v>
      </x:c>
      <x:c r="D223" t="str">
        <x:v>present</x:v>
      </x:c>
      <x:c r="E223" t="str">
        <x:v>baseline</x:v>
      </x:c>
      <x:c r="F223" s="11" t="n">
        <x:v>46251.740894027775</x:v>
      </x:c>
      <x:c r="G223" t="str">
        <x:v>Byt</x:v>
      </x:c>
      <x:c r="H223" s="12" t="n">
        <x:v>1</x:v>
      </x:c>
      <x:c r="I223" s="13" t="n">
        <x:v>5</x:v>
      </x:c>
      <x:c r="J223" t="str">
        <x:v>BAYA</x:v>
      </x:c>
      <x:c r="K223" s="14" t="n">
        <x:v>35.34</x:v>
      </x:c>
      <x:c r="L223" s="14" t="n">
        <x:v>6</x:v>
      </x:c>
      <x:c r="M223" s="14" t="n">
        <x:v>0</x:v>
      </x:c>
      <x:c r="N223" s="14" t="n">
        <x:v>0</x:v>
      </x:c>
      <x:c r="O223" s="14"/>
      <x:c r="P223" s="14" t="n">
        <x:v>6</x:v>
      </x:c>
      <x:c r="Q223" s="14" t="n">
        <x:v>41.34</x:v>
      </x:c>
      <x:c r="R223" s="15" t="n">
        <x:v>221</x:v>
      </x:c>
      <x:c r="S223" s="15" t="n">
        <x:v>221</x:v>
      </x:c>
      <x:c r="T223" s="15"/>
      <x:c r="U223" s="16" t="n">
        <x:v>6.25</x:v>
      </x:c>
      <x:c r="V223" t="str">
        <x:v>BTK</x:v>
      </x:c>
      <x:c r="W223" t="str">
        <x:v>Ružinov</x:v>
      </x:c>
      <x:c r="X223" s="11" t="str">
        <x:v>Dostupný</x:v>
      </x:c>
      <x:c r="Y223" s="11" t="str">
        <x:v>https://www.baya.btk.sk/sk/byt/513</x:v>
      </x:c>
      <x:c r="Z223" s="11" t="n">
        <x:v>46251.740894027775</x:v>
      </x:c>
      <x:c r="AA223" s="11" t="n">
        <x:v>46254.51251577547</x:v>
      </x:c>
      <x:c r="AB223" s="11" t="n">
        <x:v>46254.51251577547</x:v>
      </x:c>
      <x:c r="AC223" t="str">
        <x:v>baya</x:v>
      </x:c>
    </x:row>
    <x:row r="224" ht="22" customHeight="1">
      <x:c r="A224" t="str">
        <x:v>BAYA</x:v>
      </x:c>
      <x:c r="B224" t="str">
        <x:v>5.14</x:v>
      </x:c>
      <x:c r="C224" t="str">
        <x:v>sold</x:v>
      </x:c>
      <x:c r="D224" t="str">
        <x:v>present</x:v>
      </x:c>
      <x:c r="E224" t="str">
        <x:v>baseline</x:v>
      </x:c>
      <x:c r="F224" s="11" t="n">
        <x:v>46251.740894027775</x:v>
      </x:c>
      <x:c r="G224" t="str">
        <x:v>Byt</x:v>
      </x:c>
      <x:c r="H224" s="12" t="n">
        <x:v>3</x:v>
      </x:c>
      <x:c r="I224" s="13" t="n">
        <x:v>5</x:v>
      </x:c>
      <x:c r="J224" t="str">
        <x:v>BAYA</x:v>
      </x:c>
      <x:c r="K224" s="14" t="n">
        <x:v>67.15</x:v>
      </x:c>
      <x:c r="L224" s="14" t="n">
        <x:v>10.55</x:v>
      </x:c>
      <x:c r="M224" s="14" t="n">
        <x:v>0</x:v>
      </x:c>
      <x:c r="N224" s="14" t="n">
        <x:v>0</x:v>
      </x:c>
      <x:c r="O224" s="14"/>
      <x:c r="P224" s="14" t="n">
        <x:v>10.55</x:v>
      </x:c>
      <x:c r="Q224" s="14" t="n">
        <x:v>77.7</x:v>
      </x:c>
      <x:c r="R224" s="15"/>
      <x:c r="S224" s="15"/>
      <x:c r="T224" s="15"/>
      <x:c r="U224" s="16"/>
      <x:c r="V224" t="str">
        <x:v>BTK</x:v>
      </x:c>
      <x:c r="W224" t="str">
        <x:v>Ružinov</x:v>
      </x:c>
      <x:c r="X224" s="11" t="str">
        <x:v>Predané</x:v>
      </x:c>
      <x:c r="Y224" s="11" t="str">
        <x:v>https://www.baya.btk.sk/sk/byt/514</x:v>
      </x:c>
      <x:c r="Z224" s="11" t="n">
        <x:v>46251.740894027775</x:v>
      </x:c>
      <x:c r="AA224" s="11" t="n">
        <x:v>46254.51251577547</x:v>
      </x:c>
      <x:c r="AB224" s="11" t="n">
        <x:v>46254.51251577547</x:v>
      </x:c>
      <x:c r="AC224" t="str">
        <x:v>baya</x:v>
      </x:c>
    </x:row>
    <x:row r="225" ht="22" customHeight="1">
      <x:c r="A225" t="str">
        <x:v>BAYA</x:v>
      </x:c>
      <x:c r="B225" t="str">
        <x:v>5.15</x:v>
      </x:c>
      <x:c r="C225" t="str">
        <x:v>available</x:v>
      </x:c>
      <x:c r="D225" t="str">
        <x:v>present</x:v>
      </x:c>
      <x:c r="E225" t="str">
        <x:v>baseline</x:v>
      </x:c>
      <x:c r="F225" s="11" t="n">
        <x:v>46251.740894027775</x:v>
      </x:c>
      <x:c r="G225" t="str">
        <x:v>Byt</x:v>
      </x:c>
      <x:c r="H225" s="12" t="n">
        <x:v>3</x:v>
      </x:c>
      <x:c r="I225" s="13" t="n">
        <x:v>5</x:v>
      </x:c>
      <x:c r="J225" t="str">
        <x:v>BAYA</x:v>
      </x:c>
      <x:c r="K225" s="14" t="n">
        <x:v>61.2</x:v>
      </x:c>
      <x:c r="L225" s="14" t="n">
        <x:v>9.65</x:v>
      </x:c>
      <x:c r="M225" s="14" t="n">
        <x:v>0</x:v>
      </x:c>
      <x:c r="N225" s="14" t="n">
        <x:v>0</x:v>
      </x:c>
      <x:c r="O225" s="14"/>
      <x:c r="P225" s="14" t="n">
        <x:v>9.65</x:v>
      </x:c>
      <x:c r="Q225" s="14" t="n">
        <x:v>70.85</x:v>
      </x:c>
      <x:c r="R225" s="15" t="n">
        <x:v>344</x:v>
      </x:c>
      <x:c r="S225" s="15" t="n">
        <x:v>344</x:v>
      </x:c>
      <x:c r="T225" s="15"/>
      <x:c r="U225" s="16" t="n">
        <x:v>5.62</x:v>
      </x:c>
      <x:c r="V225" t="str">
        <x:v>BTK</x:v>
      </x:c>
      <x:c r="W225" t="str">
        <x:v>Ružinov</x:v>
      </x:c>
      <x:c r="X225" s="11" t="str">
        <x:v>Dostupný</x:v>
      </x:c>
      <x:c r="Y225" s="11" t="str">
        <x:v>https://www.baya.btk.sk/sk/byt/515</x:v>
      </x:c>
      <x:c r="Z225" s="11" t="n">
        <x:v>46251.740894027775</x:v>
      </x:c>
      <x:c r="AA225" s="11" t="n">
        <x:v>46254.51251577547</x:v>
      </x:c>
      <x:c r="AB225" s="11" t="n">
        <x:v>46254.51251577547</x:v>
      </x:c>
      <x:c r="AC225" t="str">
        <x:v>baya</x:v>
      </x:c>
    </x:row>
    <x:row r="226" ht="22" customHeight="1">
      <x:c r="A226" t="str">
        <x:v>BAYA</x:v>
      </x:c>
      <x:c r="B226" t="str">
        <x:v>5.16</x:v>
      </x:c>
      <x:c r="C226" t="str">
        <x:v>sold</x:v>
      </x:c>
      <x:c r="D226" t="str">
        <x:v>present</x:v>
      </x:c>
      <x:c r="E226" t="str">
        <x:v>baseline</x:v>
      </x:c>
      <x:c r="F226" s="11" t="n">
        <x:v>46251.740894027775</x:v>
      </x:c>
      <x:c r="G226" t="str">
        <x:v>Byt</x:v>
      </x:c>
      <x:c r="H226" s="12" t="n">
        <x:v>3</x:v>
      </x:c>
      <x:c r="I226" s="13" t="n">
        <x:v>5</x:v>
      </x:c>
      <x:c r="J226" t="str">
        <x:v>BAYA</x:v>
      </x:c>
      <x:c r="K226" s="14" t="n">
        <x:v>58.02</x:v>
      </x:c>
      <x:c r="L226" s="14" t="n">
        <x:v>10.55</x:v>
      </x:c>
      <x:c r="M226" s="14" t="n">
        <x:v>0</x:v>
      </x:c>
      <x:c r="N226" s="14" t="n">
        <x:v>0</x:v>
      </x:c>
      <x:c r="O226" s="14"/>
      <x:c r="P226" s="14" t="n">
        <x:v>10.55</x:v>
      </x:c>
      <x:c r="Q226" s="14" t="n">
        <x:v>68.57</x:v>
      </x:c>
      <x:c r="R226" s="15"/>
      <x:c r="S226" s="15"/>
      <x:c r="T226" s="15"/>
      <x:c r="U226" s="16"/>
      <x:c r="V226" t="str">
        <x:v>BTK</x:v>
      </x:c>
      <x:c r="W226" t="str">
        <x:v>Ružinov</x:v>
      </x:c>
      <x:c r="X226" s="11" t="str">
        <x:v>Predané</x:v>
      </x:c>
      <x:c r="Y226" s="11" t="str">
        <x:v>https://www.baya.btk.sk/sk/byt/516</x:v>
      </x:c>
      <x:c r="Z226" s="11" t="n">
        <x:v>46251.740894027775</x:v>
      </x:c>
      <x:c r="AA226" s="11" t="n">
        <x:v>46254.51251577547</x:v>
      </x:c>
      <x:c r="AB226" s="11" t="n">
        <x:v>46254.51251577547</x:v>
      </x:c>
      <x:c r="AC226" t="str">
        <x:v>baya</x:v>
      </x:c>
    </x:row>
    <x:row r="227" ht="22" customHeight="1">
      <x:c r="A227" t="str">
        <x:v>BAYA</x:v>
      </x:c>
      <x:c r="B227" t="str">
        <x:v>5.17</x:v>
      </x:c>
      <x:c r="C227" t="str">
        <x:v>sold</x:v>
      </x:c>
      <x:c r="D227" t="str">
        <x:v>present</x:v>
      </x:c>
      <x:c r="E227" t="str">
        <x:v>baseline</x:v>
      </x:c>
      <x:c r="F227" s="11" t="n">
        <x:v>46251.740894027775</x:v>
      </x:c>
      <x:c r="G227" t="str">
        <x:v>Byt</x:v>
      </x:c>
      <x:c r="H227" s="12" t="n">
        <x:v>2</x:v>
      </x:c>
      <x:c r="I227" s="13" t="n">
        <x:v>5</x:v>
      </x:c>
      <x:c r="J227" t="str">
        <x:v>BAYA</x:v>
      </x:c>
      <x:c r="K227" s="14" t="n">
        <x:v>44.75</x:v>
      </x:c>
      <x:c r="L227" s="14" t="n">
        <x:v>0</x:v>
      </x:c>
      <x:c r="M227" s="14" t="n">
        <x:v>15.13</x:v>
      </x:c>
      <x:c r="N227" s="14" t="n">
        <x:v>0</x:v>
      </x:c>
      <x:c r="O227" s="14"/>
      <x:c r="P227" s="14" t="n">
        <x:v>15.13</x:v>
      </x:c>
      <x:c r="Q227" s="14" t="n">
        <x:v>59.88</x:v>
      </x:c>
      <x:c r="R227" s="15"/>
      <x:c r="S227" s="15"/>
      <x:c r="T227" s="15"/>
      <x:c r="U227" s="16"/>
      <x:c r="V227" t="str">
        <x:v>BTK</x:v>
      </x:c>
      <x:c r="W227" t="str">
        <x:v>Ružinov</x:v>
      </x:c>
      <x:c r="X227" s="11" t="str">
        <x:v>Predané</x:v>
      </x:c>
      <x:c r="Y227" s="11" t="str">
        <x:v>https://www.baya.btk.sk/sk/byt/517</x:v>
      </x:c>
      <x:c r="Z227" s="11" t="n">
        <x:v>46251.740894027775</x:v>
      </x:c>
      <x:c r="AA227" s="11" t="n">
        <x:v>46254.51251577547</x:v>
      </x:c>
      <x:c r="AB227" s="11" t="n">
        <x:v>46254.51251577547</x:v>
      </x:c>
      <x:c r="AC227" t="str">
        <x:v>baya</x:v>
      </x:c>
    </x:row>
    <x:row r="228" ht="22" customHeight="1">
      <x:c r="A228" t="str">
        <x:v>BAYA</x:v>
      </x:c>
      <x:c r="B228" t="str">
        <x:v>5.18</x:v>
      </x:c>
      <x:c r="C228" t="str">
        <x:v>sold</x:v>
      </x:c>
      <x:c r="D228" t="str">
        <x:v>present</x:v>
      </x:c>
      <x:c r="E228" t="str">
        <x:v>baseline</x:v>
      </x:c>
      <x:c r="F228" s="11" t="n">
        <x:v>46251.740894027775</x:v>
      </x:c>
      <x:c r="G228" t="str">
        <x:v>Byt</x:v>
      </x:c>
      <x:c r="H228" s="12" t="n">
        <x:v>1</x:v>
      </x:c>
      <x:c r="I228" s="13" t="n">
        <x:v>5</x:v>
      </x:c>
      <x:c r="J228" t="str">
        <x:v>BAYA</x:v>
      </x:c>
      <x:c r="K228" s="14" t="n">
        <x:v>31.87</x:v>
      </x:c>
      <x:c r="L228" s="14" t="n">
        <x:v>7.58</x:v>
      </x:c>
      <x:c r="M228" s="14" t="n">
        <x:v>0</x:v>
      </x:c>
      <x:c r="N228" s="14" t="n">
        <x:v>0</x:v>
      </x:c>
      <x:c r="O228" s="14"/>
      <x:c r="P228" s="14" t="n">
        <x:v>7.58</x:v>
      </x:c>
      <x:c r="Q228" s="14" t="n">
        <x:v>39.45</x:v>
      </x:c>
      <x:c r="R228" s="15"/>
      <x:c r="S228" s="15"/>
      <x:c r="T228" s="15"/>
      <x:c r="U228" s="16"/>
      <x:c r="V228" t="str">
        <x:v>BTK</x:v>
      </x:c>
      <x:c r="W228" t="str">
        <x:v>Ružinov</x:v>
      </x:c>
      <x:c r="X228" s="11" t="str">
        <x:v>Predané</x:v>
      </x:c>
      <x:c r="Y228" s="11" t="str">
        <x:v>https://www.baya.btk.sk/sk/byt/518</x:v>
      </x:c>
      <x:c r="Z228" s="11" t="n">
        <x:v>46251.740894027775</x:v>
      </x:c>
      <x:c r="AA228" s="11" t="n">
        <x:v>46254.51251577547</x:v>
      </x:c>
      <x:c r="AB228" s="11" t="n">
        <x:v>46254.51251577547</x:v>
      </x:c>
      <x:c r="AC228" t="str">
        <x:v>baya</x:v>
      </x:c>
    </x:row>
    <x:row r="229" ht="22" customHeight="1">
      <x:c r="A229" t="str">
        <x:v>BAYA</x:v>
      </x:c>
      <x:c r="B229" t="str">
        <x:v>5.19</x:v>
      </x:c>
      <x:c r="C229" t="str">
        <x:v>sold</x:v>
      </x:c>
      <x:c r="D229" t="str">
        <x:v>present</x:v>
      </x:c>
      <x:c r="E229" t="str">
        <x:v>baseline</x:v>
      </x:c>
      <x:c r="F229" s="11" t="n">
        <x:v>46251.740894027775</x:v>
      </x:c>
      <x:c r="G229" t="str">
        <x:v>Byt</x:v>
      </x:c>
      <x:c r="H229" s="12" t="n">
        <x:v>1</x:v>
      </x:c>
      <x:c r="I229" s="13" t="n">
        <x:v>5</x:v>
      </x:c>
      <x:c r="J229" t="str">
        <x:v>BAYA</x:v>
      </x:c>
      <x:c r="K229" s="14" t="n">
        <x:v>31.87</x:v>
      </x:c>
      <x:c r="L229" s="14" t="n">
        <x:v>0</x:v>
      </x:c>
      <x:c r="M229" s="14" t="n">
        <x:v>8.27</x:v>
      </x:c>
      <x:c r="N229" s="14" t="n">
        <x:v>0</x:v>
      </x:c>
      <x:c r="O229" s="14"/>
      <x:c r="P229" s="14" t="n">
        <x:v>8.27</x:v>
      </x:c>
      <x:c r="Q229" s="14" t="n">
        <x:v>40.14</x:v>
      </x:c>
      <x:c r="R229" s="15"/>
      <x:c r="S229" s="15"/>
      <x:c r="T229" s="15"/>
      <x:c r="U229" s="16"/>
      <x:c r="V229" t="str">
        <x:v>BTK</x:v>
      </x:c>
      <x:c r="W229" t="str">
        <x:v>Ružinov</x:v>
      </x:c>
      <x:c r="X229" s="11" t="str">
        <x:v>Predané</x:v>
      </x:c>
      <x:c r="Y229" s="11" t="str">
        <x:v>https://www.baya.btk.sk/sk/byt/519</x:v>
      </x:c>
      <x:c r="Z229" s="11" t="n">
        <x:v>46251.740894027775</x:v>
      </x:c>
      <x:c r="AA229" s="11" t="n">
        <x:v>46254.51251577547</x:v>
      </x:c>
      <x:c r="AB229" s="11" t="n">
        <x:v>46254.51251577547</x:v>
      </x:c>
      <x:c r="AC229" t="str">
        <x:v>baya</x:v>
      </x:c>
    </x:row>
    <x:row r="230" ht="22" customHeight="1">
      <x:c r="A230" t="str">
        <x:v>BAYA</x:v>
      </x:c>
      <x:c r="B230" t="str">
        <x:v>5.20</x:v>
      </x:c>
      <x:c r="C230" t="str">
        <x:v>available</x:v>
      </x:c>
      <x:c r="D230" t="str">
        <x:v>present</x:v>
      </x:c>
      <x:c r="E230" t="str">
        <x:v>baseline</x:v>
      </x:c>
      <x:c r="F230" s="11" t="n">
        <x:v>46251.740894027775</x:v>
      </x:c>
      <x:c r="G230" t="str">
        <x:v>Byt</x:v>
      </x:c>
      <x:c r="H230" s="12" t="n">
        <x:v>2</x:v>
      </x:c>
      <x:c r="I230" s="13" t="n">
        <x:v>5</x:v>
      </x:c>
      <x:c r="J230" t="str">
        <x:v>BAYA</x:v>
      </x:c>
      <x:c r="K230" s="14" t="n">
        <x:v>52.64</x:v>
      </x:c>
      <x:c r="L230" s="14" t="n">
        <x:v>6.93</x:v>
      </x:c>
      <x:c r="M230" s="14" t="n">
        <x:v>0</x:v>
      </x:c>
      <x:c r="N230" s="14" t="n">
        <x:v>0</x:v>
      </x:c>
      <x:c r="O230" s="14"/>
      <x:c r="P230" s="14" t="n">
        <x:v>6.93</x:v>
      </x:c>
      <x:c r="Q230" s="14" t="n">
        <x:v>59.57</x:v>
      </x:c>
      <x:c r="R230" s="15" t="n">
        <x:v>326</x:v>
      </x:c>
      <x:c r="S230" s="15" t="n">
        <x:v>326</x:v>
      </x:c>
      <x:c r="T230" s="15"/>
      <x:c r="U230" s="16" t="n">
        <x:v>6.19</x:v>
      </x:c>
      <x:c r="V230" t="str">
        <x:v>BTK</x:v>
      </x:c>
      <x:c r="W230" t="str">
        <x:v>Ružinov</x:v>
      </x:c>
      <x:c r="X230" s="11" t="str">
        <x:v>Dostupný</x:v>
      </x:c>
      <x:c r="Y230" s="11" t="str">
        <x:v>https://www.baya.btk.sk/sk/byt/520</x:v>
      </x:c>
      <x:c r="Z230" s="11" t="n">
        <x:v>46251.740894027775</x:v>
      </x:c>
      <x:c r="AA230" s="11" t="n">
        <x:v>46254.51251577547</x:v>
      </x:c>
      <x:c r="AB230" s="11" t="n">
        <x:v>46254.51251577547</x:v>
      </x:c>
      <x:c r="AC230" t="str">
        <x:v>baya</x:v>
      </x:c>
    </x:row>
    <x:row r="231" ht="22" customHeight="1">
      <x:c r="A231" t="str">
        <x:v>BAYA</x:v>
      </x:c>
      <x:c r="B231" t="str">
        <x:v>5.21</x:v>
      </x:c>
      <x:c r="C231" t="str">
        <x:v>available</x:v>
      </x:c>
      <x:c r="D231" t="str">
        <x:v>present</x:v>
      </x:c>
      <x:c r="E231" t="str">
        <x:v>baseline</x:v>
      </x:c>
      <x:c r="F231" s="11" t="n">
        <x:v>46251.740894027775</x:v>
      </x:c>
      <x:c r="G231" t="str">
        <x:v>Byt</x:v>
      </x:c>
      <x:c r="H231" s="12" t="n">
        <x:v>2</x:v>
      </x:c>
      <x:c r="I231" s="13" t="n">
        <x:v>5</x:v>
      </x:c>
      <x:c r="J231" t="str">
        <x:v>BAYA</x:v>
      </x:c>
      <x:c r="K231" s="14" t="n">
        <x:v>52.45</x:v>
      </x:c>
      <x:c r="L231" s="14" t="n">
        <x:v>0</x:v>
      </x:c>
      <x:c r="M231" s="14" t="n">
        <x:v>12.02</x:v>
      </x:c>
      <x:c r="N231" s="14" t="n">
        <x:v>0</x:v>
      </x:c>
      <x:c r="O231" s="14"/>
      <x:c r="P231" s="14" t="n">
        <x:v>12.02</x:v>
      </x:c>
      <x:c r="Q231" s="14" t="n">
        <x:v>64.47</x:v>
      </x:c>
      <x:c r="R231" s="15" t="n">
        <x:v>320</x:v>
      </x:c>
      <x:c r="S231" s="15" t="n">
        <x:v>320</x:v>
      </x:c>
      <x:c r="T231" s="15"/>
      <x:c r="U231" s="16" t="n">
        <x:v>6.1</x:v>
      </x:c>
      <x:c r="V231" t="str">
        <x:v>BTK</x:v>
      </x:c>
      <x:c r="W231" t="str">
        <x:v>Ružinov</x:v>
      </x:c>
      <x:c r="X231" s="11" t="str">
        <x:v>Dostupný</x:v>
      </x:c>
      <x:c r="Y231" s="11" t="str">
        <x:v>https://www.baya.btk.sk/sk/byt/521</x:v>
      </x:c>
      <x:c r="Z231" s="11" t="n">
        <x:v>46251.740894027775</x:v>
      </x:c>
      <x:c r="AA231" s="11" t="n">
        <x:v>46254.51251577547</x:v>
      </x:c>
      <x:c r="AB231" s="11" t="n">
        <x:v>46254.51251577547</x:v>
      </x:c>
      <x:c r="AC231" t="str">
        <x:v>baya</x:v>
      </x:c>
    </x:row>
    <x:row r="232" ht="22" customHeight="1">
      <x:c r="A232" t="str">
        <x:v>BAYA</x:v>
      </x:c>
      <x:c r="B232" t="str">
        <x:v>5.22</x:v>
      </x:c>
      <x:c r="C232" t="str">
        <x:v>sold</x:v>
      </x:c>
      <x:c r="D232" t="str">
        <x:v>present</x:v>
      </x:c>
      <x:c r="E232" t="str">
        <x:v>baseline</x:v>
      </x:c>
      <x:c r="F232" s="11" t="n">
        <x:v>46251.740894027775</x:v>
      </x:c>
      <x:c r="G232" t="str">
        <x:v>Byt</x:v>
      </x:c>
      <x:c r="H232" s="12" t="n">
        <x:v>2</x:v>
      </x:c>
      <x:c r="I232" s="13" t="n">
        <x:v>5</x:v>
      </x:c>
      <x:c r="J232" t="str">
        <x:v>BAYA</x:v>
      </x:c>
      <x:c r="K232" s="14" t="n">
        <x:v>52.64</x:v>
      </x:c>
      <x:c r="L232" s="14" t="n">
        <x:v>6.79</x:v>
      </x:c>
      <x:c r="M232" s="14" t="n">
        <x:v>0</x:v>
      </x:c>
      <x:c r="N232" s="14" t="n">
        <x:v>0</x:v>
      </x:c>
      <x:c r="O232" s="14"/>
      <x:c r="P232" s="14" t="n">
        <x:v>6.79</x:v>
      </x:c>
      <x:c r="Q232" s="14" t="n">
        <x:v>59.43</x:v>
      </x:c>
      <x:c r="R232" s="15"/>
      <x:c r="S232" s="15"/>
      <x:c r="T232" s="15"/>
      <x:c r="U232" s="16"/>
      <x:c r="V232" t="str">
        <x:v>BTK</x:v>
      </x:c>
      <x:c r="W232" t="str">
        <x:v>Ružinov</x:v>
      </x:c>
      <x:c r="X232" s="11" t="str">
        <x:v>Predané</x:v>
      </x:c>
      <x:c r="Y232" s="11" t="str">
        <x:v>https://www.baya.btk.sk/sk/byt/522</x:v>
      </x:c>
      <x:c r="Z232" s="11" t="n">
        <x:v>46251.740894027775</x:v>
      </x:c>
      <x:c r="AA232" s="11" t="n">
        <x:v>46254.51251577547</x:v>
      </x:c>
      <x:c r="AB232" s="11" t="n">
        <x:v>46254.51251577547</x:v>
      </x:c>
      <x:c r="AC232" t="str">
        <x:v>baya</x:v>
      </x:c>
    </x:row>
    <x:row r="233" ht="22" customHeight="1">
      <x:c r="A233" t="str">
        <x:v>BAYA</x:v>
      </x:c>
      <x:c r="B233" t="str">
        <x:v>5.23</x:v>
      </x:c>
      <x:c r="C233" t="str">
        <x:v>available</x:v>
      </x:c>
      <x:c r="D233" t="str">
        <x:v>present</x:v>
      </x:c>
      <x:c r="E233" t="str">
        <x:v>baseline</x:v>
      </x:c>
      <x:c r="F233" s="11" t="n">
        <x:v>46251.740894027775</x:v>
      </x:c>
      <x:c r="G233" t="str">
        <x:v>Byt</x:v>
      </x:c>
      <x:c r="H233" s="12" t="n">
        <x:v>2</x:v>
      </x:c>
      <x:c r="I233" s="13" t="n">
        <x:v>5</x:v>
      </x:c>
      <x:c r="J233" t="str">
        <x:v>BAYA</x:v>
      </x:c>
      <x:c r="K233" s="14" t="n">
        <x:v>52.64</x:v>
      </x:c>
      <x:c r="L233" s="14" t="n">
        <x:v>0</x:v>
      </x:c>
      <x:c r="M233" s="14" t="n">
        <x:v>12.02</x:v>
      </x:c>
      <x:c r="N233" s="14" t="n">
        <x:v>0</x:v>
      </x:c>
      <x:c r="O233" s="14"/>
      <x:c r="P233" s="14" t="n">
        <x:v>12.02</x:v>
      </x:c>
      <x:c r="Q233" s="14" t="n">
        <x:v>64.66</x:v>
      </x:c>
      <x:c r="R233" s="15" t="n">
        <x:v>321</x:v>
      </x:c>
      <x:c r="S233" s="15" t="n">
        <x:v>321</x:v>
      </x:c>
      <x:c r="T233" s="15"/>
      <x:c r="U233" s="16" t="n">
        <x:v>6.1</x:v>
      </x:c>
      <x:c r="V233" t="str">
        <x:v>BTK</x:v>
      </x:c>
      <x:c r="W233" t="str">
        <x:v>Ružinov</x:v>
      </x:c>
      <x:c r="X233" s="11" t="str">
        <x:v>Dostupný</x:v>
      </x:c>
      <x:c r="Y233" s="11" t="str">
        <x:v>https://www.baya.btk.sk/sk/byt/523</x:v>
      </x:c>
      <x:c r="Z233" s="11" t="n">
        <x:v>46251.740894027775</x:v>
      </x:c>
      <x:c r="AA233" s="11" t="n">
        <x:v>46254.51251577547</x:v>
      </x:c>
      <x:c r="AB233" s="11" t="n">
        <x:v>46254.51251577547</x:v>
      </x:c>
      <x:c r="AC233" t="str">
        <x:v>baya</x:v>
      </x:c>
    </x:row>
    <x:row r="234" ht="22" customHeight="1">
      <x:c r="A234" t="str">
        <x:v>BAYA</x:v>
      </x:c>
      <x:c r="B234" t="str">
        <x:v>5.24</x:v>
      </x:c>
      <x:c r="C234" t="str">
        <x:v>sold</x:v>
      </x:c>
      <x:c r="D234" t="str">
        <x:v>present</x:v>
      </x:c>
      <x:c r="E234" t="str">
        <x:v>baseline</x:v>
      </x:c>
      <x:c r="F234" s="11" t="n">
        <x:v>46251.740894027775</x:v>
      </x:c>
      <x:c r="G234" t="str">
        <x:v>Byt</x:v>
      </x:c>
      <x:c r="H234" s="12" t="n">
        <x:v>3</x:v>
      </x:c>
      <x:c r="I234" s="13" t="n">
        <x:v>5</x:v>
      </x:c>
      <x:c r="J234" t="str">
        <x:v>BAYA</x:v>
      </x:c>
      <x:c r="K234" s="14" t="n">
        <x:v>59.2</x:v>
      </x:c>
      <x:c r="L234" s="14" t="n">
        <x:v>13.36</x:v>
      </x:c>
      <x:c r="M234" s="14" t="n">
        <x:v>0</x:v>
      </x:c>
      <x:c r="N234" s="14" t="n">
        <x:v>0</x:v>
      </x:c>
      <x:c r="O234" s="14"/>
      <x:c r="P234" s="14" t="n">
        <x:v>13.36</x:v>
      </x:c>
      <x:c r="Q234" s="14" t="n">
        <x:v>72.56</x:v>
      </x:c>
      <x:c r="R234" s="15"/>
      <x:c r="S234" s="15"/>
      <x:c r="T234" s="15"/>
      <x:c r="U234" s="16"/>
      <x:c r="V234" t="str">
        <x:v>BTK</x:v>
      </x:c>
      <x:c r="W234" t="str">
        <x:v>Ružinov</x:v>
      </x:c>
      <x:c r="X234" s="11" t="str">
        <x:v>Predané</x:v>
      </x:c>
      <x:c r="Y234" s="11" t="str">
        <x:v>https://www.baya.btk.sk/sk/byt/524</x:v>
      </x:c>
      <x:c r="Z234" s="11" t="n">
        <x:v>46251.740894027775</x:v>
      </x:c>
      <x:c r="AA234" s="11" t="n">
        <x:v>46254.51251577547</x:v>
      </x:c>
      <x:c r="AB234" s="11" t="n">
        <x:v>46254.51251577547</x:v>
      </x:c>
      <x:c r="AC234" t="str">
        <x:v>baya</x:v>
      </x:c>
    </x:row>
    <x:row r="235" ht="22" customHeight="1">
      <x:c r="A235" t="str">
        <x:v>BAYA</x:v>
      </x:c>
      <x:c r="B235" t="str">
        <x:v>5.25</x:v>
      </x:c>
      <x:c r="C235" t="str">
        <x:v>sold</x:v>
      </x:c>
      <x:c r="D235" t="str">
        <x:v>present</x:v>
      </x:c>
      <x:c r="E235" t="str">
        <x:v>baseline</x:v>
      </x:c>
      <x:c r="F235" s="11" t="n">
        <x:v>46251.740894027775</x:v>
      </x:c>
      <x:c r="G235" t="str">
        <x:v>Byt</x:v>
      </x:c>
      <x:c r="H235" s="12" t="n">
        <x:v>2</x:v>
      </x:c>
      <x:c r="I235" s="13" t="n">
        <x:v>5</x:v>
      </x:c>
      <x:c r="J235" t="str">
        <x:v>BAYA</x:v>
      </x:c>
      <x:c r="K235" s="14" t="n">
        <x:v>54.45</x:v>
      </x:c>
      <x:c r="L235" s="14" t="n">
        <x:v>0</x:v>
      </x:c>
      <x:c r="M235" s="14" t="n">
        <x:v>12.37</x:v>
      </x:c>
      <x:c r="N235" s="14" t="n">
        <x:v>0</x:v>
      </x:c>
      <x:c r="O235" s="14"/>
      <x:c r="P235" s="14" t="n">
        <x:v>12.37</x:v>
      </x:c>
      <x:c r="Q235" s="14" t="n">
        <x:v>66.82</x:v>
      </x:c>
      <x:c r="R235" s="15"/>
      <x:c r="S235" s="15"/>
      <x:c r="T235" s="15"/>
      <x:c r="U235" s="16"/>
      <x:c r="V235" t="str">
        <x:v>BTK</x:v>
      </x:c>
      <x:c r="W235" t="str">
        <x:v>Ružinov</x:v>
      </x:c>
      <x:c r="X235" s="11" t="str">
        <x:v>Predané</x:v>
      </x:c>
      <x:c r="Y235" s="11" t="str">
        <x:v>https://www.baya.btk.sk/sk/byt/525</x:v>
      </x:c>
      <x:c r="Z235" s="11" t="n">
        <x:v>46251.740894027775</x:v>
      </x:c>
      <x:c r="AA235" s="11" t="n">
        <x:v>46254.51251577547</x:v>
      </x:c>
      <x:c r="AB235" s="11" t="n">
        <x:v>46254.51251577547</x:v>
      </x:c>
      <x:c r="AC235" t="str">
        <x:v>baya</x:v>
      </x:c>
    </x:row>
    <x:row r="236" ht="22" customHeight="1">
      <x:c r="A236" t="str">
        <x:v>BAYA</x:v>
      </x:c>
      <x:c r="B236" t="str">
        <x:v>6.01</x:v>
      </x:c>
      <x:c r="C236" t="str">
        <x:v>sold</x:v>
      </x:c>
      <x:c r="D236" t="str">
        <x:v>present</x:v>
      </x:c>
      <x:c r="E236" t="str">
        <x:v>baseline</x:v>
      </x:c>
      <x:c r="F236" s="11" t="n">
        <x:v>46251.740894027775</x:v>
      </x:c>
      <x:c r="G236" t="str">
        <x:v>Byt</x:v>
      </x:c>
      <x:c r="H236" s="12" t="n">
        <x:v>2</x:v>
      </x:c>
      <x:c r="I236" s="13" t="n">
        <x:v>6</x:v>
      </x:c>
      <x:c r="J236" t="str">
        <x:v>BAYA</x:v>
      </x:c>
      <x:c r="K236" s="14" t="n">
        <x:v>56.35</x:v>
      </x:c>
      <x:c r="L236" s="14" t="n">
        <x:v>6.9</x:v>
      </x:c>
      <x:c r="M236" s="14" t="n">
        <x:v>0</x:v>
      </x:c>
      <x:c r="N236" s="14" t="n">
        <x:v>0</x:v>
      </x:c>
      <x:c r="O236" s="14"/>
      <x:c r="P236" s="14" t="n">
        <x:v>6.9</x:v>
      </x:c>
      <x:c r="Q236" s="14" t="n">
        <x:v>63.25</x:v>
      </x:c>
      <x:c r="R236" s="15"/>
      <x:c r="S236" s="15"/>
      <x:c r="T236" s="15"/>
      <x:c r="U236" s="16"/>
      <x:c r="V236" t="str">
        <x:v>BTK</x:v>
      </x:c>
      <x:c r="W236" t="str">
        <x:v>Ružinov</x:v>
      </x:c>
      <x:c r="X236" s="11" t="str">
        <x:v>Predané</x:v>
      </x:c>
      <x:c r="Y236" s="11" t="str">
        <x:v>https://www.baya.btk.sk/sk/byt/601</x:v>
      </x:c>
      <x:c r="Z236" s="11" t="n">
        <x:v>46251.740894027775</x:v>
      </x:c>
      <x:c r="AA236" s="11" t="n">
        <x:v>46254.51251577547</x:v>
      </x:c>
      <x:c r="AB236" s="11" t="n">
        <x:v>46254.51251577547</x:v>
      </x:c>
      <x:c r="AC236" t="str">
        <x:v>baya</x:v>
      </x:c>
    </x:row>
    <x:row r="237" ht="22" customHeight="1">
      <x:c r="A237" t="str">
        <x:v>BAYA</x:v>
      </x:c>
      <x:c r="B237" t="str">
        <x:v>6.02</x:v>
      </x:c>
      <x:c r="C237" t="str">
        <x:v>sold</x:v>
      </x:c>
      <x:c r="D237" t="str">
        <x:v>present</x:v>
      </x:c>
      <x:c r="E237" t="str">
        <x:v>baseline</x:v>
      </x:c>
      <x:c r="F237" s="11" t="n">
        <x:v>46251.740894027775</x:v>
      </x:c>
      <x:c r="G237" t="str">
        <x:v>Byt</x:v>
      </x:c>
      <x:c r="H237" s="12" t="n">
        <x:v>1</x:v>
      </x:c>
      <x:c r="I237" s="13" t="n">
        <x:v>6</x:v>
      </x:c>
      <x:c r="J237" t="str">
        <x:v>BAYA</x:v>
      </x:c>
      <x:c r="K237" s="14" t="n">
        <x:v>31.47</x:v>
      </x:c>
      <x:c r="L237" s="14" t="n">
        <x:v>6.15</x:v>
      </x:c>
      <x:c r="M237" s="14" t="n">
        <x:v>0</x:v>
      </x:c>
      <x:c r="N237" s="14" t="n">
        <x:v>0</x:v>
      </x:c>
      <x:c r="O237" s="14"/>
      <x:c r="P237" s="14" t="n">
        <x:v>6.15</x:v>
      </x:c>
      <x:c r="Q237" s="14" t="n">
        <x:v>37.62</x:v>
      </x:c>
      <x:c r="R237" s="15"/>
      <x:c r="S237" s="15"/>
      <x:c r="T237" s="15"/>
      <x:c r="U237" s="16"/>
      <x:c r="V237" t="str">
        <x:v>BTK</x:v>
      </x:c>
      <x:c r="W237" t="str">
        <x:v>Ružinov</x:v>
      </x:c>
      <x:c r="X237" s="11" t="str">
        <x:v>Predané</x:v>
      </x:c>
      <x:c r="Y237" s="11" t="str">
        <x:v>https://www.baya.btk.sk/sk/byt/602</x:v>
      </x:c>
      <x:c r="Z237" s="11" t="n">
        <x:v>46251.740894027775</x:v>
      </x:c>
      <x:c r="AA237" s="11" t="n">
        <x:v>46254.51251577547</x:v>
      </x:c>
      <x:c r="AB237" s="11" t="n">
        <x:v>46254.51251577547</x:v>
      </x:c>
      <x:c r="AC237" t="str">
        <x:v>baya</x:v>
      </x:c>
    </x:row>
    <x:row r="238" ht="22" customHeight="1">
      <x:c r="A238" t="str">
        <x:v>BAYA</x:v>
      </x:c>
      <x:c r="B238" t="str">
        <x:v>6.03</x:v>
      </x:c>
      <x:c r="C238" t="str">
        <x:v>available</x:v>
      </x:c>
      <x:c r="D238" t="str">
        <x:v>present</x:v>
      </x:c>
      <x:c r="E238" t="str">
        <x:v>baseline</x:v>
      </x:c>
      <x:c r="F238" s="11" t="n">
        <x:v>46251.740894027775</x:v>
      </x:c>
      <x:c r="G238" t="str">
        <x:v>Byt</x:v>
      </x:c>
      <x:c r="H238" s="12" t="n">
        <x:v>2</x:v>
      </x:c>
      <x:c r="I238" s="13" t="n">
        <x:v>6</x:v>
      </x:c>
      <x:c r="J238" t="str">
        <x:v>BAYA</x:v>
      </x:c>
      <x:c r="K238" s="14" t="n">
        <x:v>56.49</x:v>
      </x:c>
      <x:c r="L238" s="14" t="n">
        <x:v>7.8</x:v>
      </x:c>
      <x:c r="M238" s="14" t="n">
        <x:v>0</x:v>
      </x:c>
      <x:c r="N238" s="14" t="n">
        <x:v>0</x:v>
      </x:c>
      <x:c r="O238" s="14"/>
      <x:c r="P238" s="14" t="n">
        <x:v>7.8</x:v>
      </x:c>
      <x:c r="Q238" s="14" t="n">
        <x:v>64.29</x:v>
      </x:c>
      <x:c r="R238" s="15" t="n">
        <x:v>347</x:v>
      </x:c>
      <x:c r="S238" s="15" t="n">
        <x:v>347</x:v>
      </x:c>
      <x:c r="T238" s="15"/>
      <x:c r="U238" s="16" t="n">
        <x:v>6.14</x:v>
      </x:c>
      <x:c r="V238" t="str">
        <x:v>BTK</x:v>
      </x:c>
      <x:c r="W238" t="str">
        <x:v>Ružinov</x:v>
      </x:c>
      <x:c r="X238" s="11" t="str">
        <x:v>Dostupný</x:v>
      </x:c>
      <x:c r="Y238" s="11" t="str">
        <x:v>https://www.baya.btk.sk/sk/byt/603</x:v>
      </x:c>
      <x:c r="Z238" s="11" t="n">
        <x:v>46251.740894027775</x:v>
      </x:c>
      <x:c r="AA238" s="11" t="n">
        <x:v>46254.51251577547</x:v>
      </x:c>
      <x:c r="AB238" s="11" t="n">
        <x:v>46254.51251577547</x:v>
      </x:c>
      <x:c r="AC238" t="str">
        <x:v>baya</x:v>
      </x:c>
    </x:row>
    <x:row r="239" ht="22" customHeight="1">
      <x:c r="A239" t="str">
        <x:v>BAYA</x:v>
      </x:c>
      <x:c r="B239" t="str">
        <x:v>6.04</x:v>
      </x:c>
      <x:c r="C239" t="str">
        <x:v>available</x:v>
      </x:c>
      <x:c r="D239" t="str">
        <x:v>present</x:v>
      </x:c>
      <x:c r="E239" t="str">
        <x:v>baseline</x:v>
      </x:c>
      <x:c r="F239" s="11" t="n">
        <x:v>46251.740894027775</x:v>
      </x:c>
      <x:c r="G239" t="str">
        <x:v>Byt</x:v>
      </x:c>
      <x:c r="H239" s="12" t="n">
        <x:v>2</x:v>
      </x:c>
      <x:c r="I239" s="13" t="n">
        <x:v>6</x:v>
      </x:c>
      <x:c r="J239" t="str">
        <x:v>BAYA</x:v>
      </x:c>
      <x:c r="K239" s="14" t="n">
        <x:v>57.66</x:v>
      </x:c>
      <x:c r="L239" s="14" t="n">
        <x:v>8.6</x:v>
      </x:c>
      <x:c r="M239" s="14" t="n">
        <x:v>0</x:v>
      </x:c>
      <x:c r="N239" s="14" t="n">
        <x:v>0</x:v>
      </x:c>
      <x:c r="O239" s="14"/>
      <x:c r="P239" s="14" t="n">
        <x:v>8.6</x:v>
      </x:c>
      <x:c r="Q239" s="14" t="n">
        <x:v>66.26</x:v>
      </x:c>
      <x:c r="R239" s="15" t="n">
        <x:v>362</x:v>
      </x:c>
      <x:c r="S239" s="15" t="n">
        <x:v>362</x:v>
      </x:c>
      <x:c r="T239" s="15"/>
      <x:c r="U239" s="16" t="n">
        <x:v>6.28</x:v>
      </x:c>
      <x:c r="V239" t="str">
        <x:v>BTK</x:v>
      </x:c>
      <x:c r="W239" t="str">
        <x:v>Ružinov</x:v>
      </x:c>
      <x:c r="X239" s="11" t="str">
        <x:v>Dostupný</x:v>
      </x:c>
      <x:c r="Y239" s="11" t="str">
        <x:v>https://www.baya.btk.sk/sk/byt/604</x:v>
      </x:c>
      <x:c r="Z239" s="11" t="n">
        <x:v>46251.740894027775</x:v>
      </x:c>
      <x:c r="AA239" s="11" t="n">
        <x:v>46254.51251577547</x:v>
      </x:c>
      <x:c r="AB239" s="11" t="n">
        <x:v>46254.51251577547</x:v>
      </x:c>
      <x:c r="AC239" t="str">
        <x:v>baya</x:v>
      </x:c>
    </x:row>
    <x:row r="240" ht="22" customHeight="1">
      <x:c r="A240" t="str">
        <x:v>BAYA</x:v>
      </x:c>
      <x:c r="B240" t="str">
        <x:v>6.05</x:v>
      </x:c>
      <x:c r="C240" t="str">
        <x:v>available</x:v>
      </x:c>
      <x:c r="D240" t="str">
        <x:v>present</x:v>
      </x:c>
      <x:c r="E240" t="str">
        <x:v>baseline</x:v>
      </x:c>
      <x:c r="F240" s="11" t="n">
        <x:v>46251.740894027775</x:v>
      </x:c>
      <x:c r="G240" t="str">
        <x:v>Byt</x:v>
      </x:c>
      <x:c r="H240" s="12" t="n">
        <x:v>2</x:v>
      </x:c>
      <x:c r="I240" s="13" t="n">
        <x:v>6</x:v>
      </x:c>
      <x:c r="J240" t="str">
        <x:v>BAYA</x:v>
      </x:c>
      <x:c r="K240" s="14" t="n">
        <x:v>57.66</x:v>
      </x:c>
      <x:c r="L240" s="14" t="n">
        <x:v>8.6</x:v>
      </x:c>
      <x:c r="M240" s="14" t="n">
        <x:v>0</x:v>
      </x:c>
      <x:c r="N240" s="14" t="n">
        <x:v>0</x:v>
      </x:c>
      <x:c r="O240" s="14"/>
      <x:c r="P240" s="14" t="n">
        <x:v>8.6</x:v>
      </x:c>
      <x:c r="Q240" s="14" t="n">
        <x:v>66.26</x:v>
      </x:c>
      <x:c r="R240" s="15" t="n">
        <x:v>356</x:v>
      </x:c>
      <x:c r="S240" s="15" t="n">
        <x:v>356</x:v>
      </x:c>
      <x:c r="T240" s="15"/>
      <x:c r="U240" s="16" t="n">
        <x:v>6.17</x:v>
      </x:c>
      <x:c r="V240" t="str">
        <x:v>BTK</x:v>
      </x:c>
      <x:c r="W240" t="str">
        <x:v>Ružinov</x:v>
      </x:c>
      <x:c r="X240" s="11" t="str">
        <x:v>Dostupný</x:v>
      </x:c>
      <x:c r="Y240" s="11" t="str">
        <x:v>https://www.baya.btk.sk/sk/byt/605</x:v>
      </x:c>
      <x:c r="Z240" s="11" t="n">
        <x:v>46251.740894027775</x:v>
      </x:c>
      <x:c r="AA240" s="11" t="n">
        <x:v>46254.51251577547</x:v>
      </x:c>
      <x:c r="AB240" s="11" t="n">
        <x:v>46254.51251577547</x:v>
      </x:c>
      <x:c r="AC240" t="str">
        <x:v>baya</x:v>
      </x:c>
    </x:row>
    <x:row r="241" ht="22" customHeight="1">
      <x:c r="A241" t="str">
        <x:v>BAYA</x:v>
      </x:c>
      <x:c r="B241" t="str">
        <x:v>6.06</x:v>
      </x:c>
      <x:c r="C241" t="str">
        <x:v>available</x:v>
      </x:c>
      <x:c r="D241" t="str">
        <x:v>present</x:v>
      </x:c>
      <x:c r="E241" t="str">
        <x:v>baseline</x:v>
      </x:c>
      <x:c r="F241" s="11" t="n">
        <x:v>46251.740894027775</x:v>
      </x:c>
      <x:c r="G241" t="str">
        <x:v>Byt</x:v>
      </x:c>
      <x:c r="H241" s="12" t="n">
        <x:v>2</x:v>
      </x:c>
      <x:c r="I241" s="13" t="n">
        <x:v>6</x:v>
      </x:c>
      <x:c r="J241" t="str">
        <x:v>BAYA</x:v>
      </x:c>
      <x:c r="K241" s="14" t="n">
        <x:v>57.63</x:v>
      </x:c>
      <x:c r="L241" s="14" t="n">
        <x:v>6.15</x:v>
      </x:c>
      <x:c r="M241" s="14" t="n">
        <x:v>0</x:v>
      </x:c>
      <x:c r="N241" s="14" t="n">
        <x:v>0</x:v>
      </x:c>
      <x:c r="O241" s="14"/>
      <x:c r="P241" s="14" t="n">
        <x:v>6.15</x:v>
      </x:c>
      <x:c r="Q241" s="14" t="n">
        <x:v>63.78</x:v>
      </x:c>
      <x:c r="R241" s="15" t="n">
        <x:v>355</x:v>
      </x:c>
      <x:c r="S241" s="15" t="n">
        <x:v>355</x:v>
      </x:c>
      <x:c r="T241" s="15"/>
      <x:c r="U241" s="16" t="n">
        <x:v>6.16</x:v>
      </x:c>
      <x:c r="V241" t="str">
        <x:v>BTK</x:v>
      </x:c>
      <x:c r="W241" t="str">
        <x:v>Ružinov</x:v>
      </x:c>
      <x:c r="X241" s="11" t="str">
        <x:v>Dostupný</x:v>
      </x:c>
      <x:c r="Y241" s="11" t="str">
        <x:v>https://www.baya.btk.sk/sk/byt/606</x:v>
      </x:c>
      <x:c r="Z241" s="11" t="n">
        <x:v>46251.740894027775</x:v>
      </x:c>
      <x:c r="AA241" s="11" t="n">
        <x:v>46254.51251577547</x:v>
      </x:c>
      <x:c r="AB241" s="11" t="n">
        <x:v>46254.51251577547</x:v>
      </x:c>
      <x:c r="AC241" t="str">
        <x:v>baya</x:v>
      </x:c>
    </x:row>
    <x:row r="242" ht="22" customHeight="1">
      <x:c r="A242" t="str">
        <x:v>BAYA</x:v>
      </x:c>
      <x:c r="B242" t="str">
        <x:v>6.07</x:v>
      </x:c>
      <x:c r="C242" t="str">
        <x:v>available</x:v>
      </x:c>
      <x:c r="D242" t="str">
        <x:v>present</x:v>
      </x:c>
      <x:c r="E242" t="str">
        <x:v>baseline</x:v>
      </x:c>
      <x:c r="F242" s="11" t="n">
        <x:v>46251.740894027775</x:v>
      </x:c>
      <x:c r="G242" t="str">
        <x:v>Byt</x:v>
      </x:c>
      <x:c r="H242" s="12" t="n">
        <x:v>2</x:v>
      </x:c>
      <x:c r="I242" s="13" t="n">
        <x:v>6</x:v>
      </x:c>
      <x:c r="J242" t="str">
        <x:v>BAYA</x:v>
      </x:c>
      <x:c r="K242" s="14" t="n">
        <x:v>56.2</x:v>
      </x:c>
      <x:c r="L242" s="14" t="n">
        <x:v>8.6</x:v>
      </x:c>
      <x:c r="M242" s="14" t="n">
        <x:v>0</x:v>
      </x:c>
      <x:c r="N242" s="14" t="n">
        <x:v>0</x:v>
      </x:c>
      <x:c r="O242" s="14"/>
      <x:c r="P242" s="14" t="n">
        <x:v>8.6</x:v>
      </x:c>
      <x:c r="Q242" s="14" t="n">
        <x:v>64.8</x:v>
      </x:c>
      <x:c r="R242" s="15" t="n">
        <x:v>347</x:v>
      </x:c>
      <x:c r="S242" s="15" t="n">
        <x:v>347</x:v>
      </x:c>
      <x:c r="T242" s="15"/>
      <x:c r="U242" s="16" t="n">
        <x:v>6.17</x:v>
      </x:c>
      <x:c r="V242" t="str">
        <x:v>BTK</x:v>
      </x:c>
      <x:c r="W242" t="str">
        <x:v>Ružinov</x:v>
      </x:c>
      <x:c r="X242" s="11" t="str">
        <x:v>Dostupný</x:v>
      </x:c>
      <x:c r="Y242" s="11" t="str">
        <x:v>https://www.baya.btk.sk/sk/byt/607</x:v>
      </x:c>
      <x:c r="Z242" s="11" t="n">
        <x:v>46251.740894027775</x:v>
      </x:c>
      <x:c r="AA242" s="11" t="n">
        <x:v>46254.51251577547</x:v>
      </x:c>
      <x:c r="AB242" s="11" t="n">
        <x:v>46254.51251577547</x:v>
      </x:c>
      <x:c r="AC242" t="str">
        <x:v>baya</x:v>
      </x:c>
    </x:row>
    <x:row r="243" ht="22" customHeight="1">
      <x:c r="A243" t="str">
        <x:v>BAYA</x:v>
      </x:c>
      <x:c r="B243" t="str">
        <x:v>6.08</x:v>
      </x:c>
      <x:c r="C243" t="str">
        <x:v>available</x:v>
      </x:c>
      <x:c r="D243" t="str">
        <x:v>present</x:v>
      </x:c>
      <x:c r="E243" t="str">
        <x:v>baseline</x:v>
      </x:c>
      <x:c r="F243" s="11" t="n">
        <x:v>46251.740894027775</x:v>
      </x:c>
      <x:c r="G243" t="str">
        <x:v>Byt</x:v>
      </x:c>
      <x:c r="H243" s="12" t="n">
        <x:v>2</x:v>
      </x:c>
      <x:c r="I243" s="13" t="n">
        <x:v>6</x:v>
      </x:c>
      <x:c r="J243" t="str">
        <x:v>BAYA</x:v>
      </x:c>
      <x:c r="K243" s="14" t="n">
        <x:v>57.52</x:v>
      </x:c>
      <x:c r="L243" s="14" t="n">
        <x:v>6.15</x:v>
      </x:c>
      <x:c r="M243" s="14" t="n">
        <x:v>0</x:v>
      </x:c>
      <x:c r="N243" s="14" t="n">
        <x:v>0</x:v>
      </x:c>
      <x:c r="O243" s="14"/>
      <x:c r="P243" s="14" t="n">
        <x:v>6.15</x:v>
      </x:c>
      <x:c r="Q243" s="14" t="n">
        <x:v>63.67</x:v>
      </x:c>
      <x:c r="R243" s="15" t="n">
        <x:v>354</x:v>
      </x:c>
      <x:c r="S243" s="15" t="n">
        <x:v>354</x:v>
      </x:c>
      <x:c r="T243" s="15"/>
      <x:c r="U243" s="16" t="n">
        <x:v>6.15</x:v>
      </x:c>
      <x:c r="V243" t="str">
        <x:v>BTK</x:v>
      </x:c>
      <x:c r="W243" t="str">
        <x:v>Ružinov</x:v>
      </x:c>
      <x:c r="X243" s="11" t="str">
        <x:v>Dostupný</x:v>
      </x:c>
      <x:c r="Y243" s="11" t="str">
        <x:v>https://www.baya.btk.sk/sk/byt/608</x:v>
      </x:c>
      <x:c r="Z243" s="11" t="n">
        <x:v>46251.740894027775</x:v>
      </x:c>
      <x:c r="AA243" s="11" t="n">
        <x:v>46254.51251577547</x:v>
      </x:c>
      <x:c r="AB243" s="11" t="n">
        <x:v>46254.51251577547</x:v>
      </x:c>
      <x:c r="AC243" t="str">
        <x:v>baya</x:v>
      </x:c>
    </x:row>
    <x:row r="244" ht="22" customHeight="1">
      <x:c r="A244" t="str">
        <x:v>BAYA</x:v>
      </x:c>
      <x:c r="B244" t="str">
        <x:v>6.09</x:v>
      </x:c>
      <x:c r="C244" t="str">
        <x:v>available</x:v>
      </x:c>
      <x:c r="D244" t="str">
        <x:v>present</x:v>
      </x:c>
      <x:c r="E244" t="str">
        <x:v>baseline</x:v>
      </x:c>
      <x:c r="F244" s="11" t="n">
        <x:v>46251.740894027775</x:v>
      </x:c>
      <x:c r="G244" t="str">
        <x:v>Byt</x:v>
      </x:c>
      <x:c r="H244" s="12" t="n">
        <x:v>2</x:v>
      </x:c>
      <x:c r="I244" s="13" t="n">
        <x:v>6</x:v>
      </x:c>
      <x:c r="J244" t="str">
        <x:v>BAYA</x:v>
      </x:c>
      <x:c r="K244" s="14" t="n">
        <x:v>57.66</x:v>
      </x:c>
      <x:c r="L244" s="14" t="n">
        <x:v>8.6</x:v>
      </x:c>
      <x:c r="M244" s="14" t="n">
        <x:v>0</x:v>
      </x:c>
      <x:c r="N244" s="14" t="n">
        <x:v>0</x:v>
      </x:c>
      <x:c r="O244" s="14"/>
      <x:c r="P244" s="14" t="n">
        <x:v>8.6</x:v>
      </x:c>
      <x:c r="Q244" s="14" t="n">
        <x:v>66.26</x:v>
      </x:c>
      <x:c r="R244" s="15" t="n">
        <x:v>356</x:v>
      </x:c>
      <x:c r="S244" s="15" t="n">
        <x:v>356</x:v>
      </x:c>
      <x:c r="T244" s="15"/>
      <x:c r="U244" s="16" t="n">
        <x:v>6.17</x:v>
      </x:c>
      <x:c r="V244" t="str">
        <x:v>BTK</x:v>
      </x:c>
      <x:c r="W244" t="str">
        <x:v>Ružinov</x:v>
      </x:c>
      <x:c r="X244" s="11" t="str">
        <x:v>Dostupný</x:v>
      </x:c>
      <x:c r="Y244" s="11" t="str">
        <x:v>https://www.baya.btk.sk/sk/byt/609</x:v>
      </x:c>
      <x:c r="Z244" s="11" t="n">
        <x:v>46251.740894027775</x:v>
      </x:c>
      <x:c r="AA244" s="11" t="n">
        <x:v>46254.51251577547</x:v>
      </x:c>
      <x:c r="AB244" s="11" t="n">
        <x:v>46254.51251577547</x:v>
      </x:c>
      <x:c r="AC244" t="str">
        <x:v>baya</x:v>
      </x:c>
    </x:row>
    <x:row r="245" ht="22" customHeight="1">
      <x:c r="A245" t="str">
        <x:v>BAYA</x:v>
      </x:c>
      <x:c r="B245" t="str">
        <x:v>6.10</x:v>
      </x:c>
      <x:c r="C245" t="str">
        <x:v>available</x:v>
      </x:c>
      <x:c r="D245" t="str">
        <x:v>present</x:v>
      </x:c>
      <x:c r="E245" t="str">
        <x:v>baseline</x:v>
      </x:c>
      <x:c r="F245" s="11" t="n">
        <x:v>46251.740894027775</x:v>
      </x:c>
      <x:c r="G245" t="str">
        <x:v>Byt</x:v>
      </x:c>
      <x:c r="H245" s="12" t="n">
        <x:v>2</x:v>
      </x:c>
      <x:c r="I245" s="13" t="n">
        <x:v>6</x:v>
      </x:c>
      <x:c r="J245" t="str">
        <x:v>BAYA</x:v>
      </x:c>
      <x:c r="K245" s="14" t="n">
        <x:v>57.63</x:v>
      </x:c>
      <x:c r="L245" s="14" t="n">
        <x:v>5.57</x:v>
      </x:c>
      <x:c r="M245" s="14" t="n">
        <x:v>0</x:v>
      </x:c>
      <x:c r="N245" s="14" t="n">
        <x:v>0</x:v>
      </x:c>
      <x:c r="O245" s="14"/>
      <x:c r="P245" s="14" t="n">
        <x:v>5.57</x:v>
      </x:c>
      <x:c r="Q245" s="14" t="n">
        <x:v>63.2</x:v>
      </x:c>
      <x:c r="R245" s="15" t="n">
        <x:v>353</x:v>
      </x:c>
      <x:c r="S245" s="15" t="n">
        <x:v>353</x:v>
      </x:c>
      <x:c r="T245" s="15"/>
      <x:c r="U245" s="16" t="n">
        <x:v>6.13</x:v>
      </x:c>
      <x:c r="V245" t="str">
        <x:v>BTK</x:v>
      </x:c>
      <x:c r="W245" t="str">
        <x:v>Ružinov</x:v>
      </x:c>
      <x:c r="X245" s="11" t="str">
        <x:v>Dostupný</x:v>
      </x:c>
      <x:c r="Y245" s="11" t="str">
        <x:v>https://www.baya.btk.sk/sk/byt/610</x:v>
      </x:c>
      <x:c r="Z245" s="11" t="n">
        <x:v>46251.740894027775</x:v>
      </x:c>
      <x:c r="AA245" s="11" t="n">
        <x:v>46254.51251577547</x:v>
      </x:c>
      <x:c r="AB245" s="11" t="n">
        <x:v>46254.51251577547</x:v>
      </x:c>
      <x:c r="AC245" t="str">
        <x:v>baya</x:v>
      </x:c>
    </x:row>
    <x:row r="246" ht="22" customHeight="1">
      <x:c r="A246" t="str">
        <x:v>BAYA</x:v>
      </x:c>
      <x:c r="B246" t="str">
        <x:v>6.11</x:v>
      </x:c>
      <x:c r="C246" t="str">
        <x:v>available</x:v>
      </x:c>
      <x:c r="D246" t="str">
        <x:v>present</x:v>
      </x:c>
      <x:c r="E246" t="str">
        <x:v>baseline</x:v>
      </x:c>
      <x:c r="F246" s="11" t="n">
        <x:v>46251.740894027775</x:v>
      </x:c>
      <x:c r="G246" t="str">
        <x:v>Byt</x:v>
      </x:c>
      <x:c r="H246" s="12" t="n">
        <x:v>2</x:v>
      </x:c>
      <x:c r="I246" s="13" t="n">
        <x:v>6</x:v>
      </x:c>
      <x:c r="J246" t="str">
        <x:v>BAYA</x:v>
      </x:c>
      <x:c r="K246" s="14" t="n">
        <x:v>57.63</x:v>
      </x:c>
      <x:c r="L246" s="14" t="n">
        <x:v>8.6</x:v>
      </x:c>
      <x:c r="M246" s="14" t="n">
        <x:v>0</x:v>
      </x:c>
      <x:c r="N246" s="14" t="n">
        <x:v>0</x:v>
      </x:c>
      <x:c r="O246" s="14"/>
      <x:c r="P246" s="14" t="n">
        <x:v>8.6</x:v>
      </x:c>
      <x:c r="Q246" s="14" t="n">
        <x:v>66.23</x:v>
      </x:c>
      <x:c r="R246" s="15" t="n">
        <x:v>356</x:v>
      </x:c>
      <x:c r="S246" s="15" t="n">
        <x:v>356</x:v>
      </x:c>
      <x:c r="T246" s="15"/>
      <x:c r="U246" s="16" t="n">
        <x:v>6.18</x:v>
      </x:c>
      <x:c r="V246" t="str">
        <x:v>BTK</x:v>
      </x:c>
      <x:c r="W246" t="str">
        <x:v>Ružinov</x:v>
      </x:c>
      <x:c r="X246" s="11" t="str">
        <x:v>Dostupný</x:v>
      </x:c>
      <x:c r="Y246" s="11" t="str">
        <x:v>https://www.baya.btk.sk/sk/byt/611</x:v>
      </x:c>
      <x:c r="Z246" s="11" t="n">
        <x:v>46251.740894027775</x:v>
      </x:c>
      <x:c r="AA246" s="11" t="n">
        <x:v>46254.51251577547</x:v>
      </x:c>
      <x:c r="AB246" s="11" t="n">
        <x:v>46254.51251577547</x:v>
      </x:c>
      <x:c r="AC246" t="str">
        <x:v>baya</x:v>
      </x:c>
    </x:row>
    <x:row r="247" ht="22" customHeight="1">
      <x:c r="A247" t="str">
        <x:v>BAYA</x:v>
      </x:c>
      <x:c r="B247" t="str">
        <x:v>6.12</x:v>
      </x:c>
      <x:c r="C247" t="str">
        <x:v>available</x:v>
      </x:c>
      <x:c r="D247" t="str">
        <x:v>present</x:v>
      </x:c>
      <x:c r="E247" t="str">
        <x:v>baseline</x:v>
      </x:c>
      <x:c r="F247" s="11" t="n">
        <x:v>46251.740894027775</x:v>
      </x:c>
      <x:c r="G247" t="str">
        <x:v>Byt</x:v>
      </x:c>
      <x:c r="H247" s="12" t="n">
        <x:v>1</x:v>
      </x:c>
      <x:c r="I247" s="13" t="n">
        <x:v>6</x:v>
      </x:c>
      <x:c r="J247" t="str">
        <x:v>BAYA</x:v>
      </x:c>
      <x:c r="K247" s="14" t="n">
        <x:v>35.34</x:v>
      </x:c>
      <x:c r="L247" s="14" t="n">
        <x:v>7.58</x:v>
      </x:c>
      <x:c r="M247" s="14" t="n">
        <x:v>0</x:v>
      </x:c>
      <x:c r="N247" s="14" t="n">
        <x:v>0</x:v>
      </x:c>
      <x:c r="O247" s="14"/>
      <x:c r="P247" s="14" t="n">
        <x:v>7.58</x:v>
      </x:c>
      <x:c r="Q247" s="14" t="n">
        <x:v>42.92</x:v>
      </x:c>
      <x:c r="R247" s="15" t="n">
        <x:v>230</x:v>
      </x:c>
      <x:c r="S247" s="15" t="n">
        <x:v>230</x:v>
      </x:c>
      <x:c r="T247" s="15"/>
      <x:c r="U247" s="16" t="n">
        <x:v>6.51</x:v>
      </x:c>
      <x:c r="V247" t="str">
        <x:v>BTK</x:v>
      </x:c>
      <x:c r="W247" t="str">
        <x:v>Ružinov</x:v>
      </x:c>
      <x:c r="X247" s="11" t="str">
        <x:v>Dostupný</x:v>
      </x:c>
      <x:c r="Y247" s="11" t="str">
        <x:v>https://www.baya.btk.sk/sk/byt/612</x:v>
      </x:c>
      <x:c r="Z247" s="11" t="n">
        <x:v>46251.740894027775</x:v>
      </x:c>
      <x:c r="AA247" s="11" t="n">
        <x:v>46254.51251577547</x:v>
      </x:c>
      <x:c r="AB247" s="11" t="n">
        <x:v>46254.51251577547</x:v>
      </x:c>
      <x:c r="AC247" t="str">
        <x:v>baya</x:v>
      </x:c>
    </x:row>
    <x:row r="248" ht="22" customHeight="1">
      <x:c r="A248" t="str">
        <x:v>BAYA</x:v>
      </x:c>
      <x:c r="B248" t="str">
        <x:v>6.13</x:v>
      </x:c>
      <x:c r="C248" t="str">
        <x:v>available</x:v>
      </x:c>
      <x:c r="D248" t="str">
        <x:v>present</x:v>
      </x:c>
      <x:c r="E248" t="str">
        <x:v>baseline</x:v>
      </x:c>
      <x:c r="F248" s="11" t="n">
        <x:v>46251.740894027775</x:v>
      </x:c>
      <x:c r="G248" t="str">
        <x:v>Byt</x:v>
      </x:c>
      <x:c r="H248" s="12" t="n">
        <x:v>1</x:v>
      </x:c>
      <x:c r="I248" s="13" t="n">
        <x:v>6</x:v>
      </x:c>
      <x:c r="J248" t="str">
        <x:v>BAYA</x:v>
      </x:c>
      <x:c r="K248" s="14" t="n">
        <x:v>35.34</x:v>
      </x:c>
      <x:c r="L248" s="14" t="n">
        <x:v>6</x:v>
      </x:c>
      <x:c r="M248" s="14" t="n">
        <x:v>0</x:v>
      </x:c>
      <x:c r="N248" s="14" t="n">
        <x:v>0</x:v>
      </x:c>
      <x:c r="O248" s="14"/>
      <x:c r="P248" s="14" t="n">
        <x:v>6</x:v>
      </x:c>
      <x:c r="Q248" s="14" t="n">
        <x:v>41.34</x:v>
      </x:c>
      <x:c r="R248" s="15" t="n">
        <x:v>222</x:v>
      </x:c>
      <x:c r="S248" s="15" t="n">
        <x:v>222</x:v>
      </x:c>
      <x:c r="T248" s="15"/>
      <x:c r="U248" s="16" t="n">
        <x:v>6.28</x:v>
      </x:c>
      <x:c r="V248" t="str">
        <x:v>BTK</x:v>
      </x:c>
      <x:c r="W248" t="str">
        <x:v>Ružinov</x:v>
      </x:c>
      <x:c r="X248" s="11" t="str">
        <x:v>Dostupný</x:v>
      </x:c>
      <x:c r="Y248" s="11" t="str">
        <x:v>https://www.baya.btk.sk/sk/byt/613</x:v>
      </x:c>
      <x:c r="Z248" s="11" t="n">
        <x:v>46251.740894027775</x:v>
      </x:c>
      <x:c r="AA248" s="11" t="n">
        <x:v>46254.51251577547</x:v>
      </x:c>
      <x:c r="AB248" s="11" t="n">
        <x:v>46254.51251577547</x:v>
      </x:c>
      <x:c r="AC248" t="str">
        <x:v>baya</x:v>
      </x:c>
    </x:row>
    <x:row r="249" ht="22" customHeight="1">
      <x:c r="A249" t="str">
        <x:v>BAYA</x:v>
      </x:c>
      <x:c r="B249" t="str">
        <x:v>6.14</x:v>
      </x:c>
      <x:c r="C249" t="str">
        <x:v>pre_reserved</x:v>
      </x:c>
      <x:c r="D249" t="str">
        <x:v>present</x:v>
      </x:c>
      <x:c r="E249" t="str">
        <x:v>baseline</x:v>
      </x:c>
      <x:c r="F249" s="11" t="n">
        <x:v>46251.740894027775</x:v>
      </x:c>
      <x:c r="G249" t="str">
        <x:v>Byt</x:v>
      </x:c>
      <x:c r="H249" s="12" t="n">
        <x:v>3</x:v>
      </x:c>
      <x:c r="I249" s="13" t="n">
        <x:v>6</x:v>
      </x:c>
      <x:c r="J249" t="str">
        <x:v>BAYA</x:v>
      </x:c>
      <x:c r="K249" s="14" t="n">
        <x:v>67.15</x:v>
      </x:c>
      <x:c r="L249" s="14" t="n">
        <x:v>10.55</x:v>
      </x:c>
      <x:c r="M249" s="14" t="n">
        <x:v>0</x:v>
      </x:c>
      <x:c r="N249" s="14" t="n">
        <x:v>0</x:v>
      </x:c>
      <x:c r="O249" s="14"/>
      <x:c r="P249" s="14" t="n">
        <x:v>10.55</x:v>
      </x:c>
      <x:c r="Q249" s="14" t="n">
        <x:v>77.7</x:v>
      </x:c>
      <x:c r="R249" s="15"/>
      <x:c r="S249" s="15"/>
      <x:c r="T249" s="15"/>
      <x:c r="U249" s="16"/>
      <x:c r="V249" t="str">
        <x:v>BTK</x:v>
      </x:c>
      <x:c r="W249" t="str">
        <x:v>Ružinov</x:v>
      </x:c>
      <x:c r="X249" s="11" t="str">
        <x:v>Predrezervácia</x:v>
      </x:c>
      <x:c r="Y249" s="11" t="str">
        <x:v>https://www.baya.btk.sk/sk/byt/614</x:v>
      </x:c>
      <x:c r="Z249" s="11" t="n">
        <x:v>46251.740894027775</x:v>
      </x:c>
      <x:c r="AA249" s="11" t="n">
        <x:v>46254.51251577547</x:v>
      </x:c>
      <x:c r="AB249" s="11" t="n">
        <x:v>46254.51251577547</x:v>
      </x:c>
      <x:c r="AC249" t="str">
        <x:v>baya</x:v>
      </x:c>
    </x:row>
    <x:row r="250" ht="22" customHeight="1">
      <x:c r="A250" t="str">
        <x:v>BAYA</x:v>
      </x:c>
      <x:c r="B250" t="str">
        <x:v>6.15</x:v>
      </x:c>
      <x:c r="C250" t="str">
        <x:v>sold</x:v>
      </x:c>
      <x:c r="D250" t="str">
        <x:v>present</x:v>
      </x:c>
      <x:c r="E250" t="str">
        <x:v>baseline</x:v>
      </x:c>
      <x:c r="F250" s="11" t="n">
        <x:v>46251.740894027775</x:v>
      </x:c>
      <x:c r="G250" t="str">
        <x:v>Byt</x:v>
      </x:c>
      <x:c r="H250" s="12" t="n">
        <x:v>3</x:v>
      </x:c>
      <x:c r="I250" s="13" t="n">
        <x:v>6</x:v>
      </x:c>
      <x:c r="J250" t="str">
        <x:v>BAYA</x:v>
      </x:c>
      <x:c r="K250" s="14" t="n">
        <x:v>61.2</x:v>
      </x:c>
      <x:c r="L250" s="14" t="n">
        <x:v>7.55</x:v>
      </x:c>
      <x:c r="M250" s="14" t="n">
        <x:v>0</x:v>
      </x:c>
      <x:c r="N250" s="14" t="n">
        <x:v>0</x:v>
      </x:c>
      <x:c r="O250" s="14"/>
      <x:c r="P250" s="14" t="n">
        <x:v>7.55</x:v>
      </x:c>
      <x:c r="Q250" s="14" t="n">
        <x:v>68.75</x:v>
      </x:c>
      <x:c r="R250" s="15"/>
      <x:c r="S250" s="15"/>
      <x:c r="T250" s="15"/>
      <x:c r="U250" s="16"/>
      <x:c r="V250" t="str">
        <x:v>BTK</x:v>
      </x:c>
      <x:c r="W250" t="str">
        <x:v>Ružinov</x:v>
      </x:c>
      <x:c r="X250" s="11" t="str">
        <x:v>Predané</x:v>
      </x:c>
      <x:c r="Y250" s="11" t="str">
        <x:v>https://www.baya.btk.sk/sk/byt/615</x:v>
      </x:c>
      <x:c r="Z250" s="11" t="n">
        <x:v>46251.740894027775</x:v>
      </x:c>
      <x:c r="AA250" s="11" t="n">
        <x:v>46254.51251577547</x:v>
      </x:c>
      <x:c r="AB250" s="11" t="n">
        <x:v>46254.51251577547</x:v>
      </x:c>
      <x:c r="AC250" t="str">
        <x:v>baya</x:v>
      </x:c>
    </x:row>
    <x:row r="251" ht="22" customHeight="1">
      <x:c r="A251" t="str">
        <x:v>BAYA</x:v>
      </x:c>
      <x:c r="B251" t="str">
        <x:v>6.16</x:v>
      </x:c>
      <x:c r="C251" t="str">
        <x:v>available</x:v>
      </x:c>
      <x:c r="D251" t="str">
        <x:v>present</x:v>
      </x:c>
      <x:c r="E251" t="str">
        <x:v>baseline</x:v>
      </x:c>
      <x:c r="F251" s="11" t="n">
        <x:v>46251.740894027775</x:v>
      </x:c>
      <x:c r="G251" t="str">
        <x:v>Byt</x:v>
      </x:c>
      <x:c r="H251" s="12" t="n">
        <x:v>3</x:v>
      </x:c>
      <x:c r="I251" s="13" t="n">
        <x:v>6</x:v>
      </x:c>
      <x:c r="J251" t="str">
        <x:v>BAYA</x:v>
      </x:c>
      <x:c r="K251" s="14" t="n">
        <x:v>58.03</x:v>
      </x:c>
      <x:c r="L251" s="14" t="n">
        <x:v>10.55</x:v>
      </x:c>
      <x:c r="M251" s="14" t="n">
        <x:v>0</x:v>
      </x:c>
      <x:c r="N251" s="14" t="n">
        <x:v>0</x:v>
      </x:c>
      <x:c r="O251" s="14"/>
      <x:c r="P251" s="14" t="n">
        <x:v>10.55</x:v>
      </x:c>
      <x:c r="Q251" s="14" t="n">
        <x:v>68.58</x:v>
      </x:c>
      <x:c r="R251" s="15" t="n">
        <x:v>338</x:v>
      </x:c>
      <x:c r="S251" s="15" t="n">
        <x:v>338</x:v>
      </x:c>
      <x:c r="T251" s="15"/>
      <x:c r="U251" s="16" t="n">
        <x:v>5.82</x:v>
      </x:c>
      <x:c r="V251" t="str">
        <x:v>BTK</x:v>
      </x:c>
      <x:c r="W251" t="str">
        <x:v>Ružinov</x:v>
      </x:c>
      <x:c r="X251" s="11" t="str">
        <x:v>Dostupný</x:v>
      </x:c>
      <x:c r="Y251" s="11" t="str">
        <x:v>https://www.baya.btk.sk/sk/byt/616</x:v>
      </x:c>
      <x:c r="Z251" s="11" t="n">
        <x:v>46251.740894027775</x:v>
      </x:c>
      <x:c r="AA251" s="11" t="n">
        <x:v>46254.51251577547</x:v>
      </x:c>
      <x:c r="AB251" s="11" t="n">
        <x:v>46254.51251577547</x:v>
      </x:c>
      <x:c r="AC251" t="str">
        <x:v>baya</x:v>
      </x:c>
    </x:row>
    <x:row r="252" ht="22" customHeight="1">
      <x:c r="A252" t="str">
        <x:v>BAYA</x:v>
      </x:c>
      <x:c r="B252" t="str">
        <x:v>6.17</x:v>
      </x:c>
      <x:c r="C252" t="str">
        <x:v>available</x:v>
      </x:c>
      <x:c r="D252" t="str">
        <x:v>present</x:v>
      </x:c>
      <x:c r="E252" t="str">
        <x:v>baseline</x:v>
      </x:c>
      <x:c r="F252" s="11" t="n">
        <x:v>46251.740894027775</x:v>
      </x:c>
      <x:c r="G252" t="str">
        <x:v>Byt</x:v>
      </x:c>
      <x:c r="H252" s="12" t="n">
        <x:v>2</x:v>
      </x:c>
      <x:c r="I252" s="13" t="n">
        <x:v>6</x:v>
      </x:c>
      <x:c r="J252" t="str">
        <x:v>BAYA</x:v>
      </x:c>
      <x:c r="K252" s="14" t="n">
        <x:v>44.75</x:v>
      </x:c>
      <x:c r="L252" s="14" t="n">
        <x:v>15.13</x:v>
      </x:c>
      <x:c r="M252" s="14" t="n">
        <x:v>0</x:v>
      </x:c>
      <x:c r="N252" s="14" t="n">
        <x:v>0</x:v>
      </x:c>
      <x:c r="O252" s="14"/>
      <x:c r="P252" s="14" t="n">
        <x:v>15.13</x:v>
      </x:c>
      <x:c r="Q252" s="14" t="n">
        <x:v>59.88</x:v>
      </x:c>
      <x:c r="R252" s="15" t="n">
        <x:v>283</x:v>
      </x:c>
      <x:c r="S252" s="15" t="n">
        <x:v>283</x:v>
      </x:c>
      <x:c r="T252" s="15"/>
      <x:c r="U252" s="16" t="n">
        <x:v>6.32</x:v>
      </x:c>
      <x:c r="V252" t="str">
        <x:v>BTK</x:v>
      </x:c>
      <x:c r="W252" t="str">
        <x:v>Ružinov</x:v>
      </x:c>
      <x:c r="X252" s="11" t="str">
        <x:v>Dostupný</x:v>
      </x:c>
      <x:c r="Y252" s="11" t="str">
        <x:v>https://www.baya.btk.sk/sk/byt/617</x:v>
      </x:c>
      <x:c r="Z252" s="11" t="n">
        <x:v>46251.740894027775</x:v>
      </x:c>
      <x:c r="AA252" s="11" t="n">
        <x:v>46254.51251577547</x:v>
      </x:c>
      <x:c r="AB252" s="11" t="n">
        <x:v>46254.51251577547</x:v>
      </x:c>
      <x:c r="AC252" t="str">
        <x:v>baya</x:v>
      </x:c>
    </x:row>
    <x:row r="253" ht="22" customHeight="1">
      <x:c r="A253" t="str">
        <x:v>BAYA</x:v>
      </x:c>
      <x:c r="B253" t="str">
        <x:v>6.18</x:v>
      </x:c>
      <x:c r="C253" t="str">
        <x:v>sold</x:v>
      </x:c>
      <x:c r="D253" t="str">
        <x:v>present</x:v>
      </x:c>
      <x:c r="E253" t="str">
        <x:v>baseline</x:v>
      </x:c>
      <x:c r="F253" s="11" t="n">
        <x:v>46251.740894027775</x:v>
      </x:c>
      <x:c r="G253" t="str">
        <x:v>Byt</x:v>
      </x:c>
      <x:c r="H253" s="12" t="n">
        <x:v>1</x:v>
      </x:c>
      <x:c r="I253" s="13" t="n">
        <x:v>6</x:v>
      </x:c>
      <x:c r="J253" t="str">
        <x:v>BAYA</x:v>
      </x:c>
      <x:c r="K253" s="14" t="n">
        <x:v>31.87</x:v>
      </x:c>
      <x:c r="L253" s="14" t="n">
        <x:v>7.58</x:v>
      </x:c>
      <x:c r="M253" s="14" t="n">
        <x:v>0</x:v>
      </x:c>
      <x:c r="N253" s="14" t="n">
        <x:v>0</x:v>
      </x:c>
      <x:c r="O253" s="14"/>
      <x:c r="P253" s="14" t="n">
        <x:v>7.58</x:v>
      </x:c>
      <x:c r="Q253" s="14" t="n">
        <x:v>39.45</x:v>
      </x:c>
      <x:c r="R253" s="15"/>
      <x:c r="S253" s="15"/>
      <x:c r="T253" s="15"/>
      <x:c r="U253" s="16"/>
      <x:c r="V253" t="str">
        <x:v>BTK</x:v>
      </x:c>
      <x:c r="W253" t="str">
        <x:v>Ružinov</x:v>
      </x:c>
      <x:c r="X253" s="11" t="str">
        <x:v>Predané</x:v>
      </x:c>
      <x:c r="Y253" s="11" t="str">
        <x:v>https://www.baya.btk.sk/sk/byt/618</x:v>
      </x:c>
      <x:c r="Z253" s="11" t="n">
        <x:v>46251.740894027775</x:v>
      </x:c>
      <x:c r="AA253" s="11" t="n">
        <x:v>46254.51251577547</x:v>
      </x:c>
      <x:c r="AB253" s="11" t="n">
        <x:v>46254.51251577547</x:v>
      </x:c>
      <x:c r="AC253" t="str">
        <x:v>baya</x:v>
      </x:c>
    </x:row>
    <x:row r="254" ht="22" customHeight="1">
      <x:c r="A254" t="str">
        <x:v>BAYA</x:v>
      </x:c>
      <x:c r="B254" t="str">
        <x:v>6.19</x:v>
      </x:c>
      <x:c r="C254" t="str">
        <x:v>sold</x:v>
      </x:c>
      <x:c r="D254" t="str">
        <x:v>present</x:v>
      </x:c>
      <x:c r="E254" t="str">
        <x:v>baseline</x:v>
      </x:c>
      <x:c r="F254" s="11" t="n">
        <x:v>46251.740894027775</x:v>
      </x:c>
      <x:c r="G254" t="str">
        <x:v>Byt</x:v>
      </x:c>
      <x:c r="H254" s="12" t="n">
        <x:v>1</x:v>
      </x:c>
      <x:c r="I254" s="13" t="n">
        <x:v>6</x:v>
      </x:c>
      <x:c r="J254" t="str">
        <x:v>BAYA</x:v>
      </x:c>
      <x:c r="K254" s="14" t="n">
        <x:v>31.87</x:v>
      </x:c>
      <x:c r="L254" s="14" t="n">
        <x:v>0</x:v>
      </x:c>
      <x:c r="M254" s="14" t="n">
        <x:v>8.27</x:v>
      </x:c>
      <x:c r="N254" s="14" t="n">
        <x:v>0</x:v>
      </x:c>
      <x:c r="O254" s="14"/>
      <x:c r="P254" s="14" t="n">
        <x:v>8.27</x:v>
      </x:c>
      <x:c r="Q254" s="14" t="n">
        <x:v>40.14</x:v>
      </x:c>
      <x:c r="R254" s="15"/>
      <x:c r="S254" s="15"/>
      <x:c r="T254" s="15"/>
      <x:c r="U254" s="16"/>
      <x:c r="V254" t="str">
        <x:v>BTK</x:v>
      </x:c>
      <x:c r="W254" t="str">
        <x:v>Ružinov</x:v>
      </x:c>
      <x:c r="X254" s="11" t="str">
        <x:v>Predané</x:v>
      </x:c>
      <x:c r="Y254" s="11" t="str">
        <x:v>https://www.baya.btk.sk/sk/byt/619</x:v>
      </x:c>
      <x:c r="Z254" s="11" t="n">
        <x:v>46251.740894027775</x:v>
      </x:c>
      <x:c r="AA254" s="11" t="n">
        <x:v>46254.51251577547</x:v>
      </x:c>
      <x:c r="AB254" s="11" t="n">
        <x:v>46254.51251577547</x:v>
      </x:c>
      <x:c r="AC254" t="str">
        <x:v>baya</x:v>
      </x:c>
    </x:row>
    <x:row r="255" ht="22" customHeight="1">
      <x:c r="A255" t="str">
        <x:v>BAYA</x:v>
      </x:c>
      <x:c r="B255" t="str">
        <x:v>6.20</x:v>
      </x:c>
      <x:c r="C255" t="str">
        <x:v>available</x:v>
      </x:c>
      <x:c r="D255" t="str">
        <x:v>present</x:v>
      </x:c>
      <x:c r="E255" t="str">
        <x:v>baseline</x:v>
      </x:c>
      <x:c r="F255" s="11" t="n">
        <x:v>46251.740894027775</x:v>
      </x:c>
      <x:c r="G255" t="str">
        <x:v>Byt</x:v>
      </x:c>
      <x:c r="H255" s="12" t="n">
        <x:v>2</x:v>
      </x:c>
      <x:c r="I255" s="13" t="n">
        <x:v>6</x:v>
      </x:c>
      <x:c r="J255" t="str">
        <x:v>BAYA</x:v>
      </x:c>
      <x:c r="K255" s="14" t="n">
        <x:v>52.64</x:v>
      </x:c>
      <x:c r="L255" s="14" t="n">
        <x:v>6.93</x:v>
      </x:c>
      <x:c r="M255" s="14" t="n">
        <x:v>0</x:v>
      </x:c>
      <x:c r="N255" s="14" t="n">
        <x:v>0</x:v>
      </x:c>
      <x:c r="O255" s="14"/>
      <x:c r="P255" s="14" t="n">
        <x:v>6.93</x:v>
      </x:c>
      <x:c r="Q255" s="14" t="n">
        <x:v>59.57</x:v>
      </x:c>
      <x:c r="R255" s="15" t="n">
        <x:v>328</x:v>
      </x:c>
      <x:c r="S255" s="15" t="n">
        <x:v>328</x:v>
      </x:c>
      <x:c r="T255" s="15"/>
      <x:c r="U255" s="16" t="n">
        <x:v>6.23</x:v>
      </x:c>
      <x:c r="V255" t="str">
        <x:v>BTK</x:v>
      </x:c>
      <x:c r="W255" t="str">
        <x:v>Ružinov</x:v>
      </x:c>
      <x:c r="X255" s="11" t="str">
        <x:v>Dostupný</x:v>
      </x:c>
      <x:c r="Y255" s="11" t="str">
        <x:v>https://www.baya.btk.sk/sk/byt/620</x:v>
      </x:c>
      <x:c r="Z255" s="11" t="n">
        <x:v>46251.740894027775</x:v>
      </x:c>
      <x:c r="AA255" s="11" t="n">
        <x:v>46254.51251577547</x:v>
      </x:c>
      <x:c r="AB255" s="11" t="n">
        <x:v>46254.51251577547</x:v>
      </x:c>
      <x:c r="AC255" t="str">
        <x:v>baya</x:v>
      </x:c>
    </x:row>
    <x:row r="256" ht="22" customHeight="1">
      <x:c r="A256" t="str">
        <x:v>BAYA</x:v>
      </x:c>
      <x:c r="B256" t="str">
        <x:v>6.21</x:v>
      </x:c>
      <x:c r="C256" t="str">
        <x:v>available</x:v>
      </x:c>
      <x:c r="D256" t="str">
        <x:v>present</x:v>
      </x:c>
      <x:c r="E256" t="str">
        <x:v>baseline</x:v>
      </x:c>
      <x:c r="F256" s="11" t="n">
        <x:v>46251.740894027775</x:v>
      </x:c>
      <x:c r="G256" t="str">
        <x:v>Byt</x:v>
      </x:c>
      <x:c r="H256" s="12" t="n">
        <x:v>2</x:v>
      </x:c>
      <x:c r="I256" s="13" t="n">
        <x:v>6</x:v>
      </x:c>
      <x:c r="J256" t="str">
        <x:v>BAYA</x:v>
      </x:c>
      <x:c r="K256" s="14" t="n">
        <x:v>52.45</x:v>
      </x:c>
      <x:c r="L256" s="14" t="n">
        <x:v>0</x:v>
      </x:c>
      <x:c r="M256" s="14" t="n">
        <x:v>12.02</x:v>
      </x:c>
      <x:c r="N256" s="14" t="n">
        <x:v>0</x:v>
      </x:c>
      <x:c r="O256" s="14"/>
      <x:c r="P256" s="14" t="n">
        <x:v>12.02</x:v>
      </x:c>
      <x:c r="Q256" s="14" t="n">
        <x:v>64.47</x:v>
      </x:c>
      <x:c r="R256" s="15" t="n">
        <x:v>322</x:v>
      </x:c>
      <x:c r="S256" s="15" t="n">
        <x:v>322</x:v>
      </x:c>
      <x:c r="T256" s="15"/>
      <x:c r="U256" s="16" t="n">
        <x:v>6.14</x:v>
      </x:c>
      <x:c r="V256" t="str">
        <x:v>BTK</x:v>
      </x:c>
      <x:c r="W256" t="str">
        <x:v>Ružinov</x:v>
      </x:c>
      <x:c r="X256" s="11" t="str">
        <x:v>Dostupný</x:v>
      </x:c>
      <x:c r="Y256" s="11" t="str">
        <x:v>https://www.baya.btk.sk/sk/byt/621</x:v>
      </x:c>
      <x:c r="Z256" s="11" t="n">
        <x:v>46251.740894027775</x:v>
      </x:c>
      <x:c r="AA256" s="11" t="n">
        <x:v>46254.51251577547</x:v>
      </x:c>
      <x:c r="AB256" s="11" t="n">
        <x:v>46254.51251577547</x:v>
      </x:c>
      <x:c r="AC256" t="str">
        <x:v>baya</x:v>
      </x:c>
    </x:row>
    <x:row r="257" ht="22" customHeight="1">
      <x:c r="A257" t="str">
        <x:v>BAYA</x:v>
      </x:c>
      <x:c r="B257" t="str">
        <x:v>6.22</x:v>
      </x:c>
      <x:c r="C257" t="str">
        <x:v>available</x:v>
      </x:c>
      <x:c r="D257" t="str">
        <x:v>present</x:v>
      </x:c>
      <x:c r="E257" t="str">
        <x:v>baseline</x:v>
      </x:c>
      <x:c r="F257" s="11" t="n">
        <x:v>46251.740894027775</x:v>
      </x:c>
      <x:c r="G257" t="str">
        <x:v>Byt</x:v>
      </x:c>
      <x:c r="H257" s="12" t="n">
        <x:v>2</x:v>
      </x:c>
      <x:c r="I257" s="13" t="n">
        <x:v>6</x:v>
      </x:c>
      <x:c r="J257" t="str">
        <x:v>BAYA</x:v>
      </x:c>
      <x:c r="K257" s="14" t="n">
        <x:v>52.64</x:v>
      </x:c>
      <x:c r="L257" s="14" t="n">
        <x:v>6.79</x:v>
      </x:c>
      <x:c r="M257" s="14" t="n">
        <x:v>0</x:v>
      </x:c>
      <x:c r="N257" s="14" t="n">
        <x:v>0</x:v>
      </x:c>
      <x:c r="O257" s="14"/>
      <x:c r="P257" s="14" t="n">
        <x:v>6.79</x:v>
      </x:c>
      <x:c r="Q257" s="14" t="n">
        <x:v>59.43</x:v>
      </x:c>
      <x:c r="R257" s="15" t="n">
        <x:v>327</x:v>
      </x:c>
      <x:c r="S257" s="15" t="n">
        <x:v>327</x:v>
      </x:c>
      <x:c r="T257" s="15"/>
      <x:c r="U257" s="16" t="n">
        <x:v>6.21</x:v>
      </x:c>
      <x:c r="V257" t="str">
        <x:v>BTK</x:v>
      </x:c>
      <x:c r="W257" t="str">
        <x:v>Ružinov</x:v>
      </x:c>
      <x:c r="X257" s="11" t="str">
        <x:v>Dostupný</x:v>
      </x:c>
      <x:c r="Y257" s="11" t="str">
        <x:v>https://www.baya.btk.sk/sk/byt/622</x:v>
      </x:c>
      <x:c r="Z257" s="11" t="n">
        <x:v>46251.740894027775</x:v>
      </x:c>
      <x:c r="AA257" s="11" t="n">
        <x:v>46254.51251577547</x:v>
      </x:c>
      <x:c r="AB257" s="11" t="n">
        <x:v>46254.51251577547</x:v>
      </x:c>
      <x:c r="AC257" t="str">
        <x:v>baya</x:v>
      </x:c>
    </x:row>
    <x:row r="258" ht="22" customHeight="1">
      <x:c r="A258" t="str">
        <x:v>BAYA</x:v>
      </x:c>
      <x:c r="B258" t="str">
        <x:v>6.23</x:v>
      </x:c>
      <x:c r="C258" t="str">
        <x:v>available</x:v>
      </x:c>
      <x:c r="D258" t="str">
        <x:v>present</x:v>
      </x:c>
      <x:c r="E258" t="str">
        <x:v>baseline</x:v>
      </x:c>
      <x:c r="F258" s="11" t="n">
        <x:v>46251.740894027775</x:v>
      </x:c>
      <x:c r="G258" t="str">
        <x:v>Byt</x:v>
      </x:c>
      <x:c r="H258" s="12" t="n">
        <x:v>2</x:v>
      </x:c>
      <x:c r="I258" s="13" t="n">
        <x:v>6</x:v>
      </x:c>
      <x:c r="J258" t="str">
        <x:v>BAYA</x:v>
      </x:c>
      <x:c r="K258" s="14" t="n">
        <x:v>52.64</x:v>
      </x:c>
      <x:c r="L258" s="14" t="n">
        <x:v>0</x:v>
      </x:c>
      <x:c r="M258" s="14" t="n">
        <x:v>12.02</x:v>
      </x:c>
      <x:c r="N258" s="14" t="n">
        <x:v>0</x:v>
      </x:c>
      <x:c r="O258" s="14"/>
      <x:c r="P258" s="14" t="n">
        <x:v>12.02</x:v>
      </x:c>
      <x:c r="Q258" s="14" t="n">
        <x:v>64.66</x:v>
      </x:c>
      <x:c r="R258" s="15" t="n">
        <x:v>323</x:v>
      </x:c>
      <x:c r="S258" s="15" t="n">
        <x:v>323</x:v>
      </x:c>
      <x:c r="T258" s="15"/>
      <x:c r="U258" s="16" t="n">
        <x:v>6.14</x:v>
      </x:c>
      <x:c r="V258" t="str">
        <x:v>BTK</x:v>
      </x:c>
      <x:c r="W258" t="str">
        <x:v>Ružinov</x:v>
      </x:c>
      <x:c r="X258" s="11" t="str">
        <x:v>Dostupný</x:v>
      </x:c>
      <x:c r="Y258" s="11" t="str">
        <x:v>https://www.baya.btk.sk/sk/byt/623</x:v>
      </x:c>
      <x:c r="Z258" s="11" t="n">
        <x:v>46251.740894027775</x:v>
      </x:c>
      <x:c r="AA258" s="11" t="n">
        <x:v>46254.51251577547</x:v>
      </x:c>
      <x:c r="AB258" s="11" t="n">
        <x:v>46254.51251577547</x:v>
      </x:c>
      <x:c r="AC258" t="str">
        <x:v>baya</x:v>
      </x:c>
    </x:row>
    <x:row r="259" ht="22" customHeight="1">
      <x:c r="A259" t="str">
        <x:v>BAYA</x:v>
      </x:c>
      <x:c r="B259" t="str">
        <x:v>6.24</x:v>
      </x:c>
      <x:c r="C259" t="str">
        <x:v>sold</x:v>
      </x:c>
      <x:c r="D259" t="str">
        <x:v>present</x:v>
      </x:c>
      <x:c r="E259" t="str">
        <x:v>baseline</x:v>
      </x:c>
      <x:c r="F259" s="11" t="n">
        <x:v>46251.740894027775</x:v>
      </x:c>
      <x:c r="G259" t="str">
        <x:v>Byt</x:v>
      </x:c>
      <x:c r="H259" s="12" t="n">
        <x:v>3</x:v>
      </x:c>
      <x:c r="I259" s="13" t="n">
        <x:v>6</x:v>
      </x:c>
      <x:c r="J259" t="str">
        <x:v>BAYA</x:v>
      </x:c>
      <x:c r="K259" s="14" t="n">
        <x:v>59.2</x:v>
      </x:c>
      <x:c r="L259" s="14" t="n">
        <x:v>13.35</x:v>
      </x:c>
      <x:c r="M259" s="14" t="n">
        <x:v>0</x:v>
      </x:c>
      <x:c r="N259" s="14" t="n">
        <x:v>0</x:v>
      </x:c>
      <x:c r="O259" s="14"/>
      <x:c r="P259" s="14" t="n">
        <x:v>13.35</x:v>
      </x:c>
      <x:c r="Q259" s="14" t="n">
        <x:v>72.55</x:v>
      </x:c>
      <x:c r="R259" s="15"/>
      <x:c r="S259" s="15"/>
      <x:c r="T259" s="15"/>
      <x:c r="U259" s="16"/>
      <x:c r="V259" t="str">
        <x:v>BTK</x:v>
      </x:c>
      <x:c r="W259" t="str">
        <x:v>Ružinov</x:v>
      </x:c>
      <x:c r="X259" s="11" t="str">
        <x:v>Predané</x:v>
      </x:c>
      <x:c r="Y259" s="11" t="str">
        <x:v>https://www.baya.btk.sk/sk/byt/624</x:v>
      </x:c>
      <x:c r="Z259" s="11" t="n">
        <x:v>46251.740894027775</x:v>
      </x:c>
      <x:c r="AA259" s="11" t="n">
        <x:v>46254.51251577547</x:v>
      </x:c>
      <x:c r="AB259" s="11" t="n">
        <x:v>46254.51251577547</x:v>
      </x:c>
      <x:c r="AC259" t="str">
        <x:v>baya</x:v>
      </x:c>
    </x:row>
    <x:row r="260" ht="22" customHeight="1">
      <x:c r="A260" t="str">
        <x:v>BAYA</x:v>
      </x:c>
      <x:c r="B260" t="str">
        <x:v>6.25</x:v>
      </x:c>
      <x:c r="C260" t="str">
        <x:v>available</x:v>
      </x:c>
      <x:c r="D260" t="str">
        <x:v>present</x:v>
      </x:c>
      <x:c r="E260" t="str">
        <x:v>baseline</x:v>
      </x:c>
      <x:c r="F260" s="11" t="n">
        <x:v>46251.740894027775</x:v>
      </x:c>
      <x:c r="G260" t="str">
        <x:v>Byt</x:v>
      </x:c>
      <x:c r="H260" s="12" t="n">
        <x:v>2</x:v>
      </x:c>
      <x:c r="I260" s="13" t="n">
        <x:v>6</x:v>
      </x:c>
      <x:c r="J260" t="str">
        <x:v>BAYA</x:v>
      </x:c>
      <x:c r="K260" s="14" t="n">
        <x:v>54.46</x:v>
      </x:c>
      <x:c r="L260" s="14" t="n">
        <x:v>0</x:v>
      </x:c>
      <x:c r="M260" s="14" t="n">
        <x:v>12.37</x:v>
      </x:c>
      <x:c r="N260" s="14" t="n">
        <x:v>0</x:v>
      </x:c>
      <x:c r="O260" s="14"/>
      <x:c r="P260" s="14" t="n">
        <x:v>12.37</x:v>
      </x:c>
      <x:c r="Q260" s="14" t="n">
        <x:v>66.83</x:v>
      </x:c>
      <x:c r="R260" s="15" t="n">
        <x:v>334</x:v>
      </x:c>
      <x:c r="S260" s="15" t="n">
        <x:v>334</x:v>
      </x:c>
      <x:c r="T260" s="15"/>
      <x:c r="U260" s="16" t="n">
        <x:v>6.13</x:v>
      </x:c>
      <x:c r="V260" t="str">
        <x:v>BTK</x:v>
      </x:c>
      <x:c r="W260" t="str">
        <x:v>Ružinov</x:v>
      </x:c>
      <x:c r="X260" s="11" t="str">
        <x:v>Dostupný</x:v>
      </x:c>
      <x:c r="Y260" s="11" t="str">
        <x:v>https://www.baya.btk.sk/sk/byt/625</x:v>
      </x:c>
      <x:c r="Z260" s="11" t="n">
        <x:v>46251.740894027775</x:v>
      </x:c>
      <x:c r="AA260" s="11" t="n">
        <x:v>46254.51251577547</x:v>
      </x:c>
      <x:c r="AB260" s="11" t="n">
        <x:v>46254.51251577547</x:v>
      </x:c>
      <x:c r="AC260" t="str">
        <x:v>baya</x:v>
      </x:c>
    </x:row>
    <x:row r="261" ht="22" customHeight="1">
      <x:c r="A261" t="str">
        <x:v>BAYA</x:v>
      </x:c>
      <x:c r="B261" t="str">
        <x:v>7.01</x:v>
      </x:c>
      <x:c r="C261" t="str">
        <x:v>pre_reserved</x:v>
      </x:c>
      <x:c r="D261" t="str">
        <x:v>present</x:v>
      </x:c>
      <x:c r="E261" t="str">
        <x:v>baseline</x:v>
      </x:c>
      <x:c r="F261" s="11" t="n">
        <x:v>46251.740894027775</x:v>
      </x:c>
      <x:c r="G261" t="str">
        <x:v>Byt</x:v>
      </x:c>
      <x:c r="H261" s="12" t="n">
        <x:v>2</x:v>
      </x:c>
      <x:c r="I261" s="13" t="n">
        <x:v>7</x:v>
      </x:c>
      <x:c r="J261" t="str">
        <x:v>BAYA</x:v>
      </x:c>
      <x:c r="K261" s="14" t="n">
        <x:v>56.35</x:v>
      </x:c>
      <x:c r="L261" s="14" t="n">
        <x:v>6.15</x:v>
      </x:c>
      <x:c r="M261" s="14" t="n">
        <x:v>0</x:v>
      </x:c>
      <x:c r="N261" s="14" t="n">
        <x:v>0</x:v>
      </x:c>
      <x:c r="O261" s="14"/>
      <x:c r="P261" s="14" t="n">
        <x:v>6.15</x:v>
      </x:c>
      <x:c r="Q261" s="14" t="n">
        <x:v>62.5</x:v>
      </x:c>
      <x:c r="R261" s="15"/>
      <x:c r="S261" s="15"/>
      <x:c r="T261" s="15"/>
      <x:c r="U261" s="16"/>
      <x:c r="V261" t="str">
        <x:v>BTK</x:v>
      </x:c>
      <x:c r="W261" t="str">
        <x:v>Ružinov</x:v>
      </x:c>
      <x:c r="X261" s="11" t="str">
        <x:v>Predrezervácia</x:v>
      </x:c>
      <x:c r="Y261" s="11" t="str">
        <x:v>https://www.baya.btk.sk/sk/byt/701</x:v>
      </x:c>
      <x:c r="Z261" s="11" t="n">
        <x:v>46251.740894027775</x:v>
      </x:c>
      <x:c r="AA261" s="11" t="n">
        <x:v>46254.51251577547</x:v>
      </x:c>
      <x:c r="AB261" s="11" t="n">
        <x:v>46254.51251577547</x:v>
      </x:c>
      <x:c r="AC261" t="str">
        <x:v>baya</x:v>
      </x:c>
    </x:row>
    <x:row r="262" ht="22" customHeight="1">
      <x:c r="A262" t="str">
        <x:v>BAYA</x:v>
      </x:c>
      <x:c r="B262" t="str">
        <x:v>7.02</x:v>
      </x:c>
      <x:c r="C262" t="str">
        <x:v>sold</x:v>
      </x:c>
      <x:c r="D262" t="str">
        <x:v>present</x:v>
      </x:c>
      <x:c r="E262" t="str">
        <x:v>baseline</x:v>
      </x:c>
      <x:c r="F262" s="11" t="n">
        <x:v>46251.740894027775</x:v>
      </x:c>
      <x:c r="G262" t="str">
        <x:v>Byt</x:v>
      </x:c>
      <x:c r="H262" s="12" t="n">
        <x:v>1</x:v>
      </x:c>
      <x:c r="I262" s="13" t="n">
        <x:v>7</x:v>
      </x:c>
      <x:c r="J262" t="str">
        <x:v>BAYA</x:v>
      </x:c>
      <x:c r="K262" s="14" t="n">
        <x:v>31.47</x:v>
      </x:c>
      <x:c r="L262" s="14" t="n">
        <x:v>6.15</x:v>
      </x:c>
      <x:c r="M262" s="14" t="n">
        <x:v>0</x:v>
      </x:c>
      <x:c r="N262" s="14" t="n">
        <x:v>0</x:v>
      </x:c>
      <x:c r="O262" s="14"/>
      <x:c r="P262" s="14" t="n">
        <x:v>6.15</x:v>
      </x:c>
      <x:c r="Q262" s="14" t="n">
        <x:v>37.62</x:v>
      </x:c>
      <x:c r="R262" s="15"/>
      <x:c r="S262" s="15"/>
      <x:c r="T262" s="15"/>
      <x:c r="U262" s="16"/>
      <x:c r="V262" t="str">
        <x:v>BTK</x:v>
      </x:c>
      <x:c r="W262" t="str">
        <x:v>Ružinov</x:v>
      </x:c>
      <x:c r="X262" s="11" t="str">
        <x:v>Predané</x:v>
      </x:c>
      <x:c r="Y262" s="11" t="str">
        <x:v>https://www.baya.btk.sk/sk/byt/702</x:v>
      </x:c>
      <x:c r="Z262" s="11" t="n">
        <x:v>46251.740894027775</x:v>
      </x:c>
      <x:c r="AA262" s="11" t="n">
        <x:v>46254.51251577547</x:v>
      </x:c>
      <x:c r="AB262" s="11" t="n">
        <x:v>46254.51251577547</x:v>
      </x:c>
      <x:c r="AC262" t="str">
        <x:v>baya</x:v>
      </x:c>
    </x:row>
    <x:row r="263" ht="22" customHeight="1">
      <x:c r="A263" t="str">
        <x:v>BAYA</x:v>
      </x:c>
      <x:c r="B263" t="str">
        <x:v>7.03</x:v>
      </x:c>
      <x:c r="C263" t="str">
        <x:v>sold</x:v>
      </x:c>
      <x:c r="D263" t="str">
        <x:v>present</x:v>
      </x:c>
      <x:c r="E263" t="str">
        <x:v>baseline</x:v>
      </x:c>
      <x:c r="F263" s="11" t="n">
        <x:v>46251.740894027775</x:v>
      </x:c>
      <x:c r="G263" t="str">
        <x:v>Byt</x:v>
      </x:c>
      <x:c r="H263" s="12" t="n">
        <x:v>2</x:v>
      </x:c>
      <x:c r="I263" s="13" t="n">
        <x:v>7</x:v>
      </x:c>
      <x:c r="J263" t="str">
        <x:v>BAYA</x:v>
      </x:c>
      <x:c r="K263" s="14" t="n">
        <x:v>56.49</x:v>
      </x:c>
      <x:c r="L263" s="14" t="n">
        <x:v>7.5</x:v>
      </x:c>
      <x:c r="M263" s="14" t="n">
        <x:v>0</x:v>
      </x:c>
      <x:c r="N263" s="14" t="n">
        <x:v>0</x:v>
      </x:c>
      <x:c r="O263" s="14"/>
      <x:c r="P263" s="14" t="n">
        <x:v>7.5</x:v>
      </x:c>
      <x:c r="Q263" s="14" t="n">
        <x:v>63.99</x:v>
      </x:c>
      <x:c r="R263" s="15"/>
      <x:c r="S263" s="15"/>
      <x:c r="T263" s="15"/>
      <x:c r="U263" s="16"/>
      <x:c r="V263" t="str">
        <x:v>BTK</x:v>
      </x:c>
      <x:c r="W263" t="str">
        <x:v>Ružinov</x:v>
      </x:c>
      <x:c r="X263" s="11" t="str">
        <x:v>Predané</x:v>
      </x:c>
      <x:c r="Y263" s="11" t="str">
        <x:v>https://www.baya.btk.sk/sk/byt/703</x:v>
      </x:c>
      <x:c r="Z263" s="11" t="n">
        <x:v>46251.740894027775</x:v>
      </x:c>
      <x:c r="AA263" s="11" t="n">
        <x:v>46254.51251577547</x:v>
      </x:c>
      <x:c r="AB263" s="11" t="n">
        <x:v>46254.51251577547</x:v>
      </x:c>
      <x:c r="AC263" t="str">
        <x:v>baya</x:v>
      </x:c>
    </x:row>
    <x:row r="264" ht="22" customHeight="1">
      <x:c r="A264" t="str">
        <x:v>BAYA</x:v>
      </x:c>
      <x:c r="B264" t="str">
        <x:v>7.04</x:v>
      </x:c>
      <x:c r="C264" t="str">
        <x:v>available</x:v>
      </x:c>
      <x:c r="D264" t="str">
        <x:v>present</x:v>
      </x:c>
      <x:c r="E264" t="str">
        <x:v>baseline</x:v>
      </x:c>
      <x:c r="F264" s="11" t="n">
        <x:v>46251.740894027775</x:v>
      </x:c>
      <x:c r="G264" t="str">
        <x:v>Byt</x:v>
      </x:c>
      <x:c r="H264" s="12" t="n">
        <x:v>2</x:v>
      </x:c>
      <x:c r="I264" s="13" t="n">
        <x:v>7</x:v>
      </x:c>
      <x:c r="J264" t="str">
        <x:v>BAYA</x:v>
      </x:c>
      <x:c r="K264" s="14" t="n">
        <x:v>57.66</x:v>
      </x:c>
      <x:c r="L264" s="14" t="n">
        <x:v>6.15</x:v>
      </x:c>
      <x:c r="M264" s="14" t="n">
        <x:v>0</x:v>
      </x:c>
      <x:c r="N264" s="14" t="n">
        <x:v>0</x:v>
      </x:c>
      <x:c r="O264" s="14"/>
      <x:c r="P264" s="14" t="n">
        <x:v>6.15</x:v>
      </x:c>
      <x:c r="Q264" s="14" t="n">
        <x:v>63.81</x:v>
      </x:c>
      <x:c r="R264" s="15" t="n">
        <x:v>357</x:v>
      </x:c>
      <x:c r="S264" s="15" t="n">
        <x:v>357</x:v>
      </x:c>
      <x:c r="T264" s="15"/>
      <x:c r="U264" s="16" t="n">
        <x:v>6.19</x:v>
      </x:c>
      <x:c r="V264" t="str">
        <x:v>BTK</x:v>
      </x:c>
      <x:c r="W264" t="str">
        <x:v>Ružinov</x:v>
      </x:c>
      <x:c r="X264" s="11" t="str">
        <x:v>Dostupný</x:v>
      </x:c>
      <x:c r="Y264" s="11" t="str">
        <x:v>https://www.baya.btk.sk/sk/byt/704</x:v>
      </x:c>
      <x:c r="Z264" s="11" t="n">
        <x:v>46251.740894027775</x:v>
      </x:c>
      <x:c r="AA264" s="11" t="n">
        <x:v>46254.51251577547</x:v>
      </x:c>
      <x:c r="AB264" s="11" t="n">
        <x:v>46254.51251577547</x:v>
      </x:c>
      <x:c r="AC264" t="str">
        <x:v>baya</x:v>
      </x:c>
    </x:row>
    <x:row r="265" ht="22" customHeight="1">
      <x:c r="A265" t="str">
        <x:v>BAYA</x:v>
      </x:c>
      <x:c r="B265" t="str">
        <x:v>7.05</x:v>
      </x:c>
      <x:c r="C265" t="str">
        <x:v>available</x:v>
      </x:c>
      <x:c r="D265" t="str">
        <x:v>present</x:v>
      </x:c>
      <x:c r="E265" t="str">
        <x:v>baseline</x:v>
      </x:c>
      <x:c r="F265" s="11" t="n">
        <x:v>46251.740894027775</x:v>
      </x:c>
      <x:c r="G265" t="str">
        <x:v>Byt</x:v>
      </x:c>
      <x:c r="H265" s="12" t="n">
        <x:v>2</x:v>
      </x:c>
      <x:c r="I265" s="13" t="n">
        <x:v>7</x:v>
      </x:c>
      <x:c r="J265" t="str">
        <x:v>BAYA</x:v>
      </x:c>
      <x:c r="K265" s="14" t="n">
        <x:v>57.66</x:v>
      </x:c>
      <x:c r="L265" s="14" t="n">
        <x:v>6.15</x:v>
      </x:c>
      <x:c r="M265" s="14" t="n">
        <x:v>0</x:v>
      </x:c>
      <x:c r="N265" s="14" t="n">
        <x:v>0</x:v>
      </x:c>
      <x:c r="O265" s="14"/>
      <x:c r="P265" s="14" t="n">
        <x:v>6.15</x:v>
      </x:c>
      <x:c r="Q265" s="14" t="n">
        <x:v>63.81</x:v>
      </x:c>
      <x:c r="R265" s="15" t="n">
        <x:v>351</x:v>
      </x:c>
      <x:c r="S265" s="15" t="n">
        <x:v>351</x:v>
      </x:c>
      <x:c r="T265" s="15"/>
      <x:c r="U265" s="16" t="n">
        <x:v>6.09</x:v>
      </x:c>
      <x:c r="V265" t="str">
        <x:v>BTK</x:v>
      </x:c>
      <x:c r="W265" t="str">
        <x:v>Ružinov</x:v>
      </x:c>
      <x:c r="X265" s="11" t="str">
        <x:v>Dostupný</x:v>
      </x:c>
      <x:c r="Y265" s="11" t="str">
        <x:v>https://www.baya.btk.sk/sk/byt/705</x:v>
      </x:c>
      <x:c r="Z265" s="11" t="n">
        <x:v>46251.740894027775</x:v>
      </x:c>
      <x:c r="AA265" s="11" t="n">
        <x:v>46254.51251577547</x:v>
      </x:c>
      <x:c r="AB265" s="11" t="n">
        <x:v>46254.51251577547</x:v>
      </x:c>
      <x:c r="AC265" t="str">
        <x:v>baya</x:v>
      </x:c>
    </x:row>
    <x:row r="266" ht="22" customHeight="1">
      <x:c r="A266" t="str">
        <x:v>BAYA</x:v>
      </x:c>
      <x:c r="B266" t="str">
        <x:v>7.06</x:v>
      </x:c>
      <x:c r="C266" t="str">
        <x:v>available</x:v>
      </x:c>
      <x:c r="D266" t="str">
        <x:v>present</x:v>
      </x:c>
      <x:c r="E266" t="str">
        <x:v>baseline</x:v>
      </x:c>
      <x:c r="F266" s="11" t="n">
        <x:v>46251.740894027775</x:v>
      </x:c>
      <x:c r="G266" t="str">
        <x:v>Byt</x:v>
      </x:c>
      <x:c r="H266" s="12" t="n">
        <x:v>2</x:v>
      </x:c>
      <x:c r="I266" s="13" t="n">
        <x:v>7</x:v>
      </x:c>
      <x:c r="J266" t="str">
        <x:v>BAYA</x:v>
      </x:c>
      <x:c r="K266" s="14" t="n">
        <x:v>57.63</x:v>
      </x:c>
      <x:c r="L266" s="14" t="n">
        <x:v>8.6</x:v>
      </x:c>
      <x:c r="M266" s="14" t="n">
        <x:v>0</x:v>
      </x:c>
      <x:c r="N266" s="14" t="n">
        <x:v>0</x:v>
      </x:c>
      <x:c r="O266" s="14"/>
      <x:c r="P266" s="14" t="n">
        <x:v>8.6</x:v>
      </x:c>
      <x:c r="Q266" s="14" t="n">
        <x:v>66.23</x:v>
      </x:c>
      <x:c r="R266" s="15" t="n">
        <x:v>364</x:v>
      </x:c>
      <x:c r="S266" s="15" t="n">
        <x:v>364</x:v>
      </x:c>
      <x:c r="T266" s="15"/>
      <x:c r="U266" s="16" t="n">
        <x:v>6.32</x:v>
      </x:c>
      <x:c r="V266" t="str">
        <x:v>BTK</x:v>
      </x:c>
      <x:c r="W266" t="str">
        <x:v>Ružinov</x:v>
      </x:c>
      <x:c r="X266" s="11" t="str">
        <x:v>Dostupný</x:v>
      </x:c>
      <x:c r="Y266" s="11" t="str">
        <x:v>https://www.baya.btk.sk/sk/byt/706</x:v>
      </x:c>
      <x:c r="Z266" s="11" t="n">
        <x:v>46251.740894027775</x:v>
      </x:c>
      <x:c r="AA266" s="11" t="n">
        <x:v>46254.51251577547</x:v>
      </x:c>
      <x:c r="AB266" s="11" t="n">
        <x:v>46254.51251577547</x:v>
      </x:c>
      <x:c r="AC266" t="str">
        <x:v>baya</x:v>
      </x:c>
    </x:row>
    <x:row r="267" ht="22" customHeight="1">
      <x:c r="A267" t="str">
        <x:v>BAYA</x:v>
      </x:c>
      <x:c r="B267" t="str">
        <x:v>7.07</x:v>
      </x:c>
      <x:c r="C267" t="str">
        <x:v>available</x:v>
      </x:c>
      <x:c r="D267" t="str">
        <x:v>present</x:v>
      </x:c>
      <x:c r="E267" t="str">
        <x:v>baseline</x:v>
      </x:c>
      <x:c r="F267" s="11" t="n">
        <x:v>46251.740894027775</x:v>
      </x:c>
      <x:c r="G267" t="str">
        <x:v>Byt</x:v>
      </x:c>
      <x:c r="H267" s="12" t="n">
        <x:v>2</x:v>
      </x:c>
      <x:c r="I267" s="13" t="n">
        <x:v>7</x:v>
      </x:c>
      <x:c r="J267" t="str">
        <x:v>BAYA</x:v>
      </x:c>
      <x:c r="K267" s="14" t="n">
        <x:v>56.2</x:v>
      </x:c>
      <x:c r="L267" s="14" t="n">
        <x:v>8.6</x:v>
      </x:c>
      <x:c r="M267" s="14" t="n">
        <x:v>0</x:v>
      </x:c>
      <x:c r="N267" s="14" t="n">
        <x:v>0</x:v>
      </x:c>
      <x:c r="O267" s="14"/>
      <x:c r="P267" s="14" t="n">
        <x:v>8.6</x:v>
      </x:c>
      <x:c r="Q267" s="14" t="n">
        <x:v>64.8</x:v>
      </x:c>
      <x:c r="R267" s="15" t="n">
        <x:v>349</x:v>
      </x:c>
      <x:c r="S267" s="15" t="n">
        <x:v>349</x:v>
      </x:c>
      <x:c r="T267" s="15"/>
      <x:c r="U267" s="16" t="n">
        <x:v>6.21</x:v>
      </x:c>
      <x:c r="V267" t="str">
        <x:v>BTK</x:v>
      </x:c>
      <x:c r="W267" t="str">
        <x:v>Ružinov</x:v>
      </x:c>
      <x:c r="X267" s="11" t="str">
        <x:v>Dostupný</x:v>
      </x:c>
      <x:c r="Y267" s="11" t="str">
        <x:v>https://www.baya.btk.sk/sk/byt/707</x:v>
      </x:c>
      <x:c r="Z267" s="11" t="n">
        <x:v>46251.740894027775</x:v>
      </x:c>
      <x:c r="AA267" s="11" t="n">
        <x:v>46254.51251577547</x:v>
      </x:c>
      <x:c r="AB267" s="11" t="n">
        <x:v>46254.51251577547</x:v>
      </x:c>
      <x:c r="AC267" t="str">
        <x:v>baya</x:v>
      </x:c>
    </x:row>
    <x:row r="268" ht="22" customHeight="1">
      <x:c r="A268" t="str">
        <x:v>BAYA</x:v>
      </x:c>
      <x:c r="B268" t="str">
        <x:v>7.08</x:v>
      </x:c>
      <x:c r="C268" t="str">
        <x:v>available</x:v>
      </x:c>
      <x:c r="D268" t="str">
        <x:v>present</x:v>
      </x:c>
      <x:c r="E268" t="str">
        <x:v>baseline</x:v>
      </x:c>
      <x:c r="F268" s="11" t="n">
        <x:v>46251.740894027775</x:v>
      </x:c>
      <x:c r="G268" t="str">
        <x:v>Byt</x:v>
      </x:c>
      <x:c r="H268" s="12" t="n">
        <x:v>2</x:v>
      </x:c>
      <x:c r="I268" s="13" t="n">
        <x:v>7</x:v>
      </x:c>
      <x:c r="J268" t="str">
        <x:v>BAYA</x:v>
      </x:c>
      <x:c r="K268" s="14" t="n">
        <x:v>57.52</x:v>
      </x:c>
      <x:c r="L268" s="14" t="n">
        <x:v>6.15</x:v>
      </x:c>
      <x:c r="M268" s="14" t="n">
        <x:v>0</x:v>
      </x:c>
      <x:c r="N268" s="14" t="n">
        <x:v>0</x:v>
      </x:c>
      <x:c r="O268" s="14"/>
      <x:c r="P268" s="14" t="n">
        <x:v>6.15</x:v>
      </x:c>
      <x:c r="Q268" s="14" t="n">
        <x:v>63.67</x:v>
      </x:c>
      <x:c r="R268" s="15" t="n">
        <x:v>356</x:v>
      </x:c>
      <x:c r="S268" s="15" t="n">
        <x:v>356</x:v>
      </x:c>
      <x:c r="T268" s="15"/>
      <x:c r="U268" s="16" t="n">
        <x:v>6.19</x:v>
      </x:c>
      <x:c r="V268" t="str">
        <x:v>BTK</x:v>
      </x:c>
      <x:c r="W268" t="str">
        <x:v>Ružinov</x:v>
      </x:c>
      <x:c r="X268" s="11" t="str">
        <x:v>Dostupný</x:v>
      </x:c>
      <x:c r="Y268" s="11" t="str">
        <x:v>https://www.baya.btk.sk/sk/byt/708</x:v>
      </x:c>
      <x:c r="Z268" s="11" t="n">
        <x:v>46251.740894027775</x:v>
      </x:c>
      <x:c r="AA268" s="11" t="n">
        <x:v>46254.51251577547</x:v>
      </x:c>
      <x:c r="AB268" s="11" t="n">
        <x:v>46254.51251577547</x:v>
      </x:c>
      <x:c r="AC268" t="str">
        <x:v>baya</x:v>
      </x:c>
    </x:row>
    <x:row r="269" ht="22" customHeight="1">
      <x:c r="A269" t="str">
        <x:v>BAYA</x:v>
      </x:c>
      <x:c r="B269" t="str">
        <x:v>7.09</x:v>
      </x:c>
      <x:c r="C269" t="str">
        <x:v>available</x:v>
      </x:c>
      <x:c r="D269" t="str">
        <x:v>present</x:v>
      </x:c>
      <x:c r="E269" t="str">
        <x:v>baseline</x:v>
      </x:c>
      <x:c r="F269" s="11" t="n">
        <x:v>46251.740894027775</x:v>
      </x:c>
      <x:c r="G269" t="str">
        <x:v>Byt</x:v>
      </x:c>
      <x:c r="H269" s="12" t="n">
        <x:v>2</x:v>
      </x:c>
      <x:c r="I269" s="13" t="n">
        <x:v>7</x:v>
      </x:c>
      <x:c r="J269" t="str">
        <x:v>BAYA</x:v>
      </x:c>
      <x:c r="K269" s="14" t="n">
        <x:v>57.66</x:v>
      </x:c>
      <x:c r="L269" s="14" t="n">
        <x:v>6.15</x:v>
      </x:c>
      <x:c r="M269" s="14" t="n">
        <x:v>0</x:v>
      </x:c>
      <x:c r="N269" s="14" t="n">
        <x:v>0</x:v>
      </x:c>
      <x:c r="O269" s="14"/>
      <x:c r="P269" s="14" t="n">
        <x:v>6.15</x:v>
      </x:c>
      <x:c r="Q269" s="14" t="n">
        <x:v>63.81</x:v>
      </x:c>
      <x:c r="R269" s="15" t="n">
        <x:v>351</x:v>
      </x:c>
      <x:c r="S269" s="15" t="n">
        <x:v>351</x:v>
      </x:c>
      <x:c r="T269" s="15"/>
      <x:c r="U269" s="16" t="n">
        <x:v>6.09</x:v>
      </x:c>
      <x:c r="V269" t="str">
        <x:v>BTK</x:v>
      </x:c>
      <x:c r="W269" t="str">
        <x:v>Ružinov</x:v>
      </x:c>
      <x:c r="X269" s="11" t="str">
        <x:v>Dostupný</x:v>
      </x:c>
      <x:c r="Y269" s="11" t="str">
        <x:v>https://www.baya.btk.sk/sk/byt/709</x:v>
      </x:c>
      <x:c r="Z269" s="11" t="n">
        <x:v>46251.740894027775</x:v>
      </x:c>
      <x:c r="AA269" s="11" t="n">
        <x:v>46254.51251577547</x:v>
      </x:c>
      <x:c r="AB269" s="11" t="n">
        <x:v>46254.51251577547</x:v>
      </x:c>
      <x:c r="AC269" t="str">
        <x:v>baya</x:v>
      </x:c>
    </x:row>
    <x:row r="270" ht="22" customHeight="1">
      <x:c r="A270" t="str">
        <x:v>BAYA</x:v>
      </x:c>
      <x:c r="B270" t="str">
        <x:v>7.10</x:v>
      </x:c>
      <x:c r="C270" t="str">
        <x:v>available</x:v>
      </x:c>
      <x:c r="D270" t="str">
        <x:v>present</x:v>
      </x:c>
      <x:c r="E270" t="str">
        <x:v>baseline</x:v>
      </x:c>
      <x:c r="F270" s="11" t="n">
        <x:v>46251.740894027775</x:v>
      </x:c>
      <x:c r="G270" t="str">
        <x:v>Byt</x:v>
      </x:c>
      <x:c r="H270" s="12" t="n">
        <x:v>2</x:v>
      </x:c>
      <x:c r="I270" s="13" t="n">
        <x:v>7</x:v>
      </x:c>
      <x:c r="J270" t="str">
        <x:v>BAYA</x:v>
      </x:c>
      <x:c r="K270" s="14" t="n">
        <x:v>57.63</x:v>
      </x:c>
      <x:c r="L270" s="14" t="n">
        <x:v>5.57</x:v>
      </x:c>
      <x:c r="M270" s="14" t="n">
        <x:v>0</x:v>
      </x:c>
      <x:c r="N270" s="14" t="n">
        <x:v>0</x:v>
      </x:c>
      <x:c r="O270" s="14"/>
      <x:c r="P270" s="14" t="n">
        <x:v>5.57</x:v>
      </x:c>
      <x:c r="Q270" s="14" t="n">
        <x:v>63.2</x:v>
      </x:c>
      <x:c r="R270" s="15" t="n">
        <x:v>355</x:v>
      </x:c>
      <x:c r="S270" s="15" t="n">
        <x:v>355</x:v>
      </x:c>
      <x:c r="T270" s="15"/>
      <x:c r="U270" s="16" t="n">
        <x:v>6.16</x:v>
      </x:c>
      <x:c r="V270" t="str">
        <x:v>BTK</x:v>
      </x:c>
      <x:c r="W270" t="str">
        <x:v>Ružinov</x:v>
      </x:c>
      <x:c r="X270" s="11" t="str">
        <x:v>Dostupný</x:v>
      </x:c>
      <x:c r="Y270" s="11" t="str">
        <x:v>https://www.baya.btk.sk/sk/byt/710</x:v>
      </x:c>
      <x:c r="Z270" s="11" t="n">
        <x:v>46251.740894027775</x:v>
      </x:c>
      <x:c r="AA270" s="11" t="n">
        <x:v>46254.51251577547</x:v>
      </x:c>
      <x:c r="AB270" s="11" t="n">
        <x:v>46254.51251577547</x:v>
      </x:c>
      <x:c r="AC270" t="str">
        <x:v>baya</x:v>
      </x:c>
    </x:row>
    <x:row r="271" ht="22" customHeight="1">
      <x:c r="A271" t="str">
        <x:v>BAYA</x:v>
      </x:c>
      <x:c r="B271" t="str">
        <x:v>7.11</x:v>
      </x:c>
      <x:c r="C271" t="str">
        <x:v>available</x:v>
      </x:c>
      <x:c r="D271" t="str">
        <x:v>present</x:v>
      </x:c>
      <x:c r="E271" t="str">
        <x:v>baseline</x:v>
      </x:c>
      <x:c r="F271" s="11" t="n">
        <x:v>46251.740894027775</x:v>
      </x:c>
      <x:c r="G271" t="str">
        <x:v>Byt</x:v>
      </x:c>
      <x:c r="H271" s="12" t="n">
        <x:v>2</x:v>
      </x:c>
      <x:c r="I271" s="13" t="n">
        <x:v>7</x:v>
      </x:c>
      <x:c r="J271" t="str">
        <x:v>BAYA</x:v>
      </x:c>
      <x:c r="K271" s="14" t="n">
        <x:v>57.63</x:v>
      </x:c>
      <x:c r="L271" s="14" t="n">
        <x:v>8.6</x:v>
      </x:c>
      <x:c r="M271" s="14" t="n">
        <x:v>0</x:v>
      </x:c>
      <x:c r="N271" s="14" t="n">
        <x:v>0</x:v>
      </x:c>
      <x:c r="O271" s="14"/>
      <x:c r="P271" s="14" t="n">
        <x:v>8.6</x:v>
      </x:c>
      <x:c r="Q271" s="14" t="n">
        <x:v>66.23</x:v>
      </x:c>
      <x:c r="R271" s="15" t="n">
        <x:v>358</x:v>
      </x:c>
      <x:c r="S271" s="15" t="n">
        <x:v>358</x:v>
      </x:c>
      <x:c r="T271" s="15"/>
      <x:c r="U271" s="16" t="n">
        <x:v>6.21</x:v>
      </x:c>
      <x:c r="V271" t="str">
        <x:v>BTK</x:v>
      </x:c>
      <x:c r="W271" t="str">
        <x:v>Ružinov</x:v>
      </x:c>
      <x:c r="X271" s="11" t="str">
        <x:v>Dostupný</x:v>
      </x:c>
      <x:c r="Y271" s="11" t="str">
        <x:v>https://www.baya.btk.sk/sk/byt/711</x:v>
      </x:c>
      <x:c r="Z271" s="11" t="n">
        <x:v>46251.740894027775</x:v>
      </x:c>
      <x:c r="AA271" s="11" t="n">
        <x:v>46254.51251577547</x:v>
      </x:c>
      <x:c r="AB271" s="11" t="n">
        <x:v>46254.51251577547</x:v>
      </x:c>
      <x:c r="AC271" t="str">
        <x:v>baya</x:v>
      </x:c>
    </x:row>
    <x:row r="272" ht="22" customHeight="1">
      <x:c r="A272" t="str">
        <x:v>BAYA</x:v>
      </x:c>
      <x:c r="B272" t="str">
        <x:v>7.12</x:v>
      </x:c>
      <x:c r="C272" t="str">
        <x:v>reserved</x:v>
      </x:c>
      <x:c r="D272" t="str">
        <x:v>present</x:v>
      </x:c>
      <x:c r="E272" t="str">
        <x:v>baseline</x:v>
      </x:c>
      <x:c r="F272" s="11" t="n">
        <x:v>46251.740894027775</x:v>
      </x:c>
      <x:c r="G272" t="str">
        <x:v>Byt</x:v>
      </x:c>
      <x:c r="H272" s="12" t="n">
        <x:v>1</x:v>
      </x:c>
      <x:c r="I272" s="13" t="n">
        <x:v>7</x:v>
      </x:c>
      <x:c r="J272" t="str">
        <x:v>BAYA</x:v>
      </x:c>
      <x:c r="K272" s="14" t="n">
        <x:v>35.35</x:v>
      </x:c>
      <x:c r="L272" s="14" t="n">
        <x:v>7.58</x:v>
      </x:c>
      <x:c r="M272" s="14" t="n">
        <x:v>0</x:v>
      </x:c>
      <x:c r="N272" s="14" t="n">
        <x:v>0</x:v>
      </x:c>
      <x:c r="O272" s="14"/>
      <x:c r="P272" s="14" t="n">
        <x:v>7.58</x:v>
      </x:c>
      <x:c r="Q272" s="14" t="n">
        <x:v>42.93</x:v>
      </x:c>
      <x:c r="R272" s="15"/>
      <x:c r="S272" s="15"/>
      <x:c r="T272" s="15"/>
      <x:c r="U272" s="16"/>
      <x:c r="V272" t="str">
        <x:v>BTK</x:v>
      </x:c>
      <x:c r="W272" t="str">
        <x:v>Ružinov</x:v>
      </x:c>
      <x:c r="X272" s="11" t="str">
        <x:v>Rezervácia</x:v>
      </x:c>
      <x:c r="Y272" s="11" t="str">
        <x:v>https://www.baya.btk.sk/sk/byt/712</x:v>
      </x:c>
      <x:c r="Z272" s="11" t="n">
        <x:v>46251.740894027775</x:v>
      </x:c>
      <x:c r="AA272" s="11" t="n">
        <x:v>46254.51251577547</x:v>
      </x:c>
      <x:c r="AB272" s="11" t="n">
        <x:v>46254.51251577547</x:v>
      </x:c>
      <x:c r="AC272" t="str">
        <x:v>baya</x:v>
      </x:c>
    </x:row>
    <x:row r="273" ht="22" customHeight="1">
      <x:c r="A273" t="str">
        <x:v>BAYA</x:v>
      </x:c>
      <x:c r="B273" t="str">
        <x:v>7.13</x:v>
      </x:c>
      <x:c r="C273" t="str">
        <x:v>pre_reserved</x:v>
      </x:c>
      <x:c r="D273" t="str">
        <x:v>present</x:v>
      </x:c>
      <x:c r="E273" t="str">
        <x:v>baseline</x:v>
      </x:c>
      <x:c r="F273" s="11" t="n">
        <x:v>46251.740894027775</x:v>
      </x:c>
      <x:c r="G273" t="str">
        <x:v>Byt</x:v>
      </x:c>
      <x:c r="H273" s="12" t="n">
        <x:v>1</x:v>
      </x:c>
      <x:c r="I273" s="13" t="n">
        <x:v>7</x:v>
      </x:c>
      <x:c r="J273" t="str">
        <x:v>BAYA</x:v>
      </x:c>
      <x:c r="K273" s="14" t="n">
        <x:v>35.35</x:v>
      </x:c>
      <x:c r="L273" s="14" t="n">
        <x:v>6</x:v>
      </x:c>
      <x:c r="M273" s="14" t="n">
        <x:v>0</x:v>
      </x:c>
      <x:c r="N273" s="14" t="n">
        <x:v>0</x:v>
      </x:c>
      <x:c r="O273" s="14"/>
      <x:c r="P273" s="14" t="n">
        <x:v>6</x:v>
      </x:c>
      <x:c r="Q273" s="14" t="n">
        <x:v>41.35</x:v>
      </x:c>
      <x:c r="R273" s="15"/>
      <x:c r="S273" s="15"/>
      <x:c r="T273" s="15"/>
      <x:c r="U273" s="16"/>
      <x:c r="V273" t="str">
        <x:v>BTK</x:v>
      </x:c>
      <x:c r="W273" t="str">
        <x:v>Ružinov</x:v>
      </x:c>
      <x:c r="X273" s="11" t="str">
        <x:v>Predrezervácia</x:v>
      </x:c>
      <x:c r="Y273" s="11" t="str">
        <x:v>https://www.baya.btk.sk/sk/byt/713</x:v>
      </x:c>
      <x:c r="Z273" s="11" t="n">
        <x:v>46251.740894027775</x:v>
      </x:c>
      <x:c r="AA273" s="11" t="n">
        <x:v>46254.51251577547</x:v>
      </x:c>
      <x:c r="AB273" s="11" t="n">
        <x:v>46254.51251577547</x:v>
      </x:c>
      <x:c r="AC273" t="str">
        <x:v>baya</x:v>
      </x:c>
    </x:row>
    <x:row r="274" ht="22" customHeight="1">
      <x:c r="A274" t="str">
        <x:v>BAYA</x:v>
      </x:c>
      <x:c r="B274" t="str">
        <x:v>7.14</x:v>
      </x:c>
      <x:c r="C274" t="str">
        <x:v>pre_reserved</x:v>
      </x:c>
      <x:c r="D274" t="str">
        <x:v>present</x:v>
      </x:c>
      <x:c r="E274" t="str">
        <x:v>baseline</x:v>
      </x:c>
      <x:c r="F274" s="11" t="n">
        <x:v>46251.740894027775</x:v>
      </x:c>
      <x:c r="G274" t="str">
        <x:v>Byt</x:v>
      </x:c>
      <x:c r="H274" s="12" t="n">
        <x:v>3</x:v>
      </x:c>
      <x:c r="I274" s="13" t="n">
        <x:v>7</x:v>
      </x:c>
      <x:c r="J274" t="str">
        <x:v>BAYA</x:v>
      </x:c>
      <x:c r="K274" s="14" t="n">
        <x:v>67.15</x:v>
      </x:c>
      <x:c r="L274" s="14" t="n">
        <x:v>10.55</x:v>
      </x:c>
      <x:c r="M274" s="14" t="n">
        <x:v>0</x:v>
      </x:c>
      <x:c r="N274" s="14" t="n">
        <x:v>0</x:v>
      </x:c>
      <x:c r="O274" s="14"/>
      <x:c r="P274" s="14" t="n">
        <x:v>10.55</x:v>
      </x:c>
      <x:c r="Q274" s="14" t="n">
        <x:v>77.7</x:v>
      </x:c>
      <x:c r="R274" s="15"/>
      <x:c r="S274" s="15"/>
      <x:c r="T274" s="15"/>
      <x:c r="U274" s="16"/>
      <x:c r="V274" t="str">
        <x:v>BTK</x:v>
      </x:c>
      <x:c r="W274" t="str">
        <x:v>Ružinov</x:v>
      </x:c>
      <x:c r="X274" s="11" t="str">
        <x:v>Predrezervácia</x:v>
      </x:c>
      <x:c r="Y274" s="11" t="str">
        <x:v>https://www.baya.btk.sk/sk/byt/714</x:v>
      </x:c>
      <x:c r="Z274" s="11" t="n">
        <x:v>46251.740894027775</x:v>
      </x:c>
      <x:c r="AA274" s="11" t="n">
        <x:v>46254.51251577547</x:v>
      </x:c>
      <x:c r="AB274" s="11" t="n">
        <x:v>46254.51251577547</x:v>
      </x:c>
      <x:c r="AC274" t="str">
        <x:v>baya</x:v>
      </x:c>
    </x:row>
    <x:row r="275" ht="22" customHeight="1">
      <x:c r="A275" t="str">
        <x:v>BAYA</x:v>
      </x:c>
      <x:c r="B275" t="str">
        <x:v>7.15</x:v>
      </x:c>
      <x:c r="C275" t="str">
        <x:v>pre_reserved</x:v>
      </x:c>
      <x:c r="D275" t="str">
        <x:v>present</x:v>
      </x:c>
      <x:c r="E275" t="str">
        <x:v>baseline</x:v>
      </x:c>
      <x:c r="F275" s="11" t="n">
        <x:v>46251.740894027775</x:v>
      </x:c>
      <x:c r="G275" t="str">
        <x:v>Byt</x:v>
      </x:c>
      <x:c r="H275" s="12" t="n">
        <x:v>3</x:v>
      </x:c>
      <x:c r="I275" s="13" t="n">
        <x:v>7</x:v>
      </x:c>
      <x:c r="J275" t="str">
        <x:v>BAYA</x:v>
      </x:c>
      <x:c r="K275" s="14" t="n">
        <x:v>61.2</x:v>
      </x:c>
      <x:c r="L275" s="14" t="n">
        <x:v>9.65</x:v>
      </x:c>
      <x:c r="M275" s="14" t="n">
        <x:v>0</x:v>
      </x:c>
      <x:c r="N275" s="14" t="n">
        <x:v>0</x:v>
      </x:c>
      <x:c r="O275" s="14"/>
      <x:c r="P275" s="14" t="n">
        <x:v>9.65</x:v>
      </x:c>
      <x:c r="Q275" s="14" t="n">
        <x:v>70.85</x:v>
      </x:c>
      <x:c r="R275" s="15"/>
      <x:c r="S275" s="15"/>
      <x:c r="T275" s="15"/>
      <x:c r="U275" s="16"/>
      <x:c r="V275" t="str">
        <x:v>BTK</x:v>
      </x:c>
      <x:c r="W275" t="str">
        <x:v>Ružinov</x:v>
      </x:c>
      <x:c r="X275" s="11" t="str">
        <x:v>Predrezervácia</x:v>
      </x:c>
      <x:c r="Y275" s="11" t="str">
        <x:v>https://www.baya.btk.sk/sk/byt/715</x:v>
      </x:c>
      <x:c r="Z275" s="11" t="n">
        <x:v>46251.740894027775</x:v>
      </x:c>
      <x:c r="AA275" s="11" t="n">
        <x:v>46254.51251577547</x:v>
      </x:c>
      <x:c r="AB275" s="11" t="n">
        <x:v>46254.51251577547</x:v>
      </x:c>
      <x:c r="AC275" t="str">
        <x:v>baya</x:v>
      </x:c>
    </x:row>
    <x:row r="276" ht="22" customHeight="1">
      <x:c r="A276" t="str">
        <x:v>BAYA</x:v>
      </x:c>
      <x:c r="B276" t="str">
        <x:v>7.16</x:v>
      </x:c>
      <x:c r="C276" t="str">
        <x:v>sold</x:v>
      </x:c>
      <x:c r="D276" t="str">
        <x:v>present</x:v>
      </x:c>
      <x:c r="E276" t="str">
        <x:v>baseline</x:v>
      </x:c>
      <x:c r="F276" s="11" t="n">
        <x:v>46251.740894027775</x:v>
      </x:c>
      <x:c r="G276" t="str">
        <x:v>Byt</x:v>
      </x:c>
      <x:c r="H276" s="12" t="n">
        <x:v>3</x:v>
      </x:c>
      <x:c r="I276" s="13" t="n">
        <x:v>7</x:v>
      </x:c>
      <x:c r="J276" t="str">
        <x:v>BAYA</x:v>
      </x:c>
      <x:c r="K276" s="14" t="n">
        <x:v>58.02</x:v>
      </x:c>
      <x:c r="L276" s="14" t="n">
        <x:v>10.55</x:v>
      </x:c>
      <x:c r="M276" s="14" t="n">
        <x:v>0</x:v>
      </x:c>
      <x:c r="N276" s="14" t="n">
        <x:v>0</x:v>
      </x:c>
      <x:c r="O276" s="14"/>
      <x:c r="P276" s="14" t="n">
        <x:v>10.55</x:v>
      </x:c>
      <x:c r="Q276" s="14" t="n">
        <x:v>68.57</x:v>
      </x:c>
      <x:c r="R276" s="15"/>
      <x:c r="S276" s="15"/>
      <x:c r="T276" s="15"/>
      <x:c r="U276" s="16"/>
      <x:c r="V276" t="str">
        <x:v>BTK</x:v>
      </x:c>
      <x:c r="W276" t="str">
        <x:v>Ružinov</x:v>
      </x:c>
      <x:c r="X276" s="11" t="str">
        <x:v>Predané</x:v>
      </x:c>
      <x:c r="Y276" s="11" t="str">
        <x:v>https://www.baya.btk.sk/sk/byt/716</x:v>
      </x:c>
      <x:c r="Z276" s="11" t="n">
        <x:v>46251.740894027775</x:v>
      </x:c>
      <x:c r="AA276" s="11" t="n">
        <x:v>46254.51251577547</x:v>
      </x:c>
      <x:c r="AB276" s="11" t="n">
        <x:v>46254.51251577547</x:v>
      </x:c>
      <x:c r="AC276" t="str">
        <x:v>baya</x:v>
      </x:c>
    </x:row>
    <x:row r="277" ht="22" customHeight="1">
      <x:c r="A277" t="str">
        <x:v>BAYA</x:v>
      </x:c>
      <x:c r="B277" t="str">
        <x:v>7.17</x:v>
      </x:c>
      <x:c r="C277" t="str">
        <x:v>available</x:v>
      </x:c>
      <x:c r="D277" t="str">
        <x:v>present</x:v>
      </x:c>
      <x:c r="E277" t="str">
        <x:v>baseline</x:v>
      </x:c>
      <x:c r="F277" s="11" t="n">
        <x:v>46251.740894027775</x:v>
      </x:c>
      <x:c r="G277" t="str">
        <x:v>Byt</x:v>
      </x:c>
      <x:c r="H277" s="12" t="n">
        <x:v>2</x:v>
      </x:c>
      <x:c r="I277" s="13" t="n">
        <x:v>7</x:v>
      </x:c>
      <x:c r="J277" t="str">
        <x:v>BAYA</x:v>
      </x:c>
      <x:c r="K277" s="14" t="n">
        <x:v>44.75</x:v>
      </x:c>
      <x:c r="L277" s="14" t="n">
        <x:v>15.13</x:v>
      </x:c>
      <x:c r="M277" s="14" t="n">
        <x:v>0</x:v>
      </x:c>
      <x:c r="N277" s="14" t="n">
        <x:v>0</x:v>
      </x:c>
      <x:c r="O277" s="14"/>
      <x:c r="P277" s="14" t="n">
        <x:v>15.13</x:v>
      </x:c>
      <x:c r="Q277" s="14" t="n">
        <x:v>59.88</x:v>
      </x:c>
      <x:c r="R277" s="15" t="n">
        <x:v>284</x:v>
      </x:c>
      <x:c r="S277" s="15" t="n">
        <x:v>284</x:v>
      </x:c>
      <x:c r="T277" s="15"/>
      <x:c r="U277" s="16" t="n">
        <x:v>6.35</x:v>
      </x:c>
      <x:c r="V277" t="str">
        <x:v>BTK</x:v>
      </x:c>
      <x:c r="W277" t="str">
        <x:v>Ružinov</x:v>
      </x:c>
      <x:c r="X277" s="11" t="str">
        <x:v>Dostupný</x:v>
      </x:c>
      <x:c r="Y277" s="11" t="str">
        <x:v>https://www.baya.btk.sk/sk/byt/717</x:v>
      </x:c>
      <x:c r="Z277" s="11" t="n">
        <x:v>46251.740894027775</x:v>
      </x:c>
      <x:c r="AA277" s="11" t="n">
        <x:v>46254.51251577547</x:v>
      </x:c>
      <x:c r="AB277" s="11" t="n">
        <x:v>46254.51251577547</x:v>
      </x:c>
      <x:c r="AC277" t="str">
        <x:v>baya</x:v>
      </x:c>
    </x:row>
    <x:row r="278" ht="22" customHeight="1">
      <x:c r="A278" t="str">
        <x:v>BAYA</x:v>
      </x:c>
      <x:c r="B278" t="str">
        <x:v>7.18</x:v>
      </x:c>
      <x:c r="C278" t="str">
        <x:v>pre_reserved</x:v>
      </x:c>
      <x:c r="D278" t="str">
        <x:v>present</x:v>
      </x:c>
      <x:c r="E278" t="str">
        <x:v>baseline</x:v>
      </x:c>
      <x:c r="F278" s="11" t="n">
        <x:v>46251.740894027775</x:v>
      </x:c>
      <x:c r="G278" t="str">
        <x:v>Byt</x:v>
      </x:c>
      <x:c r="H278" s="12" t="n">
        <x:v>1</x:v>
      </x:c>
      <x:c r="I278" s="13" t="n">
        <x:v>7</x:v>
      </x:c>
      <x:c r="J278" t="str">
        <x:v>BAYA</x:v>
      </x:c>
      <x:c r="K278" s="14" t="n">
        <x:v>31.87</x:v>
      </x:c>
      <x:c r="L278" s="14" t="n">
        <x:v>7.58</x:v>
      </x:c>
      <x:c r="M278" s="14" t="n">
        <x:v>0</x:v>
      </x:c>
      <x:c r="N278" s="14" t="n">
        <x:v>0</x:v>
      </x:c>
      <x:c r="O278" s="14"/>
      <x:c r="P278" s="14" t="n">
        <x:v>7.58</x:v>
      </x:c>
      <x:c r="Q278" s="14" t="n">
        <x:v>39.45</x:v>
      </x:c>
      <x:c r="R278" s="15"/>
      <x:c r="S278" s="15"/>
      <x:c r="T278" s="15"/>
      <x:c r="U278" s="16"/>
      <x:c r="V278" t="str">
        <x:v>BTK</x:v>
      </x:c>
      <x:c r="W278" t="str">
        <x:v>Ružinov</x:v>
      </x:c>
      <x:c r="X278" s="11" t="str">
        <x:v>Predrezervácia</x:v>
      </x:c>
      <x:c r="Y278" s="11" t="str">
        <x:v>https://www.baya.btk.sk/sk/byt/718</x:v>
      </x:c>
      <x:c r="Z278" s="11" t="n">
        <x:v>46251.740894027775</x:v>
      </x:c>
      <x:c r="AA278" s="11" t="n">
        <x:v>46254.51251577547</x:v>
      </x:c>
      <x:c r="AB278" s="11" t="n">
        <x:v>46254.51251577547</x:v>
      </x:c>
      <x:c r="AC278" t="str">
        <x:v>baya</x:v>
      </x:c>
    </x:row>
    <x:row r="279" ht="22" customHeight="1">
      <x:c r="A279" t="str">
        <x:v>BAYA</x:v>
      </x:c>
      <x:c r="B279" t="str">
        <x:v>7.19</x:v>
      </x:c>
      <x:c r="C279" t="str">
        <x:v>sold</x:v>
      </x:c>
      <x:c r="D279" t="str">
        <x:v>present</x:v>
      </x:c>
      <x:c r="E279" t="str">
        <x:v>baseline</x:v>
      </x:c>
      <x:c r="F279" s="11" t="n">
        <x:v>46251.740894027775</x:v>
      </x:c>
      <x:c r="G279" t="str">
        <x:v>Byt</x:v>
      </x:c>
      <x:c r="H279" s="12" t="n">
        <x:v>1</x:v>
      </x:c>
      <x:c r="I279" s="13" t="n">
        <x:v>7</x:v>
      </x:c>
      <x:c r="J279" t="str">
        <x:v>BAYA</x:v>
      </x:c>
      <x:c r="K279" s="14" t="n">
        <x:v>31.87</x:v>
      </x:c>
      <x:c r="L279" s="14" t="n">
        <x:v>0</x:v>
      </x:c>
      <x:c r="M279" s="14" t="n">
        <x:v>8.27</x:v>
      </x:c>
      <x:c r="N279" s="14" t="n">
        <x:v>0</x:v>
      </x:c>
      <x:c r="O279" s="14"/>
      <x:c r="P279" s="14" t="n">
        <x:v>8.27</x:v>
      </x:c>
      <x:c r="Q279" s="14" t="n">
        <x:v>40.14</x:v>
      </x:c>
      <x:c r="R279" s="15"/>
      <x:c r="S279" s="15"/>
      <x:c r="T279" s="15"/>
      <x:c r="U279" s="16"/>
      <x:c r="V279" t="str">
        <x:v>BTK</x:v>
      </x:c>
      <x:c r="W279" t="str">
        <x:v>Ružinov</x:v>
      </x:c>
      <x:c r="X279" s="11" t="str">
        <x:v>Predané</x:v>
      </x:c>
      <x:c r="Y279" s="11" t="str">
        <x:v>https://www.baya.btk.sk/sk/byt/719</x:v>
      </x:c>
      <x:c r="Z279" s="11" t="n">
        <x:v>46251.740894027775</x:v>
      </x:c>
      <x:c r="AA279" s="11" t="n">
        <x:v>46254.51251577547</x:v>
      </x:c>
      <x:c r="AB279" s="11" t="n">
        <x:v>46254.51251577547</x:v>
      </x:c>
      <x:c r="AC279" t="str">
        <x:v>baya</x:v>
      </x:c>
    </x:row>
    <x:row r="280" ht="22" customHeight="1">
      <x:c r="A280" t="str">
        <x:v>BAYA</x:v>
      </x:c>
      <x:c r="B280" t="str">
        <x:v>7.20</x:v>
      </x:c>
      <x:c r="C280" t="str">
        <x:v>pre_reserved</x:v>
      </x:c>
      <x:c r="D280" t="str">
        <x:v>present</x:v>
      </x:c>
      <x:c r="E280" t="str">
        <x:v>baseline</x:v>
      </x:c>
      <x:c r="F280" s="11" t="n">
        <x:v>46251.740894027775</x:v>
      </x:c>
      <x:c r="G280" t="str">
        <x:v>Byt</x:v>
      </x:c>
      <x:c r="H280" s="12" t="n">
        <x:v>2</x:v>
      </x:c>
      <x:c r="I280" s="13" t="n">
        <x:v>7</x:v>
      </x:c>
      <x:c r="J280" t="str">
        <x:v>BAYA</x:v>
      </x:c>
      <x:c r="K280" s="14" t="n">
        <x:v>52.64</x:v>
      </x:c>
      <x:c r="L280" s="14" t="n">
        <x:v>6.93</x:v>
      </x:c>
      <x:c r="M280" s="14" t="n">
        <x:v>0</x:v>
      </x:c>
      <x:c r="N280" s="14" t="n">
        <x:v>0</x:v>
      </x:c>
      <x:c r="O280" s="14"/>
      <x:c r="P280" s="14" t="n">
        <x:v>6.93</x:v>
      </x:c>
      <x:c r="Q280" s="14" t="n">
        <x:v>59.57</x:v>
      </x:c>
      <x:c r="R280" s="15"/>
      <x:c r="S280" s="15"/>
      <x:c r="T280" s="15"/>
      <x:c r="U280" s="16"/>
      <x:c r="V280" t="str">
        <x:v>BTK</x:v>
      </x:c>
      <x:c r="W280" t="str">
        <x:v>Ružinov</x:v>
      </x:c>
      <x:c r="X280" s="11" t="str">
        <x:v>Predrezervácia</x:v>
      </x:c>
      <x:c r="Y280" s="11" t="str">
        <x:v>https://www.baya.btk.sk/sk/byt/720</x:v>
      </x:c>
      <x:c r="Z280" s="11" t="n">
        <x:v>46251.740894027775</x:v>
      </x:c>
      <x:c r="AA280" s="11" t="n">
        <x:v>46254.51251577547</x:v>
      </x:c>
      <x:c r="AB280" s="11" t="n">
        <x:v>46254.51251577547</x:v>
      </x:c>
      <x:c r="AC280" t="str">
        <x:v>baya</x:v>
      </x:c>
    </x:row>
    <x:row r="281" ht="22" customHeight="1">
      <x:c r="A281" t="str">
        <x:v>BAYA</x:v>
      </x:c>
      <x:c r="B281" t="str">
        <x:v>7.21</x:v>
      </x:c>
      <x:c r="C281" t="str">
        <x:v>available</x:v>
      </x:c>
      <x:c r="D281" t="str">
        <x:v>present</x:v>
      </x:c>
      <x:c r="E281" t="str">
        <x:v>baseline</x:v>
      </x:c>
      <x:c r="F281" s="11" t="n">
        <x:v>46251.740894027775</x:v>
      </x:c>
      <x:c r="G281" t="str">
        <x:v>Byt</x:v>
      </x:c>
      <x:c r="H281" s="12" t="n">
        <x:v>2</x:v>
      </x:c>
      <x:c r="I281" s="13" t="n">
        <x:v>7</x:v>
      </x:c>
      <x:c r="J281" t="str">
        <x:v>BAYA</x:v>
      </x:c>
      <x:c r="K281" s="14" t="n">
        <x:v>52.45</x:v>
      </x:c>
      <x:c r="L281" s="14" t="n">
        <x:v>0</x:v>
      </x:c>
      <x:c r="M281" s="14" t="n">
        <x:v>12.02</x:v>
      </x:c>
      <x:c r="N281" s="14" t="n">
        <x:v>0</x:v>
      </x:c>
      <x:c r="O281" s="14"/>
      <x:c r="P281" s="14" t="n">
        <x:v>12.02</x:v>
      </x:c>
      <x:c r="Q281" s="14" t="n">
        <x:v>64.47</x:v>
      </x:c>
      <x:c r="R281" s="15" t="n">
        <x:v>324</x:v>
      </x:c>
      <x:c r="S281" s="15" t="n">
        <x:v>324</x:v>
      </x:c>
      <x:c r="T281" s="15"/>
      <x:c r="U281" s="16" t="n">
        <x:v>6.18</x:v>
      </x:c>
      <x:c r="V281" t="str">
        <x:v>BTK</x:v>
      </x:c>
      <x:c r="W281" t="str">
        <x:v>Ružinov</x:v>
      </x:c>
      <x:c r="X281" s="11" t="str">
        <x:v>Dostupný</x:v>
      </x:c>
      <x:c r="Y281" s="11" t="str">
        <x:v>https://www.baya.btk.sk/sk/byt/721</x:v>
      </x:c>
      <x:c r="Z281" s="11" t="n">
        <x:v>46251.740894027775</x:v>
      </x:c>
      <x:c r="AA281" s="11" t="n">
        <x:v>46254.51251577547</x:v>
      </x:c>
      <x:c r="AB281" s="11" t="n">
        <x:v>46254.51251577547</x:v>
      </x:c>
      <x:c r="AC281" t="str">
        <x:v>baya</x:v>
      </x:c>
    </x:row>
    <x:row r="282" ht="22" customHeight="1">
      <x:c r="A282" t="str">
        <x:v>BAYA</x:v>
      </x:c>
      <x:c r="B282" t="str">
        <x:v>7.22</x:v>
      </x:c>
      <x:c r="C282" t="str">
        <x:v>available</x:v>
      </x:c>
      <x:c r="D282" t="str">
        <x:v>present</x:v>
      </x:c>
      <x:c r="E282" t="str">
        <x:v>baseline</x:v>
      </x:c>
      <x:c r="F282" s="11" t="n">
        <x:v>46251.740894027775</x:v>
      </x:c>
      <x:c r="G282" t="str">
        <x:v>Byt</x:v>
      </x:c>
      <x:c r="H282" s="12" t="n">
        <x:v>2</x:v>
      </x:c>
      <x:c r="I282" s="13" t="n">
        <x:v>7</x:v>
      </x:c>
      <x:c r="J282" t="str">
        <x:v>BAYA</x:v>
      </x:c>
      <x:c r="K282" s="14" t="n">
        <x:v>52.64</x:v>
      </x:c>
      <x:c r="L282" s="14" t="n">
        <x:v>6.79</x:v>
      </x:c>
      <x:c r="M282" s="14" t="n">
        <x:v>0</x:v>
      </x:c>
      <x:c r="N282" s="14" t="n">
        <x:v>0</x:v>
      </x:c>
      <x:c r="O282" s="14"/>
      <x:c r="P282" s="14" t="n">
        <x:v>6.79</x:v>
      </x:c>
      <x:c r="Q282" s="14" t="n">
        <x:v>59.43</x:v>
      </x:c>
      <x:c r="R282" s="15" t="n">
        <x:v>329</x:v>
      </x:c>
      <x:c r="S282" s="15" t="n">
        <x:v>329</x:v>
      </x:c>
      <x:c r="T282" s="15"/>
      <x:c r="U282" s="16" t="n">
        <x:v>6.25</x:v>
      </x:c>
      <x:c r="V282" t="str">
        <x:v>BTK</x:v>
      </x:c>
      <x:c r="W282" t="str">
        <x:v>Ružinov</x:v>
      </x:c>
      <x:c r="X282" s="11" t="str">
        <x:v>Dostupný</x:v>
      </x:c>
      <x:c r="Y282" s="11" t="str">
        <x:v>https://www.baya.btk.sk/sk/byt/722</x:v>
      </x:c>
      <x:c r="Z282" s="11" t="n">
        <x:v>46251.740894027775</x:v>
      </x:c>
      <x:c r="AA282" s="11" t="n">
        <x:v>46254.51251577547</x:v>
      </x:c>
      <x:c r="AB282" s="11" t="n">
        <x:v>46254.51251577547</x:v>
      </x:c>
      <x:c r="AC282" t="str">
        <x:v>baya</x:v>
      </x:c>
    </x:row>
    <x:row r="283" ht="22" customHeight="1">
      <x:c r="A283" t="str">
        <x:v>BAYA</x:v>
      </x:c>
      <x:c r="B283" t="str">
        <x:v>7.23</x:v>
      </x:c>
      <x:c r="C283" t="str">
        <x:v>available</x:v>
      </x:c>
      <x:c r="D283" t="str">
        <x:v>present</x:v>
      </x:c>
      <x:c r="E283" t="str">
        <x:v>baseline</x:v>
      </x:c>
      <x:c r="F283" s="11" t="n">
        <x:v>46251.740894027775</x:v>
      </x:c>
      <x:c r="G283" t="str">
        <x:v>Byt</x:v>
      </x:c>
      <x:c r="H283" s="12" t="n">
        <x:v>2</x:v>
      </x:c>
      <x:c r="I283" s="13" t="n">
        <x:v>7</x:v>
      </x:c>
      <x:c r="J283" t="str">
        <x:v>BAYA</x:v>
      </x:c>
      <x:c r="K283" s="14" t="n">
        <x:v>52.64</x:v>
      </x:c>
      <x:c r="L283" s="14" t="n">
        <x:v>0</x:v>
      </x:c>
      <x:c r="M283" s="14" t="n">
        <x:v>12.02</x:v>
      </x:c>
      <x:c r="N283" s="14" t="n">
        <x:v>0</x:v>
      </x:c>
      <x:c r="O283" s="14"/>
      <x:c r="P283" s="14" t="n">
        <x:v>12.02</x:v>
      </x:c>
      <x:c r="Q283" s="14" t="n">
        <x:v>64.66</x:v>
      </x:c>
      <x:c r="R283" s="15" t="n">
        <x:v>325</x:v>
      </x:c>
      <x:c r="S283" s="15" t="n">
        <x:v>325</x:v>
      </x:c>
      <x:c r="T283" s="15"/>
      <x:c r="U283" s="16" t="n">
        <x:v>6.17</x:v>
      </x:c>
      <x:c r="V283" t="str">
        <x:v>BTK</x:v>
      </x:c>
      <x:c r="W283" t="str">
        <x:v>Ružinov</x:v>
      </x:c>
      <x:c r="X283" s="11" t="str">
        <x:v>Dostupný</x:v>
      </x:c>
      <x:c r="Y283" s="11" t="str">
        <x:v>https://www.baya.btk.sk/sk/byt/723</x:v>
      </x:c>
      <x:c r="Z283" s="11" t="n">
        <x:v>46251.740894027775</x:v>
      </x:c>
      <x:c r="AA283" s="11" t="n">
        <x:v>46254.51251577547</x:v>
      </x:c>
      <x:c r="AB283" s="11" t="n">
        <x:v>46254.51251577547</x:v>
      </x:c>
      <x:c r="AC283" t="str">
        <x:v>baya</x:v>
      </x:c>
    </x:row>
    <x:row r="284" ht="22" customHeight="1">
      <x:c r="A284" t="str">
        <x:v>BAYA</x:v>
      </x:c>
      <x:c r="B284" t="str">
        <x:v>7.24</x:v>
      </x:c>
      <x:c r="C284" t="str">
        <x:v>sold</x:v>
      </x:c>
      <x:c r="D284" t="str">
        <x:v>present</x:v>
      </x:c>
      <x:c r="E284" t="str">
        <x:v>baseline</x:v>
      </x:c>
      <x:c r="F284" s="11" t="n">
        <x:v>46251.740894027775</x:v>
      </x:c>
      <x:c r="G284" t="str">
        <x:v>Byt</x:v>
      </x:c>
      <x:c r="H284" s="12" t="n">
        <x:v>3</x:v>
      </x:c>
      <x:c r="I284" s="13" t="n">
        <x:v>7</x:v>
      </x:c>
      <x:c r="J284" t="str">
        <x:v>BAYA</x:v>
      </x:c>
      <x:c r="K284" s="14" t="n">
        <x:v>59.2</x:v>
      </x:c>
      <x:c r="L284" s="14" t="n">
        <x:v>13.36</x:v>
      </x:c>
      <x:c r="M284" s="14" t="n">
        <x:v>0</x:v>
      </x:c>
      <x:c r="N284" s="14" t="n">
        <x:v>0</x:v>
      </x:c>
      <x:c r="O284" s="14"/>
      <x:c r="P284" s="14" t="n">
        <x:v>13.36</x:v>
      </x:c>
      <x:c r="Q284" s="14" t="n">
        <x:v>72.56</x:v>
      </x:c>
      <x:c r="R284" s="15"/>
      <x:c r="S284" s="15"/>
      <x:c r="T284" s="15"/>
      <x:c r="U284" s="16"/>
      <x:c r="V284" t="str">
        <x:v>BTK</x:v>
      </x:c>
      <x:c r="W284" t="str">
        <x:v>Ružinov</x:v>
      </x:c>
      <x:c r="X284" s="11" t="str">
        <x:v>Predané</x:v>
      </x:c>
      <x:c r="Y284" s="11" t="str">
        <x:v>https://www.baya.btk.sk/sk/byt/724</x:v>
      </x:c>
      <x:c r="Z284" s="11" t="n">
        <x:v>46251.740894027775</x:v>
      </x:c>
      <x:c r="AA284" s="11" t="n">
        <x:v>46254.51251577547</x:v>
      </x:c>
      <x:c r="AB284" s="11" t="n">
        <x:v>46254.51251577547</x:v>
      </x:c>
      <x:c r="AC284" t="str">
        <x:v>baya</x:v>
      </x:c>
    </x:row>
    <x:row r="285" ht="22" customHeight="1">
      <x:c r="A285" t="str">
        <x:v>BAYA</x:v>
      </x:c>
      <x:c r="B285" t="str">
        <x:v>7.25</x:v>
      </x:c>
      <x:c r="C285" t="str">
        <x:v>sold</x:v>
      </x:c>
      <x:c r="D285" t="str">
        <x:v>present</x:v>
      </x:c>
      <x:c r="E285" t="str">
        <x:v>baseline</x:v>
      </x:c>
      <x:c r="F285" s="11" t="n">
        <x:v>46251.740894027775</x:v>
      </x:c>
      <x:c r="G285" t="str">
        <x:v>Byt</x:v>
      </x:c>
      <x:c r="H285" s="12" t="n">
        <x:v>2</x:v>
      </x:c>
      <x:c r="I285" s="13" t="n">
        <x:v>7</x:v>
      </x:c>
      <x:c r="J285" t="str">
        <x:v>BAYA</x:v>
      </x:c>
      <x:c r="K285" s="14" t="n">
        <x:v>54.45</x:v>
      </x:c>
      <x:c r="L285" s="14" t="n">
        <x:v>0</x:v>
      </x:c>
      <x:c r="M285" s="14" t="n">
        <x:v>12.37</x:v>
      </x:c>
      <x:c r="N285" s="14" t="n">
        <x:v>0</x:v>
      </x:c>
      <x:c r="O285" s="14"/>
      <x:c r="P285" s="14" t="n">
        <x:v>12.37</x:v>
      </x:c>
      <x:c r="Q285" s="14" t="n">
        <x:v>66.82</x:v>
      </x:c>
      <x:c r="R285" s="15"/>
      <x:c r="S285" s="15"/>
      <x:c r="T285" s="15"/>
      <x:c r="U285" s="16"/>
      <x:c r="V285" t="str">
        <x:v>BTK</x:v>
      </x:c>
      <x:c r="W285" t="str">
        <x:v>Ružinov</x:v>
      </x:c>
      <x:c r="X285" s="11" t="str">
        <x:v>Predané</x:v>
      </x:c>
      <x:c r="Y285" s="11" t="str">
        <x:v>https://www.baya.btk.sk/sk/byt/725</x:v>
      </x:c>
      <x:c r="Z285" s="11" t="n">
        <x:v>46251.740894027775</x:v>
      </x:c>
      <x:c r="AA285" s="11" t="n">
        <x:v>46254.51251577547</x:v>
      </x:c>
      <x:c r="AB285" s="11" t="n">
        <x:v>46254.51251577547</x:v>
      </x:c>
      <x:c r="AC285" t="str">
        <x:v>baya</x:v>
      </x:c>
    </x:row>
    <x:row r="286" ht="22" customHeight="1">
      <x:c r="A286" t="str">
        <x:v>BAYA</x:v>
      </x:c>
      <x:c r="B286" t="str">
        <x:v>8.01</x:v>
      </x:c>
      <x:c r="C286" t="str">
        <x:v>sold</x:v>
      </x:c>
      <x:c r="D286" t="str">
        <x:v>present</x:v>
      </x:c>
      <x:c r="E286" t="str">
        <x:v>baseline</x:v>
      </x:c>
      <x:c r="F286" s="11" t="n">
        <x:v>46251.740894027775</x:v>
      </x:c>
      <x:c r="G286" t="str">
        <x:v>Byt</x:v>
      </x:c>
      <x:c r="H286" s="12" t="n">
        <x:v>3</x:v>
      </x:c>
      <x:c r="I286" s="13" t="n">
        <x:v>8</x:v>
      </x:c>
      <x:c r="J286" t="str">
        <x:v>BAYA</x:v>
      </x:c>
      <x:c r="K286" s="14" t="n">
        <x:v>73.04</x:v>
      </x:c>
      <x:c r="L286" s="14" t="n">
        <x:v>13.05</x:v>
      </x:c>
      <x:c r="M286" s="14" t="n">
        <x:v>0</x:v>
      </x:c>
      <x:c r="N286" s="14" t="n">
        <x:v>0</x:v>
      </x:c>
      <x:c r="O286" s="14"/>
      <x:c r="P286" s="14" t="n">
        <x:v>13.05</x:v>
      </x:c>
      <x:c r="Q286" s="14" t="n">
        <x:v>86.09</x:v>
      </x:c>
      <x:c r="R286" s="15"/>
      <x:c r="S286" s="15"/>
      <x:c r="T286" s="15"/>
      <x:c r="U286" s="16"/>
      <x:c r="V286" t="str">
        <x:v>BTK</x:v>
      </x:c>
      <x:c r="W286" t="str">
        <x:v>Ružinov</x:v>
      </x:c>
      <x:c r="X286" s="11" t="str">
        <x:v>Predané</x:v>
      </x:c>
      <x:c r="Y286" s="11" t="str">
        <x:v>https://www.baya.btk.sk/sk/byt/801</x:v>
      </x:c>
      <x:c r="Z286" s="11" t="n">
        <x:v>46251.740894027775</x:v>
      </x:c>
      <x:c r="AA286" s="11" t="n">
        <x:v>46254.51251577547</x:v>
      </x:c>
      <x:c r="AB286" s="11" t="n">
        <x:v>46254.51251577547</x:v>
      </x:c>
      <x:c r="AC286" t="str">
        <x:v>baya</x:v>
      </x:c>
    </x:row>
    <x:row r="287" ht="22" customHeight="1">
      <x:c r="A287" t="str">
        <x:v>BAYA</x:v>
      </x:c>
      <x:c r="B287" t="str">
        <x:v>8.02</x:v>
      </x:c>
      <x:c r="C287" t="str">
        <x:v>available</x:v>
      </x:c>
      <x:c r="D287" t="str">
        <x:v>present</x:v>
      </x:c>
      <x:c r="E287" t="str">
        <x:v>baseline</x:v>
      </x:c>
      <x:c r="F287" s="11" t="n">
        <x:v>46251.740894027775</x:v>
      </x:c>
      <x:c r="G287" t="str">
        <x:v>Byt</x:v>
      </x:c>
      <x:c r="H287" s="12" t="n">
        <x:v>3</x:v>
      </x:c>
      <x:c r="I287" s="13" t="n">
        <x:v>8</x:v>
      </x:c>
      <x:c r="J287" t="str">
        <x:v>BAYA</x:v>
      </x:c>
      <x:c r="K287" s="14" t="n">
        <x:v>73.11</x:v>
      </x:c>
      <x:c r="L287" s="14" t="n">
        <x:v>7.8</x:v>
      </x:c>
      <x:c r="M287" s="14" t="n">
        <x:v>0</x:v>
      </x:c>
      <x:c r="N287" s="14" t="n">
        <x:v>0</x:v>
      </x:c>
      <x:c r="O287" s="14"/>
      <x:c r="P287" s="14" t="n">
        <x:v>7.8</x:v>
      </x:c>
      <x:c r="Q287" s="14" t="n">
        <x:v>80.91</x:v>
      </x:c>
      <x:c r="R287" s="15" t="n">
        <x:v>424</x:v>
      </x:c>
      <x:c r="S287" s="15" t="n">
        <x:v>424</x:v>
      </x:c>
      <x:c r="T287" s="15"/>
      <x:c r="U287" s="16" t="n">
        <x:v>5.8</x:v>
      </x:c>
      <x:c r="V287" t="str">
        <x:v>BTK</x:v>
      </x:c>
      <x:c r="W287" t="str">
        <x:v>Ružinov</x:v>
      </x:c>
      <x:c r="X287" s="11" t="str">
        <x:v>Dostupný</x:v>
      </x:c>
      <x:c r="Y287" s="11" t="str">
        <x:v>https://www.baya.btk.sk/sk/byt/802</x:v>
      </x:c>
      <x:c r="Z287" s="11" t="n">
        <x:v>46251.740894027775</x:v>
      </x:c>
      <x:c r="AA287" s="11" t="n">
        <x:v>46254.51251577547</x:v>
      </x:c>
      <x:c r="AB287" s="11" t="n">
        <x:v>46254.51251577547</x:v>
      </x:c>
      <x:c r="AC287" t="str">
        <x:v>baya</x:v>
      </x:c>
    </x:row>
    <x:row r="288" ht="22" customHeight="1">
      <x:c r="A288" t="str">
        <x:v>BAYA</x:v>
      </x:c>
      <x:c r="B288" t="str">
        <x:v>8.03</x:v>
      </x:c>
      <x:c r="C288" t="str">
        <x:v>available</x:v>
      </x:c>
      <x:c r="D288" t="str">
        <x:v>present</x:v>
      </x:c>
      <x:c r="E288" t="str">
        <x:v>baseline</x:v>
      </x:c>
      <x:c r="F288" s="11" t="n">
        <x:v>46251.740894027775</x:v>
      </x:c>
      <x:c r="G288" t="str">
        <x:v>Byt</x:v>
      </x:c>
      <x:c r="H288" s="12" t="n">
        <x:v>2</x:v>
      </x:c>
      <x:c r="I288" s="13" t="n">
        <x:v>8</x:v>
      </x:c>
      <x:c r="J288" t="str">
        <x:v>BAYA</x:v>
      </x:c>
      <x:c r="K288" s="14" t="n">
        <x:v>57.66</x:v>
      </x:c>
      <x:c r="L288" s="14" t="n">
        <x:v>8.6</x:v>
      </x:c>
      <x:c r="M288" s="14" t="n">
        <x:v>0</x:v>
      </x:c>
      <x:c r="N288" s="14" t="n">
        <x:v>0</x:v>
      </x:c>
      <x:c r="O288" s="14"/>
      <x:c r="P288" s="14" t="n">
        <x:v>8.6</x:v>
      </x:c>
      <x:c r="Q288" s="14" t="n">
        <x:v>66.26</x:v>
      </x:c>
      <x:c r="R288" s="15" t="n">
        <x:v>378</x:v>
      </x:c>
      <x:c r="S288" s="15" t="n">
        <x:v>378</x:v>
      </x:c>
      <x:c r="T288" s="15"/>
      <x:c r="U288" s="16" t="n">
        <x:v>6.56</x:v>
      </x:c>
      <x:c r="V288" t="str">
        <x:v>BTK</x:v>
      </x:c>
      <x:c r="W288" t="str">
        <x:v>Ružinov</x:v>
      </x:c>
      <x:c r="X288" s="11" t="str">
        <x:v>Dostupný</x:v>
      </x:c>
      <x:c r="Y288" s="11" t="str">
        <x:v>https://www.baya.btk.sk/sk/byt/803</x:v>
      </x:c>
      <x:c r="Z288" s="11" t="n">
        <x:v>46251.740894027775</x:v>
      </x:c>
      <x:c r="AA288" s="11" t="n">
        <x:v>46254.51251577547</x:v>
      </x:c>
      <x:c r="AB288" s="11" t="n">
        <x:v>46254.51251577547</x:v>
      </x:c>
      <x:c r="AC288" t="str">
        <x:v>baya</x:v>
      </x:c>
    </x:row>
    <x:row r="289" ht="22" customHeight="1">
      <x:c r="A289" t="str">
        <x:v>BAYA</x:v>
      </x:c>
      <x:c r="B289" t="str">
        <x:v>8.04</x:v>
      </x:c>
      <x:c r="C289" t="str">
        <x:v>available</x:v>
      </x:c>
      <x:c r="D289" t="str">
        <x:v>present</x:v>
      </x:c>
      <x:c r="E289" t="str">
        <x:v>baseline</x:v>
      </x:c>
      <x:c r="F289" s="11" t="n">
        <x:v>46251.740894027775</x:v>
      </x:c>
      <x:c r="G289" t="str">
        <x:v>Byt</x:v>
      </x:c>
      <x:c r="H289" s="12" t="n">
        <x:v>2</x:v>
      </x:c>
      <x:c r="I289" s="13" t="n">
        <x:v>8</x:v>
      </x:c>
      <x:c r="J289" t="str">
        <x:v>BAYA</x:v>
      </x:c>
      <x:c r="K289" s="14" t="n">
        <x:v>57.66</x:v>
      </x:c>
      <x:c r="L289" s="14" t="n">
        <x:v>8.6</x:v>
      </x:c>
      <x:c r="M289" s="14" t="n">
        <x:v>0</x:v>
      </x:c>
      <x:c r="N289" s="14" t="n">
        <x:v>0</x:v>
      </x:c>
      <x:c r="O289" s="14"/>
      <x:c r="P289" s="14" t="n">
        <x:v>8.6</x:v>
      </x:c>
      <x:c r="Q289" s="14" t="n">
        <x:v>66.26</x:v>
      </x:c>
      <x:c r="R289" s="15" t="n">
        <x:v>372</x:v>
      </x:c>
      <x:c r="S289" s="15" t="n">
        <x:v>372</x:v>
      </x:c>
      <x:c r="T289" s="15"/>
      <x:c r="U289" s="16" t="n">
        <x:v>6.45</x:v>
      </x:c>
      <x:c r="V289" t="str">
        <x:v>BTK</x:v>
      </x:c>
      <x:c r="W289" t="str">
        <x:v>Ružinov</x:v>
      </x:c>
      <x:c r="X289" s="11" t="str">
        <x:v>Dostupný</x:v>
      </x:c>
      <x:c r="Y289" s="11" t="str">
        <x:v>https://www.baya.btk.sk/sk/byt/804</x:v>
      </x:c>
      <x:c r="Z289" s="11" t="n">
        <x:v>46251.740894027775</x:v>
      </x:c>
      <x:c r="AA289" s="11" t="n">
        <x:v>46254.51251577547</x:v>
      </x:c>
      <x:c r="AB289" s="11" t="n">
        <x:v>46254.51251577547</x:v>
      </x:c>
      <x:c r="AC289" t="str">
        <x:v>baya</x:v>
      </x:c>
    </x:row>
    <x:row r="290" ht="22" customHeight="1">
      <x:c r="A290" t="str">
        <x:v>BAYA</x:v>
      </x:c>
      <x:c r="B290" t="str">
        <x:v>8.05</x:v>
      </x:c>
      <x:c r="C290" t="str">
        <x:v>available</x:v>
      </x:c>
      <x:c r="D290" t="str">
        <x:v>present</x:v>
      </x:c>
      <x:c r="E290" t="str">
        <x:v>baseline</x:v>
      </x:c>
      <x:c r="F290" s="11" t="n">
        <x:v>46251.740894027775</x:v>
      </x:c>
      <x:c r="G290" t="str">
        <x:v>Byt</x:v>
      </x:c>
      <x:c r="H290" s="12" t="n">
        <x:v>3</x:v>
      </x:c>
      <x:c r="I290" s="13" t="n">
        <x:v>8</x:v>
      </x:c>
      <x:c r="J290" t="str">
        <x:v>BAYA</x:v>
      </x:c>
      <x:c r="K290" s="14" t="n">
        <x:v>89.83</x:v>
      </x:c>
      <x:c r="L290" s="14" t="n">
        <x:v>11.15</x:v>
      </x:c>
      <x:c r="M290" s="14" t="n">
        <x:v>0</x:v>
      </x:c>
      <x:c r="N290" s="14" t="n">
        <x:v>0</x:v>
      </x:c>
      <x:c r="O290" s="14"/>
      <x:c r="P290" s="14" t="n">
        <x:v>11.15</x:v>
      </x:c>
      <x:c r="Q290" s="14" t="n">
        <x:v>100.98</x:v>
      </x:c>
      <x:c r="R290" s="15" t="n">
        <x:v>535</x:v>
      </x:c>
      <x:c r="S290" s="15" t="n">
        <x:v>535</x:v>
      </x:c>
      <x:c r="T290" s="15"/>
      <x:c r="U290" s="16" t="n">
        <x:v>5.96</x:v>
      </x:c>
      <x:c r="V290" t="str">
        <x:v>BTK</x:v>
      </x:c>
      <x:c r="W290" t="str">
        <x:v>Ružinov</x:v>
      </x:c>
      <x:c r="X290" s="11" t="str">
        <x:v>Dostupný</x:v>
      </x:c>
      <x:c r="Y290" s="11" t="str">
        <x:v>https://www.baya.btk.sk/sk/byt/805</x:v>
      </x:c>
      <x:c r="Z290" s="11" t="n">
        <x:v>46251.740894027775</x:v>
      </x:c>
      <x:c r="AA290" s="11" t="n">
        <x:v>46254.51251577547</x:v>
      </x:c>
      <x:c r="AB290" s="11" t="n">
        <x:v>46254.51251577547</x:v>
      </x:c>
      <x:c r="AC290" t="str">
        <x:v>baya</x:v>
      </x:c>
    </x:row>
    <x:row r="291" ht="22" customHeight="1">
      <x:c r="A291" t="str">
        <x:v>BAYA</x:v>
      </x:c>
      <x:c r="B291" t="str">
        <x:v>8.06</x:v>
      </x:c>
      <x:c r="C291" t="str">
        <x:v>available</x:v>
      </x:c>
      <x:c r="D291" t="str">
        <x:v>present</x:v>
      </x:c>
      <x:c r="E291" t="str">
        <x:v>baseline</x:v>
      </x:c>
      <x:c r="F291" s="11" t="n">
        <x:v>46251.740894027775</x:v>
      </x:c>
      <x:c r="G291" t="str">
        <x:v>Byt</x:v>
      </x:c>
      <x:c r="H291" s="12" t="n">
        <x:v>3</x:v>
      </x:c>
      <x:c r="I291" s="13" t="n">
        <x:v>8</x:v>
      </x:c>
      <x:c r="J291" t="str">
        <x:v>BAYA</x:v>
      </x:c>
      <x:c r="K291" s="14" t="n">
        <x:v>82.07</x:v>
      </x:c>
      <x:c r="L291" s="14" t="n">
        <x:v>11.15</x:v>
      </x:c>
      <x:c r="M291" s="14" t="n">
        <x:v>0</x:v>
      </x:c>
      <x:c r="N291" s="14" t="n">
        <x:v>0</x:v>
      </x:c>
      <x:c r="O291" s="14"/>
      <x:c r="P291" s="14" t="n">
        <x:v>11.15</x:v>
      </x:c>
      <x:c r="Q291" s="14" t="n">
        <x:v>93.22</x:v>
      </x:c>
      <x:c r="R291" s="15" t="n">
        <x:v>483</x:v>
      </x:c>
      <x:c r="S291" s="15" t="n">
        <x:v>483</x:v>
      </x:c>
      <x:c r="T291" s="15"/>
      <x:c r="U291" s="16" t="n">
        <x:v>5.89</x:v>
      </x:c>
      <x:c r="V291" t="str">
        <x:v>BTK</x:v>
      </x:c>
      <x:c r="W291" t="str">
        <x:v>Ružinov</x:v>
      </x:c>
      <x:c r="X291" s="11" t="str">
        <x:v>Dostupný</x:v>
      </x:c>
      <x:c r="Y291" s="11" t="str">
        <x:v>https://www.baya.btk.sk/sk/byt/806</x:v>
      </x:c>
      <x:c r="Z291" s="11" t="n">
        <x:v>46251.740894027775</x:v>
      </x:c>
      <x:c r="AA291" s="11" t="n">
        <x:v>46254.51251577547</x:v>
      </x:c>
      <x:c r="AB291" s="11" t="n">
        <x:v>46254.51251577547</x:v>
      </x:c>
      <x:c r="AC291" t="str">
        <x:v>baya</x:v>
      </x:c>
    </x:row>
    <x:row r="292" ht="22" customHeight="1">
      <x:c r="A292" t="str">
        <x:v>BAYA</x:v>
      </x:c>
      <x:c r="B292" t="str">
        <x:v>8.07</x:v>
      </x:c>
      <x:c r="C292" t="str">
        <x:v>available</x:v>
      </x:c>
      <x:c r="D292" t="str">
        <x:v>present</x:v>
      </x:c>
      <x:c r="E292" t="str">
        <x:v>baseline</x:v>
      </x:c>
      <x:c r="F292" s="11" t="n">
        <x:v>46251.740894027775</x:v>
      </x:c>
      <x:c r="G292" t="str">
        <x:v>Byt</x:v>
      </x:c>
      <x:c r="H292" s="12" t="n">
        <x:v>3</x:v>
      </x:c>
      <x:c r="I292" s="13" t="n">
        <x:v>8</x:v>
      </x:c>
      <x:c r="J292" t="str">
        <x:v>BAYA</x:v>
      </x:c>
      <x:c r="K292" s="14" t="n">
        <x:v>83.32</x:v>
      </x:c>
      <x:c r="L292" s="14" t="n">
        <x:v>5.57</x:v>
      </x:c>
      <x:c r="M292" s="14" t="n">
        <x:v>0</x:v>
      </x:c>
      <x:c r="N292" s="14" t="n">
        <x:v>0</x:v>
      </x:c>
      <x:c r="O292" s="14"/>
      <x:c r="P292" s="14" t="n">
        <x:v>5.57</x:v>
      </x:c>
      <x:c r="Q292" s="14" t="n">
        <x:v>88.89</x:v>
      </x:c>
      <x:c r="R292" s="15" t="n">
        <x:v>483</x:v>
      </x:c>
      <x:c r="S292" s="15" t="n">
        <x:v>483</x:v>
      </x:c>
      <x:c r="T292" s="15"/>
      <x:c r="U292" s="16" t="n">
        <x:v>5.8</x:v>
      </x:c>
      <x:c r="V292" t="str">
        <x:v>BTK</x:v>
      </x:c>
      <x:c r="W292" t="str">
        <x:v>Ružinov</x:v>
      </x:c>
      <x:c r="X292" s="11" t="str">
        <x:v>Dostupný</x:v>
      </x:c>
      <x:c r="Y292" s="11" t="str">
        <x:v>https://www.baya.btk.sk/sk/byt/807</x:v>
      </x:c>
      <x:c r="Z292" s="11" t="n">
        <x:v>46251.740894027775</x:v>
      </x:c>
      <x:c r="AA292" s="11" t="n">
        <x:v>46254.51251577547</x:v>
      </x:c>
      <x:c r="AB292" s="11" t="n">
        <x:v>46254.51251577547</x:v>
      </x:c>
      <x:c r="AC292" t="str">
        <x:v>baya</x:v>
      </x:c>
    </x:row>
    <x:row r="293" ht="22" customHeight="1">
      <x:c r="A293" t="str">
        <x:v>BAYA</x:v>
      </x:c>
      <x:c r="B293" t="str">
        <x:v>8.08</x:v>
      </x:c>
      <x:c r="C293" t="str">
        <x:v>available</x:v>
      </x:c>
      <x:c r="D293" t="str">
        <x:v>present</x:v>
      </x:c>
      <x:c r="E293" t="str">
        <x:v>baseline</x:v>
      </x:c>
      <x:c r="F293" s="11" t="n">
        <x:v>46251.740894027775</x:v>
      </x:c>
      <x:c r="G293" t="str">
        <x:v>Byt</x:v>
      </x:c>
      <x:c r="H293" s="12" t="n">
        <x:v>3</x:v>
      </x:c>
      <x:c r="I293" s="13" t="n">
        <x:v>8</x:v>
      </x:c>
      <x:c r="J293" t="str">
        <x:v>BAYA</x:v>
      </x:c>
      <x:c r="K293" s="14" t="n">
        <x:v>89.74</x:v>
      </x:c>
      <x:c r="L293" s="14" t="n">
        <x:v>11.15</x:v>
      </x:c>
      <x:c r="M293" s="14" t="n">
        <x:v>0</x:v>
      </x:c>
      <x:c r="N293" s="14" t="n">
        <x:v>0</x:v>
      </x:c>
      <x:c r="O293" s="14"/>
      <x:c r="P293" s="14" t="n">
        <x:v>11.15</x:v>
      </x:c>
      <x:c r="Q293" s="14" t="n">
        <x:v>100.89</x:v>
      </x:c>
      <x:c r="R293" s="15" t="n">
        <x:v>525</x:v>
      </x:c>
      <x:c r="S293" s="15" t="n">
        <x:v>525</x:v>
      </x:c>
      <x:c r="T293" s="15"/>
      <x:c r="U293" s="16" t="n">
        <x:v>5.85</x:v>
      </x:c>
      <x:c r="V293" t="str">
        <x:v>BTK</x:v>
      </x:c>
      <x:c r="W293" t="str">
        <x:v>Ružinov</x:v>
      </x:c>
      <x:c r="X293" s="11" t="str">
        <x:v>Dostupný</x:v>
      </x:c>
      <x:c r="Y293" s="11" t="str">
        <x:v>https://www.baya.btk.sk/sk/byt/808</x:v>
      </x:c>
      <x:c r="Z293" s="11" t="n">
        <x:v>46251.740894027775</x:v>
      </x:c>
      <x:c r="AA293" s="11" t="n">
        <x:v>46254.51251577547</x:v>
      </x:c>
      <x:c r="AB293" s="11" t="n">
        <x:v>46254.51251577547</x:v>
      </x:c>
      <x:c r="AC293" t="str">
        <x:v>baya</x:v>
      </x:c>
    </x:row>
    <x:row r="294" ht="22" customHeight="1">
      <x:c r="A294" t="str">
        <x:v>BAYA</x:v>
      </x:c>
      <x:c r="B294" t="str">
        <x:v>8.09</x:v>
      </x:c>
      <x:c r="C294" t="str">
        <x:v>available</x:v>
      </x:c>
      <x:c r="D294" t="str">
        <x:v>present</x:v>
      </x:c>
      <x:c r="E294" t="str">
        <x:v>baseline</x:v>
      </x:c>
      <x:c r="F294" s="11" t="n">
        <x:v>46251.740894027775</x:v>
      </x:c>
      <x:c r="G294" t="str">
        <x:v>Byt</x:v>
      </x:c>
      <x:c r="H294" s="12" t="n">
        <x:v>1</x:v>
      </x:c>
      <x:c r="I294" s="13" t="n">
        <x:v>8</x:v>
      </x:c>
      <x:c r="J294" t="str">
        <x:v>BAYA</x:v>
      </x:c>
      <x:c r="K294" s="14" t="n">
        <x:v>35.35</x:v>
      </x:c>
      <x:c r="L294" s="14" t="n">
        <x:v>7.58</x:v>
      </x:c>
      <x:c r="M294" s="14" t="n">
        <x:v>0</x:v>
      </x:c>
      <x:c r="N294" s="14" t="n">
        <x:v>0</x:v>
      </x:c>
      <x:c r="O294" s="14"/>
      <x:c r="P294" s="14" t="n">
        <x:v>7.58</x:v>
      </x:c>
      <x:c r="Q294" s="14" t="n">
        <x:v>42.93</x:v>
      </x:c>
      <x:c r="R294" s="15" t="n">
        <x:v>241</x:v>
      </x:c>
      <x:c r="S294" s="15" t="n">
        <x:v>241</x:v>
      </x:c>
      <x:c r="T294" s="15"/>
      <x:c r="U294" s="16" t="n">
        <x:v>6.82</x:v>
      </x:c>
      <x:c r="V294" t="str">
        <x:v>BTK</x:v>
      </x:c>
      <x:c r="W294" t="str">
        <x:v>Ružinov</x:v>
      </x:c>
      <x:c r="X294" s="11" t="str">
        <x:v>Dostupný</x:v>
      </x:c>
      <x:c r="Y294" s="11" t="str">
        <x:v>https://www.baya.btk.sk/sk/byt/809</x:v>
      </x:c>
      <x:c r="Z294" s="11" t="n">
        <x:v>46251.740894027775</x:v>
      </x:c>
      <x:c r="AA294" s="11" t="n">
        <x:v>46254.51251577547</x:v>
      </x:c>
      <x:c r="AB294" s="11" t="n">
        <x:v>46254.51251577547</x:v>
      </x:c>
      <x:c r="AC294" t="str">
        <x:v>baya</x:v>
      </x:c>
    </x:row>
    <x:row r="295" ht="22" customHeight="1">
      <x:c r="A295" t="str">
        <x:v>BAYA</x:v>
      </x:c>
      <x:c r="B295" t="str">
        <x:v>8.10</x:v>
      </x:c>
      <x:c r="C295" t="str">
        <x:v>available</x:v>
      </x:c>
      <x:c r="D295" t="str">
        <x:v>present</x:v>
      </x:c>
      <x:c r="E295" t="str">
        <x:v>baseline</x:v>
      </x:c>
      <x:c r="F295" s="11" t="n">
        <x:v>46251.740894027775</x:v>
      </x:c>
      <x:c r="G295" t="str">
        <x:v>Byt</x:v>
      </x:c>
      <x:c r="H295" s="12" t="n">
        <x:v>1</x:v>
      </x:c>
      <x:c r="I295" s="13" t="n">
        <x:v>8</x:v>
      </x:c>
      <x:c r="J295" t="str">
        <x:v>BAYA</x:v>
      </x:c>
      <x:c r="K295" s="14" t="n">
        <x:v>35.35</x:v>
      </x:c>
      <x:c r="L295" s="14" t="n">
        <x:v>6</x:v>
      </x:c>
      <x:c r="M295" s="14" t="n">
        <x:v>0</x:v>
      </x:c>
      <x:c r="N295" s="14" t="n">
        <x:v>0</x:v>
      </x:c>
      <x:c r="O295" s="14"/>
      <x:c r="P295" s="14" t="n">
        <x:v>6</x:v>
      </x:c>
      <x:c r="Q295" s="14" t="n">
        <x:v>41.35</x:v>
      </x:c>
      <x:c r="R295" s="15" t="n">
        <x:v>232</x:v>
      </x:c>
      <x:c r="S295" s="15" t="n">
        <x:v>232</x:v>
      </x:c>
      <x:c r="T295" s="15"/>
      <x:c r="U295" s="16" t="n">
        <x:v>6.56</x:v>
      </x:c>
      <x:c r="V295" t="str">
        <x:v>BTK</x:v>
      </x:c>
      <x:c r="W295" t="str">
        <x:v>Ružinov</x:v>
      </x:c>
      <x:c r="X295" s="11" t="str">
        <x:v>Dostupný</x:v>
      </x:c>
      <x:c r="Y295" s="11" t="str">
        <x:v>https://www.baya.btk.sk/sk/byt/810</x:v>
      </x:c>
      <x:c r="Z295" s="11" t="n">
        <x:v>46251.740894027775</x:v>
      </x:c>
      <x:c r="AA295" s="11" t="n">
        <x:v>46254.51251577547</x:v>
      </x:c>
      <x:c r="AB295" s="11" t="n">
        <x:v>46254.51251577547</x:v>
      </x:c>
      <x:c r="AC295" t="str">
        <x:v>baya</x:v>
      </x:c>
    </x:row>
    <x:row r="296" ht="22" customHeight="1">
      <x:c r="A296" t="str">
        <x:v>BAYA</x:v>
      </x:c>
      <x:c r="B296" t="str">
        <x:v>8.11</x:v>
      </x:c>
      <x:c r="C296" t="str">
        <x:v>pre_reserved</x:v>
      </x:c>
      <x:c r="D296" t="str">
        <x:v>present</x:v>
      </x:c>
      <x:c r="E296" t="str">
        <x:v>baseline</x:v>
      </x:c>
      <x:c r="F296" s="11" t="n">
        <x:v>46251.740894027775</x:v>
      </x:c>
      <x:c r="G296" t="str">
        <x:v>Byt</x:v>
      </x:c>
      <x:c r="H296" s="12" t="n">
        <x:v>3</x:v>
      </x:c>
      <x:c r="I296" s="13" t="n">
        <x:v>8</x:v>
      </x:c>
      <x:c r="J296" t="str">
        <x:v>BAYA</x:v>
      </x:c>
      <x:c r="K296" s="14" t="n">
        <x:v>67.15</x:v>
      </x:c>
      <x:c r="L296" s="14" t="n">
        <x:v>10.55</x:v>
      </x:c>
      <x:c r="M296" s="14" t="n">
        <x:v>0</x:v>
      </x:c>
      <x:c r="N296" s="14" t="n">
        <x:v>0</x:v>
      </x:c>
      <x:c r="O296" s="14"/>
      <x:c r="P296" s="14" t="n">
        <x:v>10.55</x:v>
      </x:c>
      <x:c r="Q296" s="14" t="n">
        <x:v>77.7</x:v>
      </x:c>
      <x:c r="R296" s="15"/>
      <x:c r="S296" s="15"/>
      <x:c r="T296" s="15"/>
      <x:c r="U296" s="16"/>
      <x:c r="V296" t="str">
        <x:v>BTK</x:v>
      </x:c>
      <x:c r="W296" t="str">
        <x:v>Ružinov</x:v>
      </x:c>
      <x:c r="X296" s="11" t="str">
        <x:v>Predrezervácia</x:v>
      </x:c>
      <x:c r="Y296" s="11" t="str">
        <x:v>https://www.baya.btk.sk/sk/byt/811</x:v>
      </x:c>
      <x:c r="Z296" s="11" t="n">
        <x:v>46251.740894027775</x:v>
      </x:c>
      <x:c r="AA296" s="11" t="n">
        <x:v>46254.51251577547</x:v>
      </x:c>
      <x:c r="AB296" s="11" t="n">
        <x:v>46254.51251577547</x:v>
      </x:c>
      <x:c r="AC296" t="str">
        <x:v>baya</x:v>
      </x:c>
    </x:row>
    <x:row r="297" ht="22" customHeight="1">
      <x:c r="A297" t="str">
        <x:v>BAYA</x:v>
      </x:c>
      <x:c r="B297" t="str">
        <x:v>8.12</x:v>
      </x:c>
      <x:c r="C297" t="str">
        <x:v>pre_reserved</x:v>
      </x:c>
      <x:c r="D297" t="str">
        <x:v>present</x:v>
      </x:c>
      <x:c r="E297" t="str">
        <x:v>baseline</x:v>
      </x:c>
      <x:c r="F297" s="11" t="n">
        <x:v>46251.740894027775</x:v>
      </x:c>
      <x:c r="G297" t="str">
        <x:v>Byt</x:v>
      </x:c>
      <x:c r="H297" s="12" t="n">
        <x:v>3</x:v>
      </x:c>
      <x:c r="I297" s="13" t="n">
        <x:v>8</x:v>
      </x:c>
      <x:c r="J297" t="str">
        <x:v>BAYA</x:v>
      </x:c>
      <x:c r="K297" s="14" t="n">
        <x:v>61.2</x:v>
      </x:c>
      <x:c r="L297" s="14" t="n">
        <x:v>7.55</x:v>
      </x:c>
      <x:c r="M297" s="14" t="n">
        <x:v>0</x:v>
      </x:c>
      <x:c r="N297" s="14" t="n">
        <x:v>0</x:v>
      </x:c>
      <x:c r="O297" s="14"/>
      <x:c r="P297" s="14" t="n">
        <x:v>7.55</x:v>
      </x:c>
      <x:c r="Q297" s="14" t="n">
        <x:v>68.75</x:v>
      </x:c>
      <x:c r="R297" s="15"/>
      <x:c r="S297" s="15"/>
      <x:c r="T297" s="15"/>
      <x:c r="U297" s="16"/>
      <x:c r="V297" t="str">
        <x:v>BTK</x:v>
      </x:c>
      <x:c r="W297" t="str">
        <x:v>Ružinov</x:v>
      </x:c>
      <x:c r="X297" s="11" t="str">
        <x:v>Predrezervácia</x:v>
      </x:c>
      <x:c r="Y297" s="11" t="str">
        <x:v>https://www.baya.btk.sk/sk/byt/812</x:v>
      </x:c>
      <x:c r="Z297" s="11" t="n">
        <x:v>46251.740894027775</x:v>
      </x:c>
      <x:c r="AA297" s="11" t="n">
        <x:v>46254.51251577547</x:v>
      </x:c>
      <x:c r="AB297" s="11" t="n">
        <x:v>46254.51251577547</x:v>
      </x:c>
      <x:c r="AC297" t="str">
        <x:v>baya</x:v>
      </x:c>
    </x:row>
    <x:row r="298" ht="22" customHeight="1">
      <x:c r="A298" t="str">
        <x:v>BAYA</x:v>
      </x:c>
      <x:c r="B298" t="str">
        <x:v>8.13</x:v>
      </x:c>
      <x:c r="C298" t="str">
        <x:v>available</x:v>
      </x:c>
      <x:c r="D298" t="str">
        <x:v>present</x:v>
      </x:c>
      <x:c r="E298" t="str">
        <x:v>baseline</x:v>
      </x:c>
      <x:c r="F298" s="11" t="n">
        <x:v>46251.740894027775</x:v>
      </x:c>
      <x:c r="G298" t="str">
        <x:v>Byt</x:v>
      </x:c>
      <x:c r="H298" s="12" t="n">
        <x:v>3</x:v>
      </x:c>
      <x:c r="I298" s="13" t="n">
        <x:v>8</x:v>
      </x:c>
      <x:c r="J298" t="str">
        <x:v>BAYA</x:v>
      </x:c>
      <x:c r="K298" s="14" t="n">
        <x:v>58.02</x:v>
      </x:c>
      <x:c r="L298" s="14" t="n">
        <x:v>10.55</x:v>
      </x:c>
      <x:c r="M298" s="14" t="n">
        <x:v>0</x:v>
      </x:c>
      <x:c r="N298" s="14" t="n">
        <x:v>0</x:v>
      </x:c>
      <x:c r="O298" s="14"/>
      <x:c r="P298" s="14" t="n">
        <x:v>10.55</x:v>
      </x:c>
      <x:c r="Q298" s="14" t="n">
        <x:v>68.57</x:v>
      </x:c>
      <x:c r="R298" s="15" t="n">
        <x:v>355</x:v>
      </x:c>
      <x:c r="S298" s="15" t="n">
        <x:v>355</x:v>
      </x:c>
      <x:c r="T298" s="15"/>
      <x:c r="U298" s="16" t="n">
        <x:v>6.12</x:v>
      </x:c>
      <x:c r="V298" t="str">
        <x:v>BTK</x:v>
      </x:c>
      <x:c r="W298" t="str">
        <x:v>Ružinov</x:v>
      </x:c>
      <x:c r="X298" s="11" t="str">
        <x:v>Dostupný</x:v>
      </x:c>
      <x:c r="Y298" s="11" t="str">
        <x:v>https://www.baya.btk.sk/sk/byt/813</x:v>
      </x:c>
      <x:c r="Z298" s="11" t="n">
        <x:v>46251.740894027775</x:v>
      </x:c>
      <x:c r="AA298" s="11" t="n">
        <x:v>46254.51251577547</x:v>
      </x:c>
      <x:c r="AB298" s="11" t="n">
        <x:v>46254.51251577547</x:v>
      </x:c>
      <x:c r="AC298" t="str">
        <x:v>baya</x:v>
      </x:c>
    </x:row>
    <x:row r="299" ht="22" customHeight="1">
      <x:c r="A299" t="str">
        <x:v>BAYA</x:v>
      </x:c>
      <x:c r="B299" t="str">
        <x:v>8.14</x:v>
      </x:c>
      <x:c r="C299" t="str">
        <x:v>available</x:v>
      </x:c>
      <x:c r="D299" t="str">
        <x:v>present</x:v>
      </x:c>
      <x:c r="E299" t="str">
        <x:v>baseline</x:v>
      </x:c>
      <x:c r="F299" s="11" t="n">
        <x:v>46251.740894027775</x:v>
      </x:c>
      <x:c r="G299" t="str">
        <x:v>Byt</x:v>
      </x:c>
      <x:c r="H299" s="12" t="n">
        <x:v>2</x:v>
      </x:c>
      <x:c r="I299" s="13" t="n">
        <x:v>8</x:v>
      </x:c>
      <x:c r="J299" t="str">
        <x:v>BAYA</x:v>
      </x:c>
      <x:c r="K299" s="14" t="n">
        <x:v>44.75</x:v>
      </x:c>
      <x:c r="L299" s="14" t="n">
        <x:v>0</x:v>
      </x:c>
      <x:c r="M299" s="14" t="n">
        <x:v>15.13</x:v>
      </x:c>
      <x:c r="N299" s="14" t="n">
        <x:v>0</x:v>
      </x:c>
      <x:c r="O299" s="14"/>
      <x:c r="P299" s="14" t="n">
        <x:v>15.13</x:v>
      </x:c>
      <x:c r="Q299" s="14" t="n">
        <x:v>59.88</x:v>
      </x:c>
      <x:c r="R299" s="15" t="n">
        <x:v>296</x:v>
      </x:c>
      <x:c r="S299" s="15" t="n">
        <x:v>296</x:v>
      </x:c>
      <x:c r="T299" s="15"/>
      <x:c r="U299" s="16" t="n">
        <x:v>6.61</x:v>
      </x:c>
      <x:c r="V299" t="str">
        <x:v>BTK</x:v>
      </x:c>
      <x:c r="W299" t="str">
        <x:v>Ružinov</x:v>
      </x:c>
      <x:c r="X299" s="11" t="str">
        <x:v>Dostupný</x:v>
      </x:c>
      <x:c r="Y299" s="11" t="str">
        <x:v>https://www.baya.btk.sk/sk/byt/814</x:v>
      </x:c>
      <x:c r="Z299" s="11" t="n">
        <x:v>46251.740894027775</x:v>
      </x:c>
      <x:c r="AA299" s="11" t="n">
        <x:v>46254.51251577547</x:v>
      </x:c>
      <x:c r="AB299" s="11" t="n">
        <x:v>46254.51251577547</x:v>
      </x:c>
      <x:c r="AC299" t="str">
        <x:v>baya</x:v>
      </x:c>
    </x:row>
    <x:row r="300" ht="22" customHeight="1">
      <x:c r="A300" t="str">
        <x:v>BAYA</x:v>
      </x:c>
      <x:c r="B300" t="str">
        <x:v>8.15</x:v>
      </x:c>
      <x:c r="C300" t="str">
        <x:v>pre_reserved</x:v>
      </x:c>
      <x:c r="D300" t="str">
        <x:v>present</x:v>
      </x:c>
      <x:c r="E300" t="str">
        <x:v>baseline</x:v>
      </x:c>
      <x:c r="F300" s="11" t="n">
        <x:v>46251.740894027775</x:v>
      </x:c>
      <x:c r="G300" t="str">
        <x:v>Byt</x:v>
      </x:c>
      <x:c r="H300" s="12" t="n">
        <x:v>1</x:v>
      </x:c>
      <x:c r="I300" s="13" t="n">
        <x:v>8</x:v>
      </x:c>
      <x:c r="J300" t="str">
        <x:v>BAYA</x:v>
      </x:c>
      <x:c r="K300" s="14" t="n">
        <x:v>31.87</x:v>
      </x:c>
      <x:c r="L300" s="14" t="n">
        <x:v>7.58</x:v>
      </x:c>
      <x:c r="M300" s="14" t="n">
        <x:v>0</x:v>
      </x:c>
      <x:c r="N300" s="14" t="n">
        <x:v>0</x:v>
      </x:c>
      <x:c r="O300" s="14"/>
      <x:c r="P300" s="14" t="n">
        <x:v>7.58</x:v>
      </x:c>
      <x:c r="Q300" s="14" t="n">
        <x:v>39.45</x:v>
      </x:c>
      <x:c r="R300" s="15"/>
      <x:c r="S300" s="15"/>
      <x:c r="T300" s="15"/>
      <x:c r="U300" s="16"/>
      <x:c r="V300" t="str">
        <x:v>BTK</x:v>
      </x:c>
      <x:c r="W300" t="str">
        <x:v>Ružinov</x:v>
      </x:c>
      <x:c r="X300" s="11" t="str">
        <x:v>Predrezervácia</x:v>
      </x:c>
      <x:c r="Y300" s="11" t="str">
        <x:v>https://www.baya.btk.sk/sk/byt/815</x:v>
      </x:c>
      <x:c r="Z300" s="11" t="n">
        <x:v>46251.740894027775</x:v>
      </x:c>
      <x:c r="AA300" s="11" t="n">
        <x:v>46254.51251577547</x:v>
      </x:c>
      <x:c r="AB300" s="11" t="n">
        <x:v>46254.51251577547</x:v>
      </x:c>
      <x:c r="AC300" t="str">
        <x:v>baya</x:v>
      </x:c>
    </x:row>
    <x:row r="301" ht="22" customHeight="1">
      <x:c r="A301" t="str">
        <x:v>BAYA</x:v>
      </x:c>
      <x:c r="B301" t="str">
        <x:v>8.16</x:v>
      </x:c>
      <x:c r="C301" t="str">
        <x:v>sold</x:v>
      </x:c>
      <x:c r="D301" t="str">
        <x:v>present</x:v>
      </x:c>
      <x:c r="E301" t="str">
        <x:v>baseline</x:v>
      </x:c>
      <x:c r="F301" s="11" t="n">
        <x:v>46251.740894027775</x:v>
      </x:c>
      <x:c r="G301" t="str">
        <x:v>Byt</x:v>
      </x:c>
      <x:c r="H301" s="12" t="n">
        <x:v>1</x:v>
      </x:c>
      <x:c r="I301" s="13" t="n">
        <x:v>8</x:v>
      </x:c>
      <x:c r="J301" t="str">
        <x:v>BAYA</x:v>
      </x:c>
      <x:c r="K301" s="14" t="n">
        <x:v>31.87</x:v>
      </x:c>
      <x:c r="L301" s="14" t="n">
        <x:v>0</x:v>
      </x:c>
      <x:c r="M301" s="14" t="n">
        <x:v>8.27</x:v>
      </x:c>
      <x:c r="N301" s="14" t="n">
        <x:v>0</x:v>
      </x:c>
      <x:c r="O301" s="14"/>
      <x:c r="P301" s="14" t="n">
        <x:v>8.27</x:v>
      </x:c>
      <x:c r="Q301" s="14" t="n">
        <x:v>40.14</x:v>
      </x:c>
      <x:c r="R301" s="15"/>
      <x:c r="S301" s="15"/>
      <x:c r="T301" s="15"/>
      <x:c r="U301" s="16"/>
      <x:c r="V301" t="str">
        <x:v>BTK</x:v>
      </x:c>
      <x:c r="W301" t="str">
        <x:v>Ružinov</x:v>
      </x:c>
      <x:c r="X301" s="11" t="str">
        <x:v>Predané</x:v>
      </x:c>
      <x:c r="Y301" s="11" t="str">
        <x:v>https://www.baya.btk.sk/sk/byt/816</x:v>
      </x:c>
      <x:c r="Z301" s="11" t="n">
        <x:v>46251.740894027775</x:v>
      </x:c>
      <x:c r="AA301" s="11" t="n">
        <x:v>46254.51251577547</x:v>
      </x:c>
      <x:c r="AB301" s="11" t="n">
        <x:v>46254.51251577547</x:v>
      </x:c>
      <x:c r="AC301" t="str">
        <x:v>baya</x:v>
      </x:c>
    </x:row>
    <x:row r="302" ht="22" customHeight="1">
      <x:c r="A302" t="str">
        <x:v>BAYA</x:v>
      </x:c>
      <x:c r="B302" t="str">
        <x:v>8.17</x:v>
      </x:c>
      <x:c r="C302" t="str">
        <x:v>available</x:v>
      </x:c>
      <x:c r="D302" t="str">
        <x:v>present</x:v>
      </x:c>
      <x:c r="E302" t="str">
        <x:v>baseline</x:v>
      </x:c>
      <x:c r="F302" s="11" t="n">
        <x:v>46251.740894027775</x:v>
      </x:c>
      <x:c r="G302" t="str">
        <x:v>Byt</x:v>
      </x:c>
      <x:c r="H302" s="12" t="n">
        <x:v>3</x:v>
      </x:c>
      <x:c r="I302" s="13" t="n">
        <x:v>8</x:v>
      </x:c>
      <x:c r="J302" t="str">
        <x:v>BAYA</x:v>
      </x:c>
      <x:c r="K302" s="14" t="n">
        <x:v>73.58</x:v>
      </x:c>
      <x:c r="L302" s="14" t="n">
        <x:v>12.5</x:v>
      </x:c>
      <x:c r="M302" s="14" t="n">
        <x:v>0</x:v>
      </x:c>
      <x:c r="N302" s="14" t="n">
        <x:v>0</x:v>
      </x:c>
      <x:c r="O302" s="14"/>
      <x:c r="P302" s="14" t="n">
        <x:v>12.5</x:v>
      </x:c>
      <x:c r="Q302" s="14" t="n">
        <x:v>86.08</x:v>
      </x:c>
      <x:c r="R302" s="15" t="n">
        <x:v>447</x:v>
      </x:c>
      <x:c r="S302" s="15" t="n">
        <x:v>447</x:v>
      </x:c>
      <x:c r="T302" s="15"/>
      <x:c r="U302" s="16" t="n">
        <x:v>6.08</x:v>
      </x:c>
      <x:c r="V302" t="str">
        <x:v>BTK</x:v>
      </x:c>
      <x:c r="W302" t="str">
        <x:v>Ružinov</x:v>
      </x:c>
      <x:c r="X302" s="11" t="str">
        <x:v>Dostupný</x:v>
      </x:c>
      <x:c r="Y302" s="11" t="str">
        <x:v>https://www.baya.btk.sk/sk/byt/817</x:v>
      </x:c>
      <x:c r="Z302" s="11" t="n">
        <x:v>46251.740894027775</x:v>
      </x:c>
      <x:c r="AA302" s="11" t="n">
        <x:v>46254.51251577547</x:v>
      </x:c>
      <x:c r="AB302" s="11" t="n">
        <x:v>46254.51251577547</x:v>
      </x:c>
      <x:c r="AC302" t="str">
        <x:v>baya</x:v>
      </x:c>
    </x:row>
    <x:row r="303" ht="22" customHeight="1">
      <x:c r="A303" t="str">
        <x:v>BAYA</x:v>
      </x:c>
      <x:c r="B303" t="str">
        <x:v>8.18</x:v>
      </x:c>
      <x:c r="C303" t="str">
        <x:v>available</x:v>
      </x:c>
      <x:c r="D303" t="str">
        <x:v>present</x:v>
      </x:c>
      <x:c r="E303" t="str">
        <x:v>baseline</x:v>
      </x:c>
      <x:c r="F303" s="11" t="n">
        <x:v>46251.740894027775</x:v>
      </x:c>
      <x:c r="G303" t="str">
        <x:v>Byt</x:v>
      </x:c>
      <x:c r="H303" s="12" t="n">
        <x:v>3</x:v>
      </x:c>
      <x:c r="I303" s="13" t="n">
        <x:v>8</x:v>
      </x:c>
      <x:c r="J303" t="str">
        <x:v>BAYA</x:v>
      </x:c>
      <x:c r="K303" s="14" t="n">
        <x:v>80.99</x:v>
      </x:c>
      <x:c r="L303" s="14" t="n">
        <x:v>0</x:v>
      </x:c>
      <x:c r="M303" s="14" t="n">
        <x:v>17.49</x:v>
      </x:c>
      <x:c r="N303" s="14" t="n">
        <x:v>0</x:v>
      </x:c>
      <x:c r="O303" s="14"/>
      <x:c r="P303" s="14" t="n">
        <x:v>17.49</x:v>
      </x:c>
      <x:c r="Q303" s="14" t="n">
        <x:v>98.48</x:v>
      </x:c>
      <x:c r="R303" s="15" t="n">
        <x:v>475</x:v>
      </x:c>
      <x:c r="S303" s="15" t="n">
        <x:v>475</x:v>
      </x:c>
      <x:c r="T303" s="15"/>
      <x:c r="U303" s="16" t="n">
        <x:v>5.86</x:v>
      </x:c>
      <x:c r="V303" t="str">
        <x:v>BTK</x:v>
      </x:c>
      <x:c r="W303" t="str">
        <x:v>Ružinov</x:v>
      </x:c>
      <x:c r="X303" s="11" t="str">
        <x:v>Dostupný</x:v>
      </x:c>
      <x:c r="Y303" s="11" t="str">
        <x:v>https://www.baya.btk.sk/sk/byt/818</x:v>
      </x:c>
      <x:c r="Z303" s="11" t="n">
        <x:v>46251.740894027775</x:v>
      </x:c>
      <x:c r="AA303" s="11" t="n">
        <x:v>46254.51251577547</x:v>
      </x:c>
      <x:c r="AB303" s="11" t="n">
        <x:v>46254.51251577547</x:v>
      </x:c>
      <x:c r="AC303" t="str">
        <x:v>baya</x:v>
      </x:c>
    </x:row>
    <x:row r="304" ht="22" customHeight="1">
      <x:c r="A304" t="str">
        <x:v>BAYA</x:v>
      </x:c>
      <x:c r="B304" t="str">
        <x:v>8.19</x:v>
      </x:c>
      <x:c r="C304" t="str">
        <x:v>available</x:v>
      </x:c>
      <x:c r="D304" t="str">
        <x:v>present</x:v>
      </x:c>
      <x:c r="E304" t="str">
        <x:v>baseline</x:v>
      </x:c>
      <x:c r="F304" s="11" t="n">
        <x:v>46251.740894027775</x:v>
      </x:c>
      <x:c r="G304" t="str">
        <x:v>Byt</x:v>
      </x:c>
      <x:c r="H304" s="12" t="n">
        <x:v>4</x:v>
      </x:c>
      <x:c r="I304" s="13" t="n">
        <x:v>8</x:v>
      </x:c>
      <x:c r="J304" t="str">
        <x:v>BAYA</x:v>
      </x:c>
      <x:c r="K304" s="14" t="n">
        <x:v>88.57</x:v>
      </x:c>
      <x:c r="L304" s="14" t="n">
        <x:v>18.93</x:v>
      </x:c>
      <x:c r="M304" s="14" t="n">
        <x:v>0</x:v>
      </x:c>
      <x:c r="N304" s="14" t="n">
        <x:v>0</x:v>
      </x:c>
      <x:c r="O304" s="14"/>
      <x:c r="P304" s="14" t="n">
        <x:v>18.93</x:v>
      </x:c>
      <x:c r="Q304" s="14" t="n">
        <x:v>107.5</x:v>
      </x:c>
      <x:c r="R304" s="15" t="n">
        <x:v>583</x:v>
      </x:c>
      <x:c r="S304" s="15" t="n">
        <x:v>583</x:v>
      </x:c>
      <x:c r="T304" s="15"/>
      <x:c r="U304" s="16" t="n">
        <x:v>6.58</x:v>
      </x:c>
      <x:c r="V304" t="str">
        <x:v>BTK</x:v>
      </x:c>
      <x:c r="W304" t="str">
        <x:v>Ružinov</x:v>
      </x:c>
      <x:c r="X304" s="11" t="str">
        <x:v>Dostupný</x:v>
      </x:c>
      <x:c r="Y304" s="11" t="str">
        <x:v>https://www.baya.btk.sk/sk/byt/819</x:v>
      </x:c>
      <x:c r="Z304" s="11" t="n">
        <x:v>46251.740894027775</x:v>
      </x:c>
      <x:c r="AA304" s="11" t="n">
        <x:v>46254.51251577547</x:v>
      </x:c>
      <x:c r="AB304" s="11" t="n">
        <x:v>46254.51251577547</x:v>
      </x:c>
      <x:c r="AC304" t="str">
        <x:v>baya</x:v>
      </x:c>
    </x:row>
    <x:row r="305" ht="22" customHeight="1">
      <x:c r="A305" t="str">
        <x:v>BAYA</x:v>
      </x:c>
      <x:c r="B305" t="str">
        <x:v>8.20</x:v>
      </x:c>
      <x:c r="C305" t="str">
        <x:v>available</x:v>
      </x:c>
      <x:c r="D305" t="str">
        <x:v>present</x:v>
      </x:c>
      <x:c r="E305" t="str">
        <x:v>baseline</x:v>
      </x:c>
      <x:c r="F305" s="11" t="n">
        <x:v>46251.740894027775</x:v>
      </x:c>
      <x:c r="G305" t="str">
        <x:v>Byt</x:v>
      </x:c>
      <x:c r="H305" s="12" t="n">
        <x:v>3</x:v>
      </x:c>
      <x:c r="I305" s="13" t="n">
        <x:v>8</x:v>
      </x:c>
      <x:c r="J305" t="str">
        <x:v>BAYA</x:v>
      </x:c>
      <x:c r="K305" s="14" t="n">
        <x:v>77.19</x:v>
      </x:c>
      <x:c r="L305" s="14" t="n">
        <x:v>0</x:v>
      </x:c>
      <x:c r="M305" s="14" t="n">
        <x:v>18.92</x:v>
      </x:c>
      <x:c r="N305" s="14" t="n">
        <x:v>0</x:v>
      </x:c>
      <x:c r="O305" s="14"/>
      <x:c r="P305" s="14" t="n">
        <x:v>18.92</x:v>
      </x:c>
      <x:c r="Q305" s="14" t="n">
        <x:v>96.11</x:v>
      </x:c>
      <x:c r="R305" s="15" t="n">
        <x:v>456</x:v>
      </x:c>
      <x:c r="S305" s="15" t="n">
        <x:v>456</x:v>
      </x:c>
      <x:c r="T305" s="15"/>
      <x:c r="U305" s="16" t="n">
        <x:v>5.91</x:v>
      </x:c>
      <x:c r="V305" t="str">
        <x:v>BTK</x:v>
      </x:c>
      <x:c r="W305" t="str">
        <x:v>Ružinov</x:v>
      </x:c>
      <x:c r="X305" s="11" t="str">
        <x:v>Dostupný</x:v>
      </x:c>
      <x:c r="Y305" s="11" t="str">
        <x:v>https://www.baya.btk.sk/sk/byt/820</x:v>
      </x:c>
      <x:c r="Z305" s="11" t="n">
        <x:v>46251.740894027775</x:v>
      </x:c>
      <x:c r="AA305" s="11" t="n">
        <x:v>46254.51251577547</x:v>
      </x:c>
      <x:c r="AB305" s="11" t="n">
        <x:v>46254.51251577547</x:v>
      </x:c>
      <x:c r="AC305" t="str">
        <x:v>baya</x:v>
      </x:c>
    </x:row>
    <x:row r="306" ht="22" customHeight="1">
      <x:c r="A306" t="str">
        <x:v>BAYA</x:v>
      </x:c>
      <x:c r="B306" t="str">
        <x:v>9.01</x:v>
      </x:c>
      <x:c r="C306" t="str">
        <x:v>sold</x:v>
      </x:c>
      <x:c r="D306" t="str">
        <x:v>present</x:v>
      </x:c>
      <x:c r="E306" t="str">
        <x:v>baseline</x:v>
      </x:c>
      <x:c r="F306" s="11" t="n">
        <x:v>46251.740894027775</x:v>
      </x:c>
      <x:c r="G306" t="str">
        <x:v>Byt</x:v>
      </x:c>
      <x:c r="H306" s="12" t="n">
        <x:v>3</x:v>
      </x:c>
      <x:c r="I306" s="13" t="n">
        <x:v>9</x:v>
      </x:c>
      <x:c r="J306" t="str">
        <x:v>BAYA</x:v>
      </x:c>
      <x:c r="K306" s="14" t="n">
        <x:v>73.04</x:v>
      </x:c>
      <x:c r="L306" s="14" t="n">
        <x:v>6.15</x:v>
      </x:c>
      <x:c r="M306" s="14" t="n">
        <x:v>0</x:v>
      </x:c>
      <x:c r="N306" s="14" t="n">
        <x:v>0</x:v>
      </x:c>
      <x:c r="O306" s="14"/>
      <x:c r="P306" s="14" t="n">
        <x:v>6.15</x:v>
      </x:c>
      <x:c r="Q306" s="14" t="n">
        <x:v>79.19</x:v>
      </x:c>
      <x:c r="R306" s="15"/>
      <x:c r="S306" s="15"/>
      <x:c r="T306" s="15"/>
      <x:c r="U306" s="16"/>
      <x:c r="V306" t="str">
        <x:v>BTK</x:v>
      </x:c>
      <x:c r="W306" t="str">
        <x:v>Ružinov</x:v>
      </x:c>
      <x:c r="X306" s="11" t="str">
        <x:v>Predané</x:v>
      </x:c>
      <x:c r="Y306" s="11" t="str">
        <x:v>https://www.baya.btk.sk/sk/byt/901</x:v>
      </x:c>
      <x:c r="Z306" s="11" t="n">
        <x:v>46251.740894027775</x:v>
      </x:c>
      <x:c r="AA306" s="11" t="n">
        <x:v>46254.51251577547</x:v>
      </x:c>
      <x:c r="AB306" s="11" t="n">
        <x:v>46254.51251577547</x:v>
      </x:c>
      <x:c r="AC306" t="str">
        <x:v>baya</x:v>
      </x:c>
    </x:row>
    <x:row r="307" ht="22" customHeight="1">
      <x:c r="A307" t="str">
        <x:v>BAYA</x:v>
      </x:c>
      <x:c r="B307" t="str">
        <x:v>9.02</x:v>
      </x:c>
      <x:c r="C307" t="str">
        <x:v>available</x:v>
      </x:c>
      <x:c r="D307" t="str">
        <x:v>present</x:v>
      </x:c>
      <x:c r="E307" t="str">
        <x:v>baseline</x:v>
      </x:c>
      <x:c r="F307" s="11" t="n">
        <x:v>46251.740894027775</x:v>
      </x:c>
      <x:c r="G307" t="str">
        <x:v>Byt</x:v>
      </x:c>
      <x:c r="H307" s="12" t="n">
        <x:v>3</x:v>
      </x:c>
      <x:c r="I307" s="13" t="n">
        <x:v>9</x:v>
      </x:c>
      <x:c r="J307" t="str">
        <x:v>BAYA</x:v>
      </x:c>
      <x:c r="K307" s="14" t="n">
        <x:v>73.11</x:v>
      </x:c>
      <x:c r="L307" s="14" t="n">
        <x:v>13.65</x:v>
      </x:c>
      <x:c r="M307" s="14" t="n">
        <x:v>0</x:v>
      </x:c>
      <x:c r="N307" s="14" t="n">
        <x:v>0</x:v>
      </x:c>
      <x:c r="O307" s="14"/>
      <x:c r="P307" s="14" t="n">
        <x:v>13.65</x:v>
      </x:c>
      <x:c r="Q307" s="14" t="n">
        <x:v>86.76</x:v>
      </x:c>
      <x:c r="R307" s="15" t="n">
        <x:v>442</x:v>
      </x:c>
      <x:c r="S307" s="15" t="n">
        <x:v>442</x:v>
      </x:c>
      <x:c r="T307" s="15"/>
      <x:c r="U307" s="16" t="n">
        <x:v>6.05</x:v>
      </x:c>
      <x:c r="V307" t="str">
        <x:v>BTK</x:v>
      </x:c>
      <x:c r="W307" t="str">
        <x:v>Ružinov</x:v>
      </x:c>
      <x:c r="X307" s="11" t="str">
        <x:v>Dostupný</x:v>
      </x:c>
      <x:c r="Y307" s="11" t="str">
        <x:v>https://www.baya.btk.sk/sk/byt/902</x:v>
      </x:c>
      <x:c r="Z307" s="11" t="n">
        <x:v>46251.740894027775</x:v>
      </x:c>
      <x:c r="AA307" s="11" t="n">
        <x:v>46254.51251577547</x:v>
      </x:c>
      <x:c r="AB307" s="11" t="n">
        <x:v>46254.51251577547</x:v>
      </x:c>
      <x:c r="AC307" t="str">
        <x:v>baya</x:v>
      </x:c>
    </x:row>
    <x:row r="308" ht="22" customHeight="1">
      <x:c r="A308" t="str">
        <x:v>BAYA</x:v>
      </x:c>
      <x:c r="B308" t="str">
        <x:v>9.03</x:v>
      </x:c>
      <x:c r="C308" t="str">
        <x:v>available</x:v>
      </x:c>
      <x:c r="D308" t="str">
        <x:v>present</x:v>
      </x:c>
      <x:c r="E308" t="str">
        <x:v>baseline</x:v>
      </x:c>
      <x:c r="F308" s="11" t="n">
        <x:v>46251.740894027775</x:v>
      </x:c>
      <x:c r="G308" t="str">
        <x:v>Byt</x:v>
      </x:c>
      <x:c r="H308" s="12" t="n">
        <x:v>2</x:v>
      </x:c>
      <x:c r="I308" s="13" t="n">
        <x:v>9</x:v>
      </x:c>
      <x:c r="J308" t="str">
        <x:v>BAYA</x:v>
      </x:c>
      <x:c r="K308" s="14" t="n">
        <x:v>57.66</x:v>
      </x:c>
      <x:c r="L308" s="14" t="n">
        <x:v>6.15</x:v>
      </x:c>
      <x:c r="M308" s="14" t="n">
        <x:v>0</x:v>
      </x:c>
      <x:c r="N308" s="14" t="n">
        <x:v>0</x:v>
      </x:c>
      <x:c r="O308" s="14"/>
      <x:c r="P308" s="14" t="n">
        <x:v>6.15</x:v>
      </x:c>
      <x:c r="Q308" s="14" t="n">
        <x:v>63.81</x:v>
      </x:c>
      <x:c r="R308" s="15" t="n">
        <x:v>373</x:v>
      </x:c>
      <x:c r="S308" s="15" t="n">
        <x:v>373</x:v>
      </x:c>
      <x:c r="T308" s="15"/>
      <x:c r="U308" s="16" t="n">
        <x:v>6.47</x:v>
      </x:c>
      <x:c r="V308" t="str">
        <x:v>BTK</x:v>
      </x:c>
      <x:c r="W308" t="str">
        <x:v>Ružinov</x:v>
      </x:c>
      <x:c r="X308" s="11" t="str">
        <x:v>Dostupný</x:v>
      </x:c>
      <x:c r="Y308" s="11" t="str">
        <x:v>https://www.baya.btk.sk/sk/byt/903</x:v>
      </x:c>
      <x:c r="Z308" s="11" t="n">
        <x:v>46251.740894027775</x:v>
      </x:c>
      <x:c r="AA308" s="11" t="n">
        <x:v>46254.51251577547</x:v>
      </x:c>
      <x:c r="AB308" s="11" t="n">
        <x:v>46254.51251577547</x:v>
      </x:c>
      <x:c r="AC308" t="str">
        <x:v>baya</x:v>
      </x:c>
    </x:row>
    <x:row r="309" ht="22" customHeight="1">
      <x:c r="A309" t="str">
        <x:v>BAYA</x:v>
      </x:c>
      <x:c r="B309" t="str">
        <x:v>9.04</x:v>
      </x:c>
      <x:c r="C309" t="str">
        <x:v>available</x:v>
      </x:c>
      <x:c r="D309" t="str">
        <x:v>present</x:v>
      </x:c>
      <x:c r="E309" t="str">
        <x:v>baseline</x:v>
      </x:c>
      <x:c r="F309" s="11" t="n">
        <x:v>46251.740894027775</x:v>
      </x:c>
      <x:c r="G309" t="str">
        <x:v>Byt</x:v>
      </x:c>
      <x:c r="H309" s="12" t="n">
        <x:v>2</x:v>
      </x:c>
      <x:c r="I309" s="13" t="n">
        <x:v>9</x:v>
      </x:c>
      <x:c r="J309" t="str">
        <x:v>BAYA</x:v>
      </x:c>
      <x:c r="K309" s="14" t="n">
        <x:v>57.66</x:v>
      </x:c>
      <x:c r="L309" s="14" t="n">
        <x:v>6.15</x:v>
      </x:c>
      <x:c r="M309" s="14" t="n">
        <x:v>0</x:v>
      </x:c>
      <x:c r="N309" s="14" t="n">
        <x:v>0</x:v>
      </x:c>
      <x:c r="O309" s="14"/>
      <x:c r="P309" s="14" t="n">
        <x:v>6.15</x:v>
      </x:c>
      <x:c r="Q309" s="14" t="n">
        <x:v>63.81</x:v>
      </x:c>
      <x:c r="R309" s="15" t="n">
        <x:v>366</x:v>
      </x:c>
      <x:c r="S309" s="15" t="n">
        <x:v>366</x:v>
      </x:c>
      <x:c r="T309" s="15"/>
      <x:c r="U309" s="16" t="n">
        <x:v>6.35</x:v>
      </x:c>
      <x:c r="V309" t="str">
        <x:v>BTK</x:v>
      </x:c>
      <x:c r="W309" t="str">
        <x:v>Ružinov</x:v>
      </x:c>
      <x:c r="X309" s="11" t="str">
        <x:v>Dostupný</x:v>
      </x:c>
      <x:c r="Y309" s="11" t="str">
        <x:v>https://www.baya.btk.sk/sk/byt/904</x:v>
      </x:c>
      <x:c r="Z309" s="11" t="n">
        <x:v>46251.740894027775</x:v>
      </x:c>
      <x:c r="AA309" s="11" t="n">
        <x:v>46254.51251577547</x:v>
      </x:c>
      <x:c r="AB309" s="11" t="n">
        <x:v>46254.51251577547</x:v>
      </x:c>
      <x:c r="AC309" t="str">
        <x:v>baya</x:v>
      </x:c>
    </x:row>
    <x:row r="310" ht="22" customHeight="1">
      <x:c r="A310" t="str">
        <x:v>BAYA</x:v>
      </x:c>
      <x:c r="B310" t="str">
        <x:v>9.05</x:v>
      </x:c>
      <x:c r="C310" t="str">
        <x:v>available</x:v>
      </x:c>
      <x:c r="D310" t="str">
        <x:v>present</x:v>
      </x:c>
      <x:c r="E310" t="str">
        <x:v>baseline</x:v>
      </x:c>
      <x:c r="F310" s="11" t="n">
        <x:v>46251.740894027775</x:v>
      </x:c>
      <x:c r="G310" t="str">
        <x:v>Byt</x:v>
      </x:c>
      <x:c r="H310" s="12" t="n">
        <x:v>3</x:v>
      </x:c>
      <x:c r="I310" s="13" t="n">
        <x:v>9</x:v>
      </x:c>
      <x:c r="J310" t="str">
        <x:v>BAYA</x:v>
      </x:c>
      <x:c r="K310" s="14" t="n">
        <x:v>89.83</x:v>
      </x:c>
      <x:c r="L310" s="14" t="n">
        <x:v>14.75</x:v>
      </x:c>
      <x:c r="M310" s="14" t="n">
        <x:v>0</x:v>
      </x:c>
      <x:c r="N310" s="14" t="n">
        <x:v>0</x:v>
      </x:c>
      <x:c r="O310" s="14"/>
      <x:c r="P310" s="14" t="n">
        <x:v>14.75</x:v>
      </x:c>
      <x:c r="Q310" s="14" t="n">
        <x:v>104.58</x:v>
      </x:c>
      <x:c r="R310" s="15" t="n">
        <x:v>548</x:v>
      </x:c>
      <x:c r="S310" s="15" t="n">
        <x:v>548</x:v>
      </x:c>
      <x:c r="T310" s="15"/>
      <x:c r="U310" s="16" t="n">
        <x:v>6.1</x:v>
      </x:c>
      <x:c r="V310" t="str">
        <x:v>BTK</x:v>
      </x:c>
      <x:c r="W310" t="str">
        <x:v>Ružinov</x:v>
      </x:c>
      <x:c r="X310" s="11" t="str">
        <x:v>Dostupný</x:v>
      </x:c>
      <x:c r="Y310" s="11" t="str">
        <x:v>https://www.baya.btk.sk/sk/byt/905</x:v>
      </x:c>
      <x:c r="Z310" s="11" t="n">
        <x:v>46251.740894027775</x:v>
      </x:c>
      <x:c r="AA310" s="11" t="n">
        <x:v>46254.51251577547</x:v>
      </x:c>
      <x:c r="AB310" s="11" t="n">
        <x:v>46254.51251577547</x:v>
      </x:c>
      <x:c r="AC310" t="str">
        <x:v>baya</x:v>
      </x:c>
    </x:row>
    <x:row r="311" ht="22" customHeight="1">
      <x:c r="A311" t="str">
        <x:v>BAYA</x:v>
      </x:c>
      <x:c r="B311" t="str">
        <x:v>9.06</x:v>
      </x:c>
      <x:c r="C311" t="str">
        <x:v>available</x:v>
      </x:c>
      <x:c r="D311" t="str">
        <x:v>present</x:v>
      </x:c>
      <x:c r="E311" t="str">
        <x:v>baseline</x:v>
      </x:c>
      <x:c r="F311" s="11" t="n">
        <x:v>46251.740894027775</x:v>
      </x:c>
      <x:c r="G311" t="str">
        <x:v>Byt</x:v>
      </x:c>
      <x:c r="H311" s="12" t="n">
        <x:v>3</x:v>
      </x:c>
      <x:c r="I311" s="13" t="n">
        <x:v>9</x:v>
      </x:c>
      <x:c r="J311" t="str">
        <x:v>BAYA</x:v>
      </x:c>
      <x:c r="K311" s="14" t="n">
        <x:v>82.07</x:v>
      </x:c>
      <x:c r="L311" s="14" t="n">
        <x:v>12.3</x:v>
      </x:c>
      <x:c r="M311" s="14" t="n">
        <x:v>0</x:v>
      </x:c>
      <x:c r="N311" s="14" t="n">
        <x:v>0</x:v>
      </x:c>
      <x:c r="O311" s="14"/>
      <x:c r="P311" s="14" t="n">
        <x:v>12.3</x:v>
      </x:c>
      <x:c r="Q311" s="14" t="n">
        <x:v>94.37</x:v>
      </x:c>
      <x:c r="R311" s="15" t="n">
        <x:v>488</x:v>
      </x:c>
      <x:c r="S311" s="15" t="n">
        <x:v>488</x:v>
      </x:c>
      <x:c r="T311" s="15"/>
      <x:c r="U311" s="16" t="n">
        <x:v>5.95</x:v>
      </x:c>
      <x:c r="V311" t="str">
        <x:v>BTK</x:v>
      </x:c>
      <x:c r="W311" t="str">
        <x:v>Ružinov</x:v>
      </x:c>
      <x:c r="X311" s="11" t="str">
        <x:v>Dostupný</x:v>
      </x:c>
      <x:c r="Y311" s="11" t="str">
        <x:v>https://www.baya.btk.sk/sk/byt/906</x:v>
      </x:c>
      <x:c r="Z311" s="11" t="n">
        <x:v>46251.740894027775</x:v>
      </x:c>
      <x:c r="AA311" s="11" t="n">
        <x:v>46254.51251577547</x:v>
      </x:c>
      <x:c r="AB311" s="11" t="n">
        <x:v>46254.51251577547</x:v>
      </x:c>
      <x:c r="AC311" t="str">
        <x:v>baya</x:v>
      </x:c>
    </x:row>
    <x:row r="312" ht="22" customHeight="1">
      <x:c r="A312" t="str">
        <x:v>BAYA</x:v>
      </x:c>
      <x:c r="B312" t="str">
        <x:v>9.07</x:v>
      </x:c>
      <x:c r="C312" t="str">
        <x:v>available</x:v>
      </x:c>
      <x:c r="D312" t="str">
        <x:v>present</x:v>
      </x:c>
      <x:c r="E312" t="str">
        <x:v>baseline</x:v>
      </x:c>
      <x:c r="F312" s="11" t="n">
        <x:v>46251.740894027775</x:v>
      </x:c>
      <x:c r="G312" t="str">
        <x:v>Byt</x:v>
      </x:c>
      <x:c r="H312" s="12" t="n">
        <x:v>3</x:v>
      </x:c>
      <x:c r="I312" s="13" t="n">
        <x:v>9</x:v>
      </x:c>
      <x:c r="J312" t="str">
        <x:v>BAYA</x:v>
      </x:c>
      <x:c r="K312" s="14" t="n">
        <x:v>83.35</x:v>
      </x:c>
      <x:c r="L312" s="14" t="n">
        <x:v>5.57</x:v>
      </x:c>
      <x:c r="M312" s="14" t="n">
        <x:v>0</x:v>
      </x:c>
      <x:c r="N312" s="14" t="n">
        <x:v>0</x:v>
      </x:c>
      <x:c r="O312" s="14"/>
      <x:c r="P312" s="14" t="n">
        <x:v>5.57</x:v>
      </x:c>
      <x:c r="Q312" s="14" t="n">
        <x:v>88.92</x:v>
      </x:c>
      <x:c r="R312" s="15" t="n">
        <x:v>485</x:v>
      </x:c>
      <x:c r="S312" s="15" t="n">
        <x:v>485</x:v>
      </x:c>
      <x:c r="T312" s="15"/>
      <x:c r="U312" s="16" t="n">
        <x:v>5.82</x:v>
      </x:c>
      <x:c r="V312" t="str">
        <x:v>BTK</x:v>
      </x:c>
      <x:c r="W312" t="str">
        <x:v>Ružinov</x:v>
      </x:c>
      <x:c r="X312" s="11" t="str">
        <x:v>Dostupný</x:v>
      </x:c>
      <x:c r="Y312" s="11" t="str">
        <x:v>https://www.baya.btk.sk/sk/byt/907</x:v>
      </x:c>
      <x:c r="Z312" s="11" t="n">
        <x:v>46251.740894027775</x:v>
      </x:c>
      <x:c r="AA312" s="11" t="n">
        <x:v>46254.51251577547</x:v>
      </x:c>
      <x:c r="AB312" s="11" t="n">
        <x:v>46254.51251577547</x:v>
      </x:c>
      <x:c r="AC312" t="str">
        <x:v>baya</x:v>
      </x:c>
    </x:row>
    <x:row r="313" ht="22" customHeight="1">
      <x:c r="A313" t="str">
        <x:v>BAYA</x:v>
      </x:c>
      <x:c r="B313" t="str">
        <x:v>9.08</x:v>
      </x:c>
      <x:c r="C313" t="str">
        <x:v>sold</x:v>
      </x:c>
      <x:c r="D313" t="str">
        <x:v>present</x:v>
      </x:c>
      <x:c r="E313" t="str">
        <x:v>baseline</x:v>
      </x:c>
      <x:c r="F313" s="11" t="n">
        <x:v>46251.740894027775</x:v>
      </x:c>
      <x:c r="G313" t="str">
        <x:v>Byt</x:v>
      </x:c>
      <x:c r="H313" s="12" t="n">
        <x:v>3</x:v>
      </x:c>
      <x:c r="I313" s="13" t="n">
        <x:v>9</x:v>
      </x:c>
      <x:c r="J313" t="str">
        <x:v>BAYA</x:v>
      </x:c>
      <x:c r="K313" s="14" t="n">
        <x:v>89.74</x:v>
      </x:c>
      <x:c r="L313" s="14" t="n">
        <x:v>14.75</x:v>
      </x:c>
      <x:c r="M313" s="14" t="n">
        <x:v>0</x:v>
      </x:c>
      <x:c r="N313" s="14" t="n">
        <x:v>0</x:v>
      </x:c>
      <x:c r="O313" s="14"/>
      <x:c r="P313" s="14" t="n">
        <x:v>14.75</x:v>
      </x:c>
      <x:c r="Q313" s="14" t="n">
        <x:v>104.49</x:v>
      </x:c>
      <x:c r="R313" s="15"/>
      <x:c r="S313" s="15"/>
      <x:c r="T313" s="15"/>
      <x:c r="U313" s="16"/>
      <x:c r="V313" t="str">
        <x:v>BTK</x:v>
      </x:c>
      <x:c r="W313" t="str">
        <x:v>Ružinov</x:v>
      </x:c>
      <x:c r="X313" s="11" t="str">
        <x:v>Predané</x:v>
      </x:c>
      <x:c r="Y313" s="11" t="str">
        <x:v>https://www.baya.btk.sk/sk/byt/908</x:v>
      </x:c>
      <x:c r="Z313" s="11" t="n">
        <x:v>46251.740894027775</x:v>
      </x:c>
      <x:c r="AA313" s="11" t="n">
        <x:v>46254.51251577547</x:v>
      </x:c>
      <x:c r="AB313" s="11" t="n">
        <x:v>46254.51251577547</x:v>
      </x:c>
      <x:c r="AC313" t="str">
        <x:v>baya</x:v>
      </x:c>
    </x:row>
    <x:row r="314" ht="22" customHeight="1">
      <x:c r="A314" t="str">
        <x:v>BAYA</x:v>
      </x:c>
      <x:c r="B314" t="str">
        <x:v>9.09</x:v>
      </x:c>
      <x:c r="C314" t="str">
        <x:v>available</x:v>
      </x:c>
      <x:c r="D314" t="str">
        <x:v>present</x:v>
      </x:c>
      <x:c r="E314" t="str">
        <x:v>baseline</x:v>
      </x:c>
      <x:c r="F314" s="11" t="n">
        <x:v>46251.740894027775</x:v>
      </x:c>
      <x:c r="G314" t="str">
        <x:v>Byt</x:v>
      </x:c>
      <x:c r="H314" s="12" t="n">
        <x:v>1</x:v>
      </x:c>
      <x:c r="I314" s="13" t="n">
        <x:v>9</x:v>
      </x:c>
      <x:c r="J314" t="str">
        <x:v>BAYA</x:v>
      </x:c>
      <x:c r="K314" s="14" t="n">
        <x:v>35.35</x:v>
      </x:c>
      <x:c r="L314" s="14" t="n">
        <x:v>7.58</x:v>
      </x:c>
      <x:c r="M314" s="14" t="n">
        <x:v>0</x:v>
      </x:c>
      <x:c r="N314" s="14" t="n">
        <x:v>0</x:v>
      </x:c>
      <x:c r="O314" s="14"/>
      <x:c r="P314" s="14" t="n">
        <x:v>7.58</x:v>
      </x:c>
      <x:c r="Q314" s="14" t="n">
        <x:v>42.93</x:v>
      </x:c>
      <x:c r="R314" s="15" t="n">
        <x:v>242</x:v>
      </x:c>
      <x:c r="S314" s="15" t="n">
        <x:v>242</x:v>
      </x:c>
      <x:c r="T314" s="15"/>
      <x:c r="U314" s="16" t="n">
        <x:v>6.85</x:v>
      </x:c>
      <x:c r="V314" t="str">
        <x:v>BTK</x:v>
      </x:c>
      <x:c r="W314" t="str">
        <x:v>Ružinov</x:v>
      </x:c>
      <x:c r="X314" s="11" t="str">
        <x:v>Dostupný</x:v>
      </x:c>
      <x:c r="Y314" s="11" t="str">
        <x:v>https://www.baya.btk.sk/sk/byt/909</x:v>
      </x:c>
      <x:c r="Z314" s="11" t="n">
        <x:v>46251.740894027775</x:v>
      </x:c>
      <x:c r="AA314" s="11" t="n">
        <x:v>46254.51251577547</x:v>
      </x:c>
      <x:c r="AB314" s="11" t="n">
        <x:v>46254.51251577547</x:v>
      </x:c>
      <x:c r="AC314" t="str">
        <x:v>baya</x:v>
      </x:c>
    </x:row>
    <x:row r="315" ht="22" customHeight="1">
      <x:c r="A315" t="str">
        <x:v>BAYA</x:v>
      </x:c>
      <x:c r="B315" t="str">
        <x:v>9.10</x:v>
      </x:c>
      <x:c r="C315" t="str">
        <x:v>pre_reserved</x:v>
      </x:c>
      <x:c r="D315" t="str">
        <x:v>present</x:v>
      </x:c>
      <x:c r="E315" t="str">
        <x:v>baseline</x:v>
      </x:c>
      <x:c r="F315" s="11" t="n">
        <x:v>46251.740894027775</x:v>
      </x:c>
      <x:c r="G315" t="str">
        <x:v>Byt</x:v>
      </x:c>
      <x:c r="H315" s="12" t="n">
        <x:v>1</x:v>
      </x:c>
      <x:c r="I315" s="13" t="n">
        <x:v>9</x:v>
      </x:c>
      <x:c r="J315" t="str">
        <x:v>BAYA</x:v>
      </x:c>
      <x:c r="K315" s="14" t="n">
        <x:v>35.35</x:v>
      </x:c>
      <x:c r="L315" s="14" t="n">
        <x:v>6</x:v>
      </x:c>
      <x:c r="M315" s="14" t="n">
        <x:v>0</x:v>
      </x:c>
      <x:c r="N315" s="14" t="n">
        <x:v>0</x:v>
      </x:c>
      <x:c r="O315" s="14"/>
      <x:c r="P315" s="14" t="n">
        <x:v>6</x:v>
      </x:c>
      <x:c r="Q315" s="14" t="n">
        <x:v>41.35</x:v>
      </x:c>
      <x:c r="R315" s="15"/>
      <x:c r="S315" s="15"/>
      <x:c r="T315" s="15"/>
      <x:c r="U315" s="16"/>
      <x:c r="V315" t="str">
        <x:v>BTK</x:v>
      </x:c>
      <x:c r="W315" t="str">
        <x:v>Ružinov</x:v>
      </x:c>
      <x:c r="X315" s="11" t="str">
        <x:v>Predrezervácia</x:v>
      </x:c>
      <x:c r="Y315" s="11" t="str">
        <x:v>https://www.baya.btk.sk/sk/byt/910</x:v>
      </x:c>
      <x:c r="Z315" s="11" t="n">
        <x:v>46251.740894027775</x:v>
      </x:c>
      <x:c r="AA315" s="11" t="n">
        <x:v>46254.51251577547</x:v>
      </x:c>
      <x:c r="AB315" s="11" t="n">
        <x:v>46254.51251577547</x:v>
      </x:c>
      <x:c r="AC315" t="str">
        <x:v>baya</x:v>
      </x:c>
    </x:row>
    <x:row r="316" ht="22" customHeight="1">
      <x:c r="A316" t="str">
        <x:v>BAYA</x:v>
      </x:c>
      <x:c r="B316" t="str">
        <x:v>9.11</x:v>
      </x:c>
      <x:c r="C316" t="str">
        <x:v>sold</x:v>
      </x:c>
      <x:c r="D316" t="str">
        <x:v>present</x:v>
      </x:c>
      <x:c r="E316" t="str">
        <x:v>baseline</x:v>
      </x:c>
      <x:c r="F316" s="11" t="n">
        <x:v>46251.740894027775</x:v>
      </x:c>
      <x:c r="G316" t="str">
        <x:v>Byt</x:v>
      </x:c>
      <x:c r="H316" s="12" t="n">
        <x:v>3</x:v>
      </x:c>
      <x:c r="I316" s="13" t="n">
        <x:v>9</x:v>
      </x:c>
      <x:c r="J316" t="str">
        <x:v>BAYA</x:v>
      </x:c>
      <x:c r="K316" s="14" t="n">
        <x:v>67.15</x:v>
      </x:c>
      <x:c r="L316" s="14" t="n">
        <x:v>10.55</x:v>
      </x:c>
      <x:c r="M316" s="14" t="n">
        <x:v>0</x:v>
      </x:c>
      <x:c r="N316" s="14" t="n">
        <x:v>0</x:v>
      </x:c>
      <x:c r="O316" s="14"/>
      <x:c r="P316" s="14" t="n">
        <x:v>10.55</x:v>
      </x:c>
      <x:c r="Q316" s="14" t="n">
        <x:v>77.7</x:v>
      </x:c>
      <x:c r="R316" s="15"/>
      <x:c r="S316" s="15"/>
      <x:c r="T316" s="15"/>
      <x:c r="U316" s="16"/>
      <x:c r="V316" t="str">
        <x:v>BTK</x:v>
      </x:c>
      <x:c r="W316" t="str">
        <x:v>Ružinov</x:v>
      </x:c>
      <x:c r="X316" s="11" t="str">
        <x:v>Predané</x:v>
      </x:c>
      <x:c r="Y316" s="11" t="str">
        <x:v>https://www.baya.btk.sk/sk/byt/911</x:v>
      </x:c>
      <x:c r="Z316" s="11" t="n">
        <x:v>46251.740894027775</x:v>
      </x:c>
      <x:c r="AA316" s="11" t="n">
        <x:v>46254.51251577547</x:v>
      </x:c>
      <x:c r="AB316" s="11" t="n">
        <x:v>46254.51251577547</x:v>
      </x:c>
      <x:c r="AC316" t="str">
        <x:v>baya</x:v>
      </x:c>
    </x:row>
    <x:row r="317" ht="22" customHeight="1">
      <x:c r="A317" t="str">
        <x:v>BAYA</x:v>
      </x:c>
      <x:c r="B317" t="str">
        <x:v>9.12</x:v>
      </x:c>
      <x:c r="C317" t="str">
        <x:v>available</x:v>
      </x:c>
      <x:c r="D317" t="str">
        <x:v>present</x:v>
      </x:c>
      <x:c r="E317" t="str">
        <x:v>baseline</x:v>
      </x:c>
      <x:c r="F317" s="11" t="n">
        <x:v>46251.740894027775</x:v>
      </x:c>
      <x:c r="G317" t="str">
        <x:v>Byt</x:v>
      </x:c>
      <x:c r="H317" s="12" t="n">
        <x:v>3</x:v>
      </x:c>
      <x:c r="I317" s="13" t="n">
        <x:v>9</x:v>
      </x:c>
      <x:c r="J317" t="str">
        <x:v>BAYA</x:v>
      </x:c>
      <x:c r="K317" s="14" t="n">
        <x:v>61.2</x:v>
      </x:c>
      <x:c r="L317" s="14" t="n">
        <x:v>9.65</x:v>
      </x:c>
      <x:c r="M317" s="14" t="n">
        <x:v>0</x:v>
      </x:c>
      <x:c r="N317" s="14" t="n">
        <x:v>0</x:v>
      </x:c>
      <x:c r="O317" s="14"/>
      <x:c r="P317" s="14" t="n">
        <x:v>9.65</x:v>
      </x:c>
      <x:c r="Q317" s="14" t="n">
        <x:v>70.85</x:v>
      </x:c>
      <x:c r="R317" s="15" t="n">
        <x:v>365</x:v>
      </x:c>
      <x:c r="S317" s="15" t="n">
        <x:v>365</x:v>
      </x:c>
      <x:c r="T317" s="15"/>
      <x:c r="U317" s="16" t="n">
        <x:v>5.96</x:v>
      </x:c>
      <x:c r="V317" t="str">
        <x:v>BTK</x:v>
      </x:c>
      <x:c r="W317" t="str">
        <x:v>Ružinov</x:v>
      </x:c>
      <x:c r="X317" s="11" t="str">
        <x:v>Dostupný</x:v>
      </x:c>
      <x:c r="Y317" s="11" t="str">
        <x:v>https://www.baya.btk.sk/sk/byt/912</x:v>
      </x:c>
      <x:c r="Z317" s="11" t="n">
        <x:v>46251.740894027775</x:v>
      </x:c>
      <x:c r="AA317" s="11" t="n">
        <x:v>46254.51251577547</x:v>
      </x:c>
      <x:c r="AB317" s="11" t="n">
        <x:v>46254.51251577547</x:v>
      </x:c>
      <x:c r="AC317" t="str">
        <x:v>baya</x:v>
      </x:c>
    </x:row>
    <x:row r="318" ht="22" customHeight="1">
      <x:c r="A318" t="str">
        <x:v>BAYA</x:v>
      </x:c>
      <x:c r="B318" t="str">
        <x:v>9.13</x:v>
      </x:c>
      <x:c r="C318" t="str">
        <x:v>available</x:v>
      </x:c>
      <x:c r="D318" t="str">
        <x:v>present</x:v>
      </x:c>
      <x:c r="E318" t="str">
        <x:v>baseline</x:v>
      </x:c>
      <x:c r="F318" s="11" t="n">
        <x:v>46251.740894027775</x:v>
      </x:c>
      <x:c r="G318" t="str">
        <x:v>Byt</x:v>
      </x:c>
      <x:c r="H318" s="12" t="n">
        <x:v>3</x:v>
      </x:c>
      <x:c r="I318" s="13" t="n">
        <x:v>9</x:v>
      </x:c>
      <x:c r="J318" t="str">
        <x:v>BAYA</x:v>
      </x:c>
      <x:c r="K318" s="14" t="n">
        <x:v>58.02</x:v>
      </x:c>
      <x:c r="L318" s="14" t="n">
        <x:v>10.55</x:v>
      </x:c>
      <x:c r="M318" s="14" t="n">
        <x:v>0</x:v>
      </x:c>
      <x:c r="N318" s="14" t="n">
        <x:v>0</x:v>
      </x:c>
      <x:c r="O318" s="14"/>
      <x:c r="P318" s="14" t="n">
        <x:v>10.55</x:v>
      </x:c>
      <x:c r="Q318" s="14" t="n">
        <x:v>68.57</x:v>
      </x:c>
      <x:c r="R318" s="15" t="n">
        <x:v>357</x:v>
      </x:c>
      <x:c r="S318" s="15" t="n">
        <x:v>357</x:v>
      </x:c>
      <x:c r="T318" s="15"/>
      <x:c r="U318" s="16" t="n">
        <x:v>6.15</x:v>
      </x:c>
      <x:c r="V318" t="str">
        <x:v>BTK</x:v>
      </x:c>
      <x:c r="W318" t="str">
        <x:v>Ružinov</x:v>
      </x:c>
      <x:c r="X318" s="11" t="str">
        <x:v>Dostupný</x:v>
      </x:c>
      <x:c r="Y318" s="11" t="str">
        <x:v>https://www.baya.btk.sk/sk/byt/913</x:v>
      </x:c>
      <x:c r="Z318" s="11" t="n">
        <x:v>46251.740894027775</x:v>
      </x:c>
      <x:c r="AA318" s="11" t="n">
        <x:v>46254.51251577547</x:v>
      </x:c>
      <x:c r="AB318" s="11" t="n">
        <x:v>46254.51251577547</x:v>
      </x:c>
      <x:c r="AC318" t="str">
        <x:v>baya</x:v>
      </x:c>
    </x:row>
    <x:row r="319" ht="22" customHeight="1">
      <x:c r="A319" t="str">
        <x:v>BAYA</x:v>
      </x:c>
      <x:c r="B319" t="str">
        <x:v>9.14</x:v>
      </x:c>
      <x:c r="C319" t="str">
        <x:v>available</x:v>
      </x:c>
      <x:c r="D319" t="str">
        <x:v>present</x:v>
      </x:c>
      <x:c r="E319" t="str">
        <x:v>baseline</x:v>
      </x:c>
      <x:c r="F319" s="11" t="n">
        <x:v>46251.740894027775</x:v>
      </x:c>
      <x:c r="G319" t="str">
        <x:v>Byt</x:v>
      </x:c>
      <x:c r="H319" s="12" t="n">
        <x:v>2</x:v>
      </x:c>
      <x:c r="I319" s="13" t="n">
        <x:v>9</x:v>
      </x:c>
      <x:c r="J319" t="str">
        <x:v>BAYA</x:v>
      </x:c>
      <x:c r="K319" s="14" t="n">
        <x:v>44.75</x:v>
      </x:c>
      <x:c r="L319" s="14" t="n">
        <x:v>0</x:v>
      </x:c>
      <x:c r="M319" s="14" t="n">
        <x:v>15.13</x:v>
      </x:c>
      <x:c r="N319" s="14" t="n">
        <x:v>0</x:v>
      </x:c>
      <x:c r="O319" s="14"/>
      <x:c r="P319" s="14" t="n">
        <x:v>15.13</x:v>
      </x:c>
      <x:c r="Q319" s="14" t="n">
        <x:v>59.88</x:v>
      </x:c>
      <x:c r="R319" s="15" t="n">
        <x:v>297</x:v>
      </x:c>
      <x:c r="S319" s="15" t="n">
        <x:v>297</x:v>
      </x:c>
      <x:c r="T319" s="15"/>
      <x:c r="U319" s="16" t="n">
        <x:v>6.64</x:v>
      </x:c>
      <x:c r="V319" t="str">
        <x:v>BTK</x:v>
      </x:c>
      <x:c r="W319" t="str">
        <x:v>Ružinov</x:v>
      </x:c>
      <x:c r="X319" s="11" t="str">
        <x:v>Dostupný</x:v>
      </x:c>
      <x:c r="Y319" s="11" t="str">
        <x:v>https://www.baya.btk.sk/sk/byt/914</x:v>
      </x:c>
      <x:c r="Z319" s="11" t="n">
        <x:v>46251.740894027775</x:v>
      </x:c>
      <x:c r="AA319" s="11" t="n">
        <x:v>46254.51251577547</x:v>
      </x:c>
      <x:c r="AB319" s="11" t="n">
        <x:v>46254.51251577547</x:v>
      </x:c>
      <x:c r="AC319" t="str">
        <x:v>baya</x:v>
      </x:c>
    </x:row>
    <x:row r="320" ht="22" customHeight="1">
      <x:c r="A320" t="str">
        <x:v>BAYA</x:v>
      </x:c>
      <x:c r="B320" t="str">
        <x:v>9.15</x:v>
      </x:c>
      <x:c r="C320" t="str">
        <x:v>available</x:v>
      </x:c>
      <x:c r="D320" t="str">
        <x:v>present</x:v>
      </x:c>
      <x:c r="E320" t="str">
        <x:v>baseline</x:v>
      </x:c>
      <x:c r="F320" s="11" t="n">
        <x:v>46251.740894027775</x:v>
      </x:c>
      <x:c r="G320" t="str">
        <x:v>Byt</x:v>
      </x:c>
      <x:c r="H320" s="12" t="n">
        <x:v>1</x:v>
      </x:c>
      <x:c r="I320" s="13" t="n">
        <x:v>9</x:v>
      </x:c>
      <x:c r="J320" t="str">
        <x:v>BAYA</x:v>
      </x:c>
      <x:c r="K320" s="14" t="n">
        <x:v>31.87</x:v>
      </x:c>
      <x:c r="L320" s="14" t="n">
        <x:v>7.58</x:v>
      </x:c>
      <x:c r="M320" s="14" t="n">
        <x:v>0</x:v>
      </x:c>
      <x:c r="N320" s="14" t="n">
        <x:v>0</x:v>
      </x:c>
      <x:c r="O320" s="14"/>
      <x:c r="P320" s="14" t="n">
        <x:v>7.58</x:v>
      </x:c>
      <x:c r="Q320" s="14" t="n">
        <x:v>39.45</x:v>
      </x:c>
      <x:c r="R320" s="15" t="n">
        <x:v>220</x:v>
      </x:c>
      <x:c r="S320" s="15" t="n">
        <x:v>220</x:v>
      </x:c>
      <x:c r="T320" s="15"/>
      <x:c r="U320" s="16" t="n">
        <x:v>6.9</x:v>
      </x:c>
      <x:c r="V320" t="str">
        <x:v>BTK</x:v>
      </x:c>
      <x:c r="W320" t="str">
        <x:v>Ružinov</x:v>
      </x:c>
      <x:c r="X320" s="11" t="str">
        <x:v>Dostupný</x:v>
      </x:c>
      <x:c r="Y320" s="11" t="str">
        <x:v>https://www.baya.btk.sk/sk/byt/915</x:v>
      </x:c>
      <x:c r="Z320" s="11" t="n">
        <x:v>46251.740894027775</x:v>
      </x:c>
      <x:c r="AA320" s="11" t="n">
        <x:v>46254.51251577547</x:v>
      </x:c>
      <x:c r="AB320" s="11" t="n">
        <x:v>46254.51251577547</x:v>
      </x:c>
      <x:c r="AC320" t="str">
        <x:v>baya</x:v>
      </x:c>
    </x:row>
    <x:row r="321" ht="22" customHeight="1">
      <x:c r="A321" t="str">
        <x:v>BAYA</x:v>
      </x:c>
      <x:c r="B321" t="str">
        <x:v>9.16</x:v>
      </x:c>
      <x:c r="C321" t="str">
        <x:v>sold</x:v>
      </x:c>
      <x:c r="D321" t="str">
        <x:v>present</x:v>
      </x:c>
      <x:c r="E321" t="str">
        <x:v>baseline</x:v>
      </x:c>
      <x:c r="F321" s="11" t="n">
        <x:v>46251.740894027775</x:v>
      </x:c>
      <x:c r="G321" t="str">
        <x:v>Byt</x:v>
      </x:c>
      <x:c r="H321" s="12" t="n">
        <x:v>1</x:v>
      </x:c>
      <x:c r="I321" s="13" t="n">
        <x:v>9</x:v>
      </x:c>
      <x:c r="J321" t="str">
        <x:v>BAYA</x:v>
      </x:c>
      <x:c r="K321" s="14" t="n">
        <x:v>31.87</x:v>
      </x:c>
      <x:c r="L321" s="14" t="n">
        <x:v>0</x:v>
      </x:c>
      <x:c r="M321" s="14" t="n">
        <x:v>8.27</x:v>
      </x:c>
      <x:c r="N321" s="14" t="n">
        <x:v>0</x:v>
      </x:c>
      <x:c r="O321" s="14"/>
      <x:c r="P321" s="14" t="n">
        <x:v>8.27</x:v>
      </x:c>
      <x:c r="Q321" s="14" t="n">
        <x:v>40.14</x:v>
      </x:c>
      <x:c r="R321" s="15"/>
      <x:c r="S321" s="15"/>
      <x:c r="T321" s="15"/>
      <x:c r="U321" s="16"/>
      <x:c r="V321" t="str">
        <x:v>BTK</x:v>
      </x:c>
      <x:c r="W321" t="str">
        <x:v>Ružinov</x:v>
      </x:c>
      <x:c r="X321" s="11" t="str">
        <x:v>Predané</x:v>
      </x:c>
      <x:c r="Y321" s="11" t="str">
        <x:v>https://www.baya.btk.sk/sk/byt/916</x:v>
      </x:c>
      <x:c r="Z321" s="11" t="n">
        <x:v>46251.740894027775</x:v>
      </x:c>
      <x:c r="AA321" s="11" t="n">
        <x:v>46254.51251577547</x:v>
      </x:c>
      <x:c r="AB321" s="11" t="n">
        <x:v>46254.51251577547</x:v>
      </x:c>
      <x:c r="AC321" t="str">
        <x:v>baya</x:v>
      </x:c>
    </x:row>
    <x:row r="322" ht="22" customHeight="1">
      <x:c r="A322" t="str">
        <x:v>BAYA</x:v>
      </x:c>
      <x:c r="B322" t="str">
        <x:v>9.17</x:v>
      </x:c>
      <x:c r="C322" t="str">
        <x:v>pre_reserved</x:v>
      </x:c>
      <x:c r="D322" t="str">
        <x:v>present</x:v>
      </x:c>
      <x:c r="E322" t="str">
        <x:v>baseline</x:v>
      </x:c>
      <x:c r="F322" s="11" t="n">
        <x:v>46251.740894027775</x:v>
      </x:c>
      <x:c r="G322" t="str">
        <x:v>Byt</x:v>
      </x:c>
      <x:c r="H322" s="12" t="n">
        <x:v>3</x:v>
      </x:c>
      <x:c r="I322" s="13" t="n">
        <x:v>9</x:v>
      </x:c>
      <x:c r="J322" t="str">
        <x:v>BAYA</x:v>
      </x:c>
      <x:c r="K322" s="14" t="n">
        <x:v>73.58</x:v>
      </x:c>
      <x:c r="L322" s="14" t="n">
        <x:v>12.5</x:v>
      </x:c>
      <x:c r="M322" s="14" t="n">
        <x:v>0</x:v>
      </x:c>
      <x:c r="N322" s="14" t="n">
        <x:v>0</x:v>
      </x:c>
      <x:c r="O322" s="14"/>
      <x:c r="P322" s="14" t="n">
        <x:v>12.5</x:v>
      </x:c>
      <x:c r="Q322" s="14" t="n">
        <x:v>86.08</x:v>
      </x:c>
      <x:c r="R322" s="15"/>
      <x:c r="S322" s="15"/>
      <x:c r="T322" s="15"/>
      <x:c r="U322" s="16"/>
      <x:c r="V322" t="str">
        <x:v>BTK</x:v>
      </x:c>
      <x:c r="W322" t="str">
        <x:v>Ružinov</x:v>
      </x:c>
      <x:c r="X322" s="11" t="str">
        <x:v>Predrezervácia</x:v>
      </x:c>
      <x:c r="Y322" s="11" t="str">
        <x:v>https://www.baya.btk.sk/sk/byt/917</x:v>
      </x:c>
      <x:c r="Z322" s="11" t="n">
        <x:v>46251.740894027775</x:v>
      </x:c>
      <x:c r="AA322" s="11" t="n">
        <x:v>46254.51251577547</x:v>
      </x:c>
      <x:c r="AB322" s="11" t="n">
        <x:v>46254.51251577547</x:v>
      </x:c>
      <x:c r="AC322" t="str">
        <x:v>baya</x:v>
      </x:c>
    </x:row>
    <x:row r="323" ht="22" customHeight="1">
      <x:c r="A323" t="str">
        <x:v>BAYA</x:v>
      </x:c>
      <x:c r="B323" t="str">
        <x:v>9.18</x:v>
      </x:c>
      <x:c r="C323" t="str">
        <x:v>available</x:v>
      </x:c>
      <x:c r="D323" t="str">
        <x:v>present</x:v>
      </x:c>
      <x:c r="E323" t="str">
        <x:v>baseline</x:v>
      </x:c>
      <x:c r="F323" s="11" t="n">
        <x:v>46251.740894027775</x:v>
      </x:c>
      <x:c r="G323" t="str">
        <x:v>Byt</x:v>
      </x:c>
      <x:c r="H323" s="12" t="n">
        <x:v>3</x:v>
      </x:c>
      <x:c r="I323" s="13" t="n">
        <x:v>9</x:v>
      </x:c>
      <x:c r="J323" t="str">
        <x:v>BAYA</x:v>
      </x:c>
      <x:c r="K323" s="14" t="n">
        <x:v>80.99</x:v>
      </x:c>
      <x:c r="L323" s="14" t="n">
        <x:v>0</x:v>
      </x:c>
      <x:c r="M323" s="14" t="n">
        <x:v>17.49</x:v>
      </x:c>
      <x:c r="N323" s="14" t="n">
        <x:v>0</x:v>
      </x:c>
      <x:c r="O323" s="14"/>
      <x:c r="P323" s="14" t="n">
        <x:v>17.49</x:v>
      </x:c>
      <x:c r="Q323" s="14" t="n">
        <x:v>98.48</x:v>
      </x:c>
      <x:c r="R323" s="15" t="n">
        <x:v>477</x:v>
      </x:c>
      <x:c r="S323" s="15" t="n">
        <x:v>477</x:v>
      </x:c>
      <x:c r="T323" s="15"/>
      <x:c r="U323" s="16" t="n">
        <x:v>5.89</x:v>
      </x:c>
      <x:c r="V323" t="str">
        <x:v>BTK</x:v>
      </x:c>
      <x:c r="W323" t="str">
        <x:v>Ružinov</x:v>
      </x:c>
      <x:c r="X323" s="11" t="str">
        <x:v>Dostupný</x:v>
      </x:c>
      <x:c r="Y323" s="11" t="str">
        <x:v>https://www.baya.btk.sk/sk/byt/918</x:v>
      </x:c>
      <x:c r="Z323" s="11" t="n">
        <x:v>46251.740894027775</x:v>
      </x:c>
      <x:c r="AA323" s="11" t="n">
        <x:v>46254.51251577547</x:v>
      </x:c>
      <x:c r="AB323" s="11" t="n">
        <x:v>46254.51251577547</x:v>
      </x:c>
      <x:c r="AC323" t="str">
        <x:v>baya</x:v>
      </x:c>
    </x:row>
    <x:row r="324" ht="22" customHeight="1">
      <x:c r="A324" t="str">
        <x:v>BAYA</x:v>
      </x:c>
      <x:c r="B324" t="str">
        <x:v>9.19</x:v>
      </x:c>
      <x:c r="C324" t="str">
        <x:v>sold</x:v>
      </x:c>
      <x:c r="D324" t="str">
        <x:v>present</x:v>
      </x:c>
      <x:c r="E324" t="str">
        <x:v>baseline</x:v>
      </x:c>
      <x:c r="F324" s="11" t="n">
        <x:v>46251.740894027775</x:v>
      </x:c>
      <x:c r="G324" t="str">
        <x:v>Byt</x:v>
      </x:c>
      <x:c r="H324" s="12" t="n">
        <x:v>4</x:v>
      </x:c>
      <x:c r="I324" s="13" t="n">
        <x:v>9</x:v>
      </x:c>
      <x:c r="J324" t="str">
        <x:v>BAYA</x:v>
      </x:c>
      <x:c r="K324" s="14" t="n">
        <x:v>88.57</x:v>
      </x:c>
      <x:c r="L324" s="14" t="n">
        <x:v>18.93</x:v>
      </x:c>
      <x:c r="M324" s="14" t="n">
        <x:v>0</x:v>
      </x:c>
      <x:c r="N324" s="14" t="n">
        <x:v>0</x:v>
      </x:c>
      <x:c r="O324" s="14"/>
      <x:c r="P324" s="14" t="n">
        <x:v>18.93</x:v>
      </x:c>
      <x:c r="Q324" s="14" t="n">
        <x:v>107.5</x:v>
      </x:c>
      <x:c r="R324" s="15"/>
      <x:c r="S324" s="15"/>
      <x:c r="T324" s="15"/>
      <x:c r="U324" s="16"/>
      <x:c r="V324" t="str">
        <x:v>BTK</x:v>
      </x:c>
      <x:c r="W324" t="str">
        <x:v>Ružinov</x:v>
      </x:c>
      <x:c r="X324" s="11" t="str">
        <x:v>Predané</x:v>
      </x:c>
      <x:c r="Y324" s="11" t="str">
        <x:v>https://www.baya.btk.sk/sk/byt/919</x:v>
      </x:c>
      <x:c r="Z324" s="11" t="n">
        <x:v>46251.740894027775</x:v>
      </x:c>
      <x:c r="AA324" s="11" t="n">
        <x:v>46254.51251577547</x:v>
      </x:c>
      <x:c r="AB324" s="11" t="n">
        <x:v>46254.51251577547</x:v>
      </x:c>
      <x:c r="AC324" t="str">
        <x:v>baya</x:v>
      </x:c>
    </x:row>
    <x:row r="325" ht="22" customHeight="1">
      <x:c r="A325" t="str">
        <x:v>BAYA</x:v>
      </x:c>
      <x:c r="B325" t="str">
        <x:v>9.20</x:v>
      </x:c>
      <x:c r="C325" t="str">
        <x:v>available</x:v>
      </x:c>
      <x:c r="D325" t="str">
        <x:v>present</x:v>
      </x:c>
      <x:c r="E325" t="str">
        <x:v>baseline</x:v>
      </x:c>
      <x:c r="F325" s="11" t="n">
        <x:v>46251.740894027775</x:v>
      </x:c>
      <x:c r="G325" t="str">
        <x:v>Byt</x:v>
      </x:c>
      <x:c r="H325" s="12" t="n">
        <x:v>3</x:v>
      </x:c>
      <x:c r="I325" s="13" t="n">
        <x:v>9</x:v>
      </x:c>
      <x:c r="J325" t="str">
        <x:v>BAYA</x:v>
      </x:c>
      <x:c r="K325" s="14" t="n">
        <x:v>77.19</x:v>
      </x:c>
      <x:c r="L325" s="14" t="n">
        <x:v>0</x:v>
      </x:c>
      <x:c r="M325" s="14" t="n">
        <x:v>18.92</x:v>
      </x:c>
      <x:c r="N325" s="14" t="n">
        <x:v>0</x:v>
      </x:c>
      <x:c r="O325" s="14"/>
      <x:c r="P325" s="14" t="n">
        <x:v>18.92</x:v>
      </x:c>
      <x:c r="Q325" s="14" t="n">
        <x:v>96.11</x:v>
      </x:c>
      <x:c r="R325" s="15" t="n">
        <x:v>459</x:v>
      </x:c>
      <x:c r="S325" s="15" t="n">
        <x:v>459</x:v>
      </x:c>
      <x:c r="T325" s="15"/>
      <x:c r="U325" s="16" t="n">
        <x:v>5.95</x:v>
      </x:c>
      <x:c r="V325" t="str">
        <x:v>BTK</x:v>
      </x:c>
      <x:c r="W325" t="str">
        <x:v>Ružinov</x:v>
      </x:c>
      <x:c r="X325" s="11" t="str">
        <x:v>Dostupný</x:v>
      </x:c>
      <x:c r="Y325" s="11" t="str">
        <x:v>https://www.baya.btk.sk/sk/byt/920</x:v>
      </x:c>
      <x:c r="Z325" s="11" t="n">
        <x:v>46251.740894027775</x:v>
      </x:c>
      <x:c r="AA325" s="11" t="n">
        <x:v>46254.51251577547</x:v>
      </x:c>
      <x:c r="AB325" s="11" t="n">
        <x:v>46254.51251577547</x:v>
      </x:c>
      <x:c r="AC325" t="str">
        <x:v>baya</x:v>
      </x:c>
    </x:row>
    <x:row r="326" ht="22" customHeight="1">
      <x:c r="A326" t="str">
        <x:v>BAYA</x:v>
      </x:c>
      <x:c r="B326" t="str">
        <x:v>10.01</x:v>
      </x:c>
      <x:c r="C326" t="str">
        <x:v>available</x:v>
      </x:c>
      <x:c r="D326" t="str">
        <x:v>present</x:v>
      </x:c>
      <x:c r="E326" t="str">
        <x:v>baseline</x:v>
      </x:c>
      <x:c r="F326" s="11" t="n">
        <x:v>46251.740894027775</x:v>
      </x:c>
      <x:c r="G326" t="str">
        <x:v>Byt</x:v>
      </x:c>
      <x:c r="H326" s="12" t="n">
        <x:v>3</x:v>
      </x:c>
      <x:c r="I326" s="13" t="n">
        <x:v>10</x:v>
      </x:c>
      <x:c r="J326" t="str">
        <x:v>BAYA</x:v>
      </x:c>
      <x:c r="K326" s="14" t="n">
        <x:v>73.04</x:v>
      </x:c>
      <x:c r="L326" s="14" t="n">
        <x:v>13.05</x:v>
      </x:c>
      <x:c r="M326" s="14" t="n">
        <x:v>0</x:v>
      </x:c>
      <x:c r="N326" s="14" t="n">
        <x:v>0</x:v>
      </x:c>
      <x:c r="O326" s="14"/>
      <x:c r="P326" s="14" t="n">
        <x:v>13.05</x:v>
      </x:c>
      <x:c r="Q326" s="14" t="n">
        <x:v>86.09</x:v>
      </x:c>
      <x:c r="R326" s="15" t="n">
        <x:v>451</x:v>
      </x:c>
      <x:c r="S326" s="15" t="n">
        <x:v>451</x:v>
      </x:c>
      <x:c r="T326" s="15"/>
      <x:c r="U326" s="16" t="n">
        <x:v>6.17</x:v>
      </x:c>
      <x:c r="V326" t="str">
        <x:v>BTK</x:v>
      </x:c>
      <x:c r="W326" t="str">
        <x:v>Ružinov</x:v>
      </x:c>
      <x:c r="X326" s="11" t="str">
        <x:v>Dostupný</x:v>
      </x:c>
      <x:c r="Y326" s="11" t="str">
        <x:v>https://www.baya.btk.sk/sk/byt/1001</x:v>
      </x:c>
      <x:c r="Z326" s="11" t="n">
        <x:v>46251.740894027775</x:v>
      </x:c>
      <x:c r="AA326" s="11" t="n">
        <x:v>46254.51251577547</x:v>
      </x:c>
      <x:c r="AB326" s="11" t="n">
        <x:v>46254.51251577547</x:v>
      </x:c>
      <x:c r="AC326" t="str">
        <x:v>baya</x:v>
      </x:c>
    </x:row>
    <x:row r="327" ht="22" customHeight="1">
      <x:c r="A327" t="str">
        <x:v>BAYA</x:v>
      </x:c>
      <x:c r="B327" t="str">
        <x:v>10.02</x:v>
      </x:c>
      <x:c r="C327" t="str">
        <x:v>pre_reserved</x:v>
      </x:c>
      <x:c r="D327" t="str">
        <x:v>present</x:v>
      </x:c>
      <x:c r="E327" t="str">
        <x:v>baseline</x:v>
      </x:c>
      <x:c r="F327" s="11" t="n">
        <x:v>46251.740894027775</x:v>
      </x:c>
      <x:c r="G327" t="str">
        <x:v>Byt</x:v>
      </x:c>
      <x:c r="H327" s="12" t="n">
        <x:v>3</x:v>
      </x:c>
      <x:c r="I327" s="13" t="n">
        <x:v>10</x:v>
      </x:c>
      <x:c r="J327" t="str">
        <x:v>BAYA</x:v>
      </x:c>
      <x:c r="K327" s="14" t="n">
        <x:v>73.11</x:v>
      </x:c>
      <x:c r="L327" s="14" t="n">
        <x:v>7.8</x:v>
      </x:c>
      <x:c r="M327" s="14" t="n">
        <x:v>0</x:v>
      </x:c>
      <x:c r="N327" s="14" t="n">
        <x:v>0</x:v>
      </x:c>
      <x:c r="O327" s="14"/>
      <x:c r="P327" s="14" t="n">
        <x:v>7.8</x:v>
      </x:c>
      <x:c r="Q327" s="14" t="n">
        <x:v>80.91</x:v>
      </x:c>
      <x:c r="R327" s="15"/>
      <x:c r="S327" s="15"/>
      <x:c r="T327" s="15"/>
      <x:c r="U327" s="16"/>
      <x:c r="V327" t="str">
        <x:v>BTK</x:v>
      </x:c>
      <x:c r="W327" t="str">
        <x:v>Ružinov</x:v>
      </x:c>
      <x:c r="X327" s="11" t="str">
        <x:v>Predrezervácia</x:v>
      </x:c>
      <x:c r="Y327" s="11" t="str">
        <x:v>https://www.baya.btk.sk/sk/byt/1002</x:v>
      </x:c>
      <x:c r="Z327" s="11" t="n">
        <x:v>46251.740894027775</x:v>
      </x:c>
      <x:c r="AA327" s="11" t="n">
        <x:v>46254.51251577547</x:v>
      </x:c>
      <x:c r="AB327" s="11" t="n">
        <x:v>46254.51251577547</x:v>
      </x:c>
      <x:c r="AC327" t="str">
        <x:v>baya</x:v>
      </x:c>
    </x:row>
    <x:row r="328" ht="22" customHeight="1">
      <x:c r="A328" t="str">
        <x:v>BAYA</x:v>
      </x:c>
      <x:c r="B328" t="str">
        <x:v>10.03</x:v>
      </x:c>
      <x:c r="C328" t="str">
        <x:v>available</x:v>
      </x:c>
      <x:c r="D328" t="str">
        <x:v>present</x:v>
      </x:c>
      <x:c r="E328" t="str">
        <x:v>baseline</x:v>
      </x:c>
      <x:c r="F328" s="11" t="n">
        <x:v>46251.740894027775</x:v>
      </x:c>
      <x:c r="G328" t="str">
        <x:v>Byt</x:v>
      </x:c>
      <x:c r="H328" s="12" t="n">
        <x:v>2</x:v>
      </x:c>
      <x:c r="I328" s="13" t="n">
        <x:v>10</x:v>
      </x:c>
      <x:c r="J328" t="str">
        <x:v>BAYA</x:v>
      </x:c>
      <x:c r="K328" s="14" t="n">
        <x:v>57.66</x:v>
      </x:c>
      <x:c r="L328" s="14" t="n">
        <x:v>8.6</x:v>
      </x:c>
      <x:c r="M328" s="14" t="n">
        <x:v>0</x:v>
      </x:c>
      <x:c r="N328" s="14" t="n">
        <x:v>0</x:v>
      </x:c>
      <x:c r="O328" s="14"/>
      <x:c r="P328" s="14" t="n">
        <x:v>8.6</x:v>
      </x:c>
      <x:c r="Q328" s="14" t="n">
        <x:v>66.26</x:v>
      </x:c>
      <x:c r="R328" s="15" t="n">
        <x:v>382</x:v>
      </x:c>
      <x:c r="S328" s="15" t="n">
        <x:v>382</x:v>
      </x:c>
      <x:c r="T328" s="15"/>
      <x:c r="U328" s="16" t="n">
        <x:v>6.63</x:v>
      </x:c>
      <x:c r="V328" t="str">
        <x:v>BTK</x:v>
      </x:c>
      <x:c r="W328" t="str">
        <x:v>Ružinov</x:v>
      </x:c>
      <x:c r="X328" s="11" t="str">
        <x:v>Dostupný</x:v>
      </x:c>
      <x:c r="Y328" s="11" t="str">
        <x:v>https://www.baya.btk.sk/sk/byt/1003</x:v>
      </x:c>
      <x:c r="Z328" s="11" t="n">
        <x:v>46251.740894027775</x:v>
      </x:c>
      <x:c r="AA328" s="11" t="n">
        <x:v>46254.51251577547</x:v>
      </x:c>
      <x:c r="AB328" s="11" t="n">
        <x:v>46254.51251577547</x:v>
      </x:c>
      <x:c r="AC328" t="str">
        <x:v>baya</x:v>
      </x:c>
    </x:row>
    <x:row r="329" ht="22" customHeight="1">
      <x:c r="A329" t="str">
        <x:v>BAYA</x:v>
      </x:c>
      <x:c r="B329" t="str">
        <x:v>10.04</x:v>
      </x:c>
      <x:c r="C329" t="str">
        <x:v>available</x:v>
      </x:c>
      <x:c r="D329" t="str">
        <x:v>present</x:v>
      </x:c>
      <x:c r="E329" t="str">
        <x:v>baseline</x:v>
      </x:c>
      <x:c r="F329" s="11" t="n">
        <x:v>46251.740894027775</x:v>
      </x:c>
      <x:c r="G329" t="str">
        <x:v>Byt</x:v>
      </x:c>
      <x:c r="H329" s="12" t="n">
        <x:v>2</x:v>
      </x:c>
      <x:c r="I329" s="13" t="n">
        <x:v>10</x:v>
      </x:c>
      <x:c r="J329" t="str">
        <x:v>BAYA</x:v>
      </x:c>
      <x:c r="K329" s="14" t="n">
        <x:v>57.66</x:v>
      </x:c>
      <x:c r="L329" s="14" t="n">
        <x:v>8.6</x:v>
      </x:c>
      <x:c r="M329" s="14" t="n">
        <x:v>0</x:v>
      </x:c>
      <x:c r="N329" s="14" t="n">
        <x:v>0</x:v>
      </x:c>
      <x:c r="O329" s="14"/>
      <x:c r="P329" s="14" t="n">
        <x:v>8.6</x:v>
      </x:c>
      <x:c r="Q329" s="14" t="n">
        <x:v>66.26</x:v>
      </x:c>
      <x:c r="R329" s="15" t="n">
        <x:v>376</x:v>
      </x:c>
      <x:c r="S329" s="15" t="n">
        <x:v>376</x:v>
      </x:c>
      <x:c r="T329" s="15"/>
      <x:c r="U329" s="16" t="n">
        <x:v>6.52</x:v>
      </x:c>
      <x:c r="V329" t="str">
        <x:v>BTK</x:v>
      </x:c>
      <x:c r="W329" t="str">
        <x:v>Ružinov</x:v>
      </x:c>
      <x:c r="X329" s="11" t="str">
        <x:v>Dostupný</x:v>
      </x:c>
      <x:c r="Y329" s="11" t="str">
        <x:v>https://www.baya.btk.sk/sk/byt/1004</x:v>
      </x:c>
      <x:c r="Z329" s="11" t="n">
        <x:v>46251.740894027775</x:v>
      </x:c>
      <x:c r="AA329" s="11" t="n">
        <x:v>46254.51251577547</x:v>
      </x:c>
      <x:c r="AB329" s="11" t="n">
        <x:v>46254.51251577547</x:v>
      </x:c>
      <x:c r="AC329" t="str">
        <x:v>baya</x:v>
      </x:c>
    </x:row>
    <x:row r="330" ht="22" customHeight="1">
      <x:c r="A330" t="str">
        <x:v>BAYA</x:v>
      </x:c>
      <x:c r="B330" t="str">
        <x:v>10.05</x:v>
      </x:c>
      <x:c r="C330" t="str">
        <x:v>available</x:v>
      </x:c>
      <x:c r="D330" t="str">
        <x:v>present</x:v>
      </x:c>
      <x:c r="E330" t="str">
        <x:v>baseline</x:v>
      </x:c>
      <x:c r="F330" s="11" t="n">
        <x:v>46251.740894027775</x:v>
      </x:c>
      <x:c r="G330" t="str">
        <x:v>Byt</x:v>
      </x:c>
      <x:c r="H330" s="12" t="n">
        <x:v>3</x:v>
      </x:c>
      <x:c r="I330" s="13" t="n">
        <x:v>10</x:v>
      </x:c>
      <x:c r="J330" t="str">
        <x:v>BAYA</x:v>
      </x:c>
      <x:c r="K330" s="14" t="n">
        <x:v>89.83</x:v>
      </x:c>
      <x:c r="L330" s="14" t="n">
        <x:v>11.15</x:v>
      </x:c>
      <x:c r="M330" s="14" t="n">
        <x:v>0</x:v>
      </x:c>
      <x:c r="N330" s="14" t="n">
        <x:v>0</x:v>
      </x:c>
      <x:c r="O330" s="14"/>
      <x:c r="P330" s="14" t="n">
        <x:v>11.15</x:v>
      </x:c>
      <x:c r="Q330" s="14" t="n">
        <x:v>100.98</x:v>
      </x:c>
      <x:c r="R330" s="15" t="n">
        <x:v>541</x:v>
      </x:c>
      <x:c r="S330" s="15" t="n">
        <x:v>541</x:v>
      </x:c>
      <x:c r="T330" s="15"/>
      <x:c r="U330" s="16" t="n">
        <x:v>6.02</x:v>
      </x:c>
      <x:c r="V330" t="str">
        <x:v>BTK</x:v>
      </x:c>
      <x:c r="W330" t="str">
        <x:v>Ružinov</x:v>
      </x:c>
      <x:c r="X330" s="11" t="str">
        <x:v>Dostupný</x:v>
      </x:c>
      <x:c r="Y330" s="11" t="str">
        <x:v>https://www.baya.btk.sk/sk/byt/1005</x:v>
      </x:c>
      <x:c r="Z330" s="11" t="n">
        <x:v>46251.740894027775</x:v>
      </x:c>
      <x:c r="AA330" s="11" t="n">
        <x:v>46254.51251577547</x:v>
      </x:c>
      <x:c r="AB330" s="11" t="n">
        <x:v>46254.51251577547</x:v>
      </x:c>
      <x:c r="AC330" t="str">
        <x:v>baya</x:v>
      </x:c>
    </x:row>
    <x:row r="331" ht="22" customHeight="1">
      <x:c r="A331" t="str">
        <x:v>BAYA</x:v>
      </x:c>
      <x:c r="B331" t="str">
        <x:v>10.06</x:v>
      </x:c>
      <x:c r="C331" t="str">
        <x:v>available</x:v>
      </x:c>
      <x:c r="D331" t="str">
        <x:v>present</x:v>
      </x:c>
      <x:c r="E331" t="str">
        <x:v>baseline</x:v>
      </x:c>
      <x:c r="F331" s="11" t="n">
        <x:v>46251.740894027775</x:v>
      </x:c>
      <x:c r="G331" t="str">
        <x:v>Byt</x:v>
      </x:c>
      <x:c r="H331" s="12" t="n">
        <x:v>3</x:v>
      </x:c>
      <x:c r="I331" s="13" t="n">
        <x:v>10</x:v>
      </x:c>
      <x:c r="J331" t="str">
        <x:v>BAYA</x:v>
      </x:c>
      <x:c r="K331" s="14" t="n">
        <x:v>82.07</x:v>
      </x:c>
      <x:c r="L331" s="14" t="n">
        <x:v>11.15</x:v>
      </x:c>
      <x:c r="M331" s="14" t="n">
        <x:v>0</x:v>
      </x:c>
      <x:c r="N331" s="14" t="n">
        <x:v>0</x:v>
      </x:c>
      <x:c r="O331" s="14"/>
      <x:c r="P331" s="14" t="n">
        <x:v>11.15</x:v>
      </x:c>
      <x:c r="Q331" s="14" t="n">
        <x:v>93.22</x:v>
      </x:c>
      <x:c r="R331" s="15" t="n">
        <x:v>488</x:v>
      </x:c>
      <x:c r="S331" s="15" t="n">
        <x:v>488</x:v>
      </x:c>
      <x:c r="T331" s="15"/>
      <x:c r="U331" s="16" t="n">
        <x:v>5.95</x:v>
      </x:c>
      <x:c r="V331" t="str">
        <x:v>BTK</x:v>
      </x:c>
      <x:c r="W331" t="str">
        <x:v>Ružinov</x:v>
      </x:c>
      <x:c r="X331" s="11" t="str">
        <x:v>Dostupný</x:v>
      </x:c>
      <x:c r="Y331" s="11" t="str">
        <x:v>https://www.baya.btk.sk/sk/byt/1006</x:v>
      </x:c>
      <x:c r="Z331" s="11" t="n">
        <x:v>46251.740894027775</x:v>
      </x:c>
      <x:c r="AA331" s="11" t="n">
        <x:v>46254.51251577547</x:v>
      </x:c>
      <x:c r="AB331" s="11" t="n">
        <x:v>46254.51251577547</x:v>
      </x:c>
      <x:c r="AC331" t="str">
        <x:v>baya</x:v>
      </x:c>
    </x:row>
    <x:row r="332" ht="22" customHeight="1">
      <x:c r="A332" t="str">
        <x:v>BAYA</x:v>
      </x:c>
      <x:c r="B332" t="str">
        <x:v>10.07</x:v>
      </x:c>
      <x:c r="C332" t="str">
        <x:v>available</x:v>
      </x:c>
      <x:c r="D332" t="str">
        <x:v>present</x:v>
      </x:c>
      <x:c r="E332" t="str">
        <x:v>baseline</x:v>
      </x:c>
      <x:c r="F332" s="11" t="n">
        <x:v>46251.740894027775</x:v>
      </x:c>
      <x:c r="G332" t="str">
        <x:v>Byt</x:v>
      </x:c>
      <x:c r="H332" s="12" t="n">
        <x:v>3</x:v>
      </x:c>
      <x:c r="I332" s="13" t="n">
        <x:v>10</x:v>
      </x:c>
      <x:c r="J332" t="str">
        <x:v>BAYA</x:v>
      </x:c>
      <x:c r="K332" s="14" t="n">
        <x:v>83.35</x:v>
      </x:c>
      <x:c r="L332" s="14" t="n">
        <x:v>5.57</x:v>
      </x:c>
      <x:c r="M332" s="14" t="n">
        <x:v>0</x:v>
      </x:c>
      <x:c r="N332" s="14" t="n">
        <x:v>0</x:v>
      </x:c>
      <x:c r="O332" s="14"/>
      <x:c r="P332" s="14" t="n">
        <x:v>5.57</x:v>
      </x:c>
      <x:c r="Q332" s="14" t="n">
        <x:v>88.92</x:v>
      </x:c>
      <x:c r="R332" s="15" t="n">
        <x:v>488</x:v>
      </x:c>
      <x:c r="S332" s="15" t="n">
        <x:v>488</x:v>
      </x:c>
      <x:c r="T332" s="15"/>
      <x:c r="U332" s="16" t="n">
        <x:v>5.85</x:v>
      </x:c>
      <x:c r="V332" t="str">
        <x:v>BTK</x:v>
      </x:c>
      <x:c r="W332" t="str">
        <x:v>Ružinov</x:v>
      </x:c>
      <x:c r="X332" s="11" t="str">
        <x:v>Dostupný</x:v>
      </x:c>
      <x:c r="Y332" s="11" t="str">
        <x:v>https://www.baya.btk.sk/sk/byt/1007</x:v>
      </x:c>
      <x:c r="Z332" s="11" t="n">
        <x:v>46251.740894027775</x:v>
      </x:c>
      <x:c r="AA332" s="11" t="n">
        <x:v>46254.51251577547</x:v>
      </x:c>
      <x:c r="AB332" s="11" t="n">
        <x:v>46254.51251577547</x:v>
      </x:c>
      <x:c r="AC332" t="str">
        <x:v>baya</x:v>
      </x:c>
    </x:row>
    <x:row r="333" ht="22" customHeight="1">
      <x:c r="A333" t="str">
        <x:v>BAYA</x:v>
      </x:c>
      <x:c r="B333" t="str">
        <x:v>10.08</x:v>
      </x:c>
      <x:c r="C333" t="str">
        <x:v>available</x:v>
      </x:c>
      <x:c r="D333" t="str">
        <x:v>present</x:v>
      </x:c>
      <x:c r="E333" t="str">
        <x:v>baseline</x:v>
      </x:c>
      <x:c r="F333" s="11" t="n">
        <x:v>46251.740894027775</x:v>
      </x:c>
      <x:c r="G333" t="str">
        <x:v>Byt</x:v>
      </x:c>
      <x:c r="H333" s="12" t="n">
        <x:v>3</x:v>
      </x:c>
      <x:c r="I333" s="13" t="n">
        <x:v>10</x:v>
      </x:c>
      <x:c r="J333" t="str">
        <x:v>BAYA</x:v>
      </x:c>
      <x:c r="K333" s="14" t="n">
        <x:v>89.74</x:v>
      </x:c>
      <x:c r="L333" s="14" t="n">
        <x:v>11.15</x:v>
      </x:c>
      <x:c r="M333" s="14" t="n">
        <x:v>0</x:v>
      </x:c>
      <x:c r="N333" s="14" t="n">
        <x:v>0</x:v>
      </x:c>
      <x:c r="O333" s="14"/>
      <x:c r="P333" s="14" t="n">
        <x:v>11.15</x:v>
      </x:c>
      <x:c r="Q333" s="14" t="n">
        <x:v>100.89</x:v>
      </x:c>
      <x:c r="R333" s="15" t="n">
        <x:v>531</x:v>
      </x:c>
      <x:c r="S333" s="15" t="n">
        <x:v>531</x:v>
      </x:c>
      <x:c r="T333" s="15"/>
      <x:c r="U333" s="16" t="n">
        <x:v>5.92</x:v>
      </x:c>
      <x:c r="V333" t="str">
        <x:v>BTK</x:v>
      </x:c>
      <x:c r="W333" t="str">
        <x:v>Ružinov</x:v>
      </x:c>
      <x:c r="X333" s="11" t="str">
        <x:v>Dostupný</x:v>
      </x:c>
      <x:c r="Y333" s="11" t="str">
        <x:v>https://www.baya.btk.sk/sk/byt/1008</x:v>
      </x:c>
      <x:c r="Z333" s="11" t="n">
        <x:v>46251.740894027775</x:v>
      </x:c>
      <x:c r="AA333" s="11" t="n">
        <x:v>46254.51251577547</x:v>
      </x:c>
      <x:c r="AB333" s="11" t="n">
        <x:v>46254.51251577547</x:v>
      </x:c>
      <x:c r="AC333" t="str">
        <x:v>baya</x:v>
      </x:c>
    </x:row>
    <x:row r="334" ht="22" customHeight="1">
      <x:c r="A334" t="str">
        <x:v>BAYA</x:v>
      </x:c>
      <x:c r="B334" t="str">
        <x:v>10.09</x:v>
      </x:c>
      <x:c r="C334" t="str">
        <x:v>reserved</x:v>
      </x:c>
      <x:c r="D334" t="str">
        <x:v>present</x:v>
      </x:c>
      <x:c r="E334" t="str">
        <x:v>baseline</x:v>
      </x:c>
      <x:c r="F334" s="11" t="n">
        <x:v>46251.740894027775</x:v>
      </x:c>
      <x:c r="G334" t="str">
        <x:v>Byt</x:v>
      </x:c>
      <x:c r="H334" s="12" t="n">
        <x:v>1</x:v>
      </x:c>
      <x:c r="I334" s="13" t="n">
        <x:v>10</x:v>
      </x:c>
      <x:c r="J334" t="str">
        <x:v>BAYA</x:v>
      </x:c>
      <x:c r="K334" s="14" t="n">
        <x:v>35.35</x:v>
      </x:c>
      <x:c r="L334" s="14" t="n">
        <x:v>7.58</x:v>
      </x:c>
      <x:c r="M334" s="14" t="n">
        <x:v>0</x:v>
      </x:c>
      <x:c r="N334" s="14" t="n">
        <x:v>0</x:v>
      </x:c>
      <x:c r="O334" s="14"/>
      <x:c r="P334" s="14" t="n">
        <x:v>7.58</x:v>
      </x:c>
      <x:c r="Q334" s="14" t="n">
        <x:v>42.93</x:v>
      </x:c>
      <x:c r="R334" s="15"/>
      <x:c r="S334" s="15"/>
      <x:c r="T334" s="15"/>
      <x:c r="U334" s="16"/>
      <x:c r="V334" t="str">
        <x:v>BTK</x:v>
      </x:c>
      <x:c r="W334" t="str">
        <x:v>Ružinov</x:v>
      </x:c>
      <x:c r="X334" s="11" t="str">
        <x:v>Rezervácia</x:v>
      </x:c>
      <x:c r="Y334" s="11" t="str">
        <x:v>https://www.baya.btk.sk/sk/byt/1009</x:v>
      </x:c>
      <x:c r="Z334" s="11" t="n">
        <x:v>46251.740894027775</x:v>
      </x:c>
      <x:c r="AA334" s="11" t="n">
        <x:v>46254.51251577547</x:v>
      </x:c>
      <x:c r="AB334" s="11" t="n">
        <x:v>46254.51251577547</x:v>
      </x:c>
      <x:c r="AC334" t="str">
        <x:v>baya</x:v>
      </x:c>
    </x:row>
    <x:row r="335" ht="22" customHeight="1">
      <x:c r="A335" t="str">
        <x:v>BAYA</x:v>
      </x:c>
      <x:c r="B335" t="str">
        <x:v>10.10</x:v>
      </x:c>
      <x:c r="C335" t="str">
        <x:v>pre_reserved</x:v>
      </x:c>
      <x:c r="D335" t="str">
        <x:v>present</x:v>
      </x:c>
      <x:c r="E335" t="str">
        <x:v>baseline</x:v>
      </x:c>
      <x:c r="F335" s="11" t="n">
        <x:v>46251.740894027775</x:v>
      </x:c>
      <x:c r="G335" t="str">
        <x:v>Byt</x:v>
      </x:c>
      <x:c r="H335" s="12" t="n">
        <x:v>1</x:v>
      </x:c>
      <x:c r="I335" s="13" t="n">
        <x:v>10</x:v>
      </x:c>
      <x:c r="J335" t="str">
        <x:v>BAYA</x:v>
      </x:c>
      <x:c r="K335" s="14" t="n">
        <x:v>35.35</x:v>
      </x:c>
      <x:c r="L335" s="14" t="n">
        <x:v>6</x:v>
      </x:c>
      <x:c r="M335" s="14" t="n">
        <x:v>0</x:v>
      </x:c>
      <x:c r="N335" s="14" t="n">
        <x:v>0</x:v>
      </x:c>
      <x:c r="O335" s="14"/>
      <x:c r="P335" s="14" t="n">
        <x:v>6</x:v>
      </x:c>
      <x:c r="Q335" s="14" t="n">
        <x:v>41.35</x:v>
      </x:c>
      <x:c r="R335" s="15"/>
      <x:c r="S335" s="15"/>
      <x:c r="T335" s="15"/>
      <x:c r="U335" s="16"/>
      <x:c r="V335" t="str">
        <x:v>BTK</x:v>
      </x:c>
      <x:c r="W335" t="str">
        <x:v>Ružinov</x:v>
      </x:c>
      <x:c r="X335" s="11" t="str">
        <x:v>Predrezervácia</x:v>
      </x:c>
      <x:c r="Y335" s="11" t="str">
        <x:v>https://www.baya.btk.sk/sk/byt/1010</x:v>
      </x:c>
      <x:c r="Z335" s="11" t="n">
        <x:v>46251.740894027775</x:v>
      </x:c>
      <x:c r="AA335" s="11" t="n">
        <x:v>46254.51251577547</x:v>
      </x:c>
      <x:c r="AB335" s="11" t="n">
        <x:v>46254.51251577547</x:v>
      </x:c>
      <x:c r="AC335" t="str">
        <x:v>baya</x:v>
      </x:c>
    </x:row>
    <x:row r="336" ht="22" customHeight="1">
      <x:c r="A336" t="str">
        <x:v>BAYA</x:v>
      </x:c>
      <x:c r="B336" t="str">
        <x:v>10.11</x:v>
      </x:c>
      <x:c r="C336" t="str">
        <x:v>sold</x:v>
      </x:c>
      <x:c r="D336" t="str">
        <x:v>present</x:v>
      </x:c>
      <x:c r="E336" t="str">
        <x:v>baseline</x:v>
      </x:c>
      <x:c r="F336" s="11" t="n">
        <x:v>46251.740894027775</x:v>
      </x:c>
      <x:c r="G336" t="str">
        <x:v>Byt</x:v>
      </x:c>
      <x:c r="H336" s="12" t="n">
        <x:v>3</x:v>
      </x:c>
      <x:c r="I336" s="13" t="n">
        <x:v>10</x:v>
      </x:c>
      <x:c r="J336" t="str">
        <x:v>BAYA</x:v>
      </x:c>
      <x:c r="K336" s="14" t="n">
        <x:v>67.15</x:v>
      </x:c>
      <x:c r="L336" s="14" t="n">
        <x:v>10.55</x:v>
      </x:c>
      <x:c r="M336" s="14" t="n">
        <x:v>0</x:v>
      </x:c>
      <x:c r="N336" s="14" t="n">
        <x:v>0</x:v>
      </x:c>
      <x:c r="O336" s="14"/>
      <x:c r="P336" s="14" t="n">
        <x:v>10.55</x:v>
      </x:c>
      <x:c r="Q336" s="14" t="n">
        <x:v>77.7</x:v>
      </x:c>
      <x:c r="R336" s="15"/>
      <x:c r="S336" s="15"/>
      <x:c r="T336" s="15"/>
      <x:c r="U336" s="16"/>
      <x:c r="V336" t="str">
        <x:v>BTK</x:v>
      </x:c>
      <x:c r="W336" t="str">
        <x:v>Ružinov</x:v>
      </x:c>
      <x:c r="X336" s="11" t="str">
        <x:v>Predané</x:v>
      </x:c>
      <x:c r="Y336" s="11" t="str">
        <x:v>https://www.baya.btk.sk/sk/byt/1011</x:v>
      </x:c>
      <x:c r="Z336" s="11" t="n">
        <x:v>46251.740894027775</x:v>
      </x:c>
      <x:c r="AA336" s="11" t="n">
        <x:v>46254.51251577547</x:v>
      </x:c>
      <x:c r="AB336" s="11" t="n">
        <x:v>46254.51251577547</x:v>
      </x:c>
      <x:c r="AC336" t="str">
        <x:v>baya</x:v>
      </x:c>
    </x:row>
    <x:row r="337" ht="22" customHeight="1">
      <x:c r="A337" t="str">
        <x:v>BAYA</x:v>
      </x:c>
      <x:c r="B337" t="str">
        <x:v>10.12</x:v>
      </x:c>
      <x:c r="C337" t="str">
        <x:v>available</x:v>
      </x:c>
      <x:c r="D337" t="str">
        <x:v>present</x:v>
      </x:c>
      <x:c r="E337" t="str">
        <x:v>baseline</x:v>
      </x:c>
      <x:c r="F337" s="11" t="n">
        <x:v>46251.740894027775</x:v>
      </x:c>
      <x:c r="G337" t="str">
        <x:v>Byt</x:v>
      </x:c>
      <x:c r="H337" s="12" t="n">
        <x:v>3</x:v>
      </x:c>
      <x:c r="I337" s="13" t="n">
        <x:v>10</x:v>
      </x:c>
      <x:c r="J337" t="str">
        <x:v>BAYA</x:v>
      </x:c>
      <x:c r="K337" s="14" t="n">
        <x:v>61.2</x:v>
      </x:c>
      <x:c r="L337" s="14" t="n">
        <x:v>7.55</x:v>
      </x:c>
      <x:c r="M337" s="14" t="n">
        <x:v>0</x:v>
      </x:c>
      <x:c r="N337" s="14" t="n">
        <x:v>0</x:v>
      </x:c>
      <x:c r="O337" s="14"/>
      <x:c r="P337" s="14" t="n">
        <x:v>7.55</x:v>
      </x:c>
      <x:c r="Q337" s="14" t="n">
        <x:v>68.75</x:v>
      </x:c>
      <x:c r="R337" s="15" t="n">
        <x:v>362</x:v>
      </x:c>
      <x:c r="S337" s="15" t="n">
        <x:v>362</x:v>
      </x:c>
      <x:c r="T337" s="15"/>
      <x:c r="U337" s="16" t="n">
        <x:v>5.92</x:v>
      </x:c>
      <x:c r="V337" t="str">
        <x:v>BTK</x:v>
      </x:c>
      <x:c r="W337" t="str">
        <x:v>Ružinov</x:v>
      </x:c>
      <x:c r="X337" s="11" t="str">
        <x:v>Dostupný</x:v>
      </x:c>
      <x:c r="Y337" s="11" t="str">
        <x:v>https://www.baya.btk.sk/sk/byt/1012</x:v>
      </x:c>
      <x:c r="Z337" s="11" t="n">
        <x:v>46251.740894027775</x:v>
      </x:c>
      <x:c r="AA337" s="11" t="n">
        <x:v>46254.51251577547</x:v>
      </x:c>
      <x:c r="AB337" s="11" t="n">
        <x:v>46254.51251577547</x:v>
      </x:c>
      <x:c r="AC337" t="str">
        <x:v>baya</x:v>
      </x:c>
    </x:row>
    <x:row r="338" ht="22" customHeight="1">
      <x:c r="A338" t="str">
        <x:v>BAYA</x:v>
      </x:c>
      <x:c r="B338" t="str">
        <x:v>10.13</x:v>
      </x:c>
      <x:c r="C338" t="str">
        <x:v>available</x:v>
      </x:c>
      <x:c r="D338" t="str">
        <x:v>present</x:v>
      </x:c>
      <x:c r="E338" t="str">
        <x:v>baseline</x:v>
      </x:c>
      <x:c r="F338" s="11" t="n">
        <x:v>46251.740894027775</x:v>
      </x:c>
      <x:c r="G338" t="str">
        <x:v>Byt</x:v>
      </x:c>
      <x:c r="H338" s="12" t="n">
        <x:v>3</x:v>
      </x:c>
      <x:c r="I338" s="13" t="n">
        <x:v>10</x:v>
      </x:c>
      <x:c r="J338" t="str">
        <x:v>BAYA</x:v>
      </x:c>
      <x:c r="K338" s="14" t="n">
        <x:v>58.02</x:v>
      </x:c>
      <x:c r="L338" s="14" t="n">
        <x:v>10.55</x:v>
      </x:c>
      <x:c r="M338" s="14" t="n">
        <x:v>0</x:v>
      </x:c>
      <x:c r="N338" s="14" t="n">
        <x:v>0</x:v>
      </x:c>
      <x:c r="O338" s="14"/>
      <x:c r="P338" s="14" t="n">
        <x:v>10.55</x:v>
      </x:c>
      <x:c r="Q338" s="14" t="n">
        <x:v>68.57</x:v>
      </x:c>
      <x:c r="R338" s="15" t="n">
        <x:v>358</x:v>
      </x:c>
      <x:c r="S338" s="15" t="n">
        <x:v>358</x:v>
      </x:c>
      <x:c r="T338" s="15"/>
      <x:c r="U338" s="16" t="n">
        <x:v>6.17</x:v>
      </x:c>
      <x:c r="V338" t="str">
        <x:v>BTK</x:v>
      </x:c>
      <x:c r="W338" t="str">
        <x:v>Ružinov</x:v>
      </x:c>
      <x:c r="X338" s="11" t="str">
        <x:v>Dostupný</x:v>
      </x:c>
      <x:c r="Y338" s="11" t="str">
        <x:v>https://www.baya.btk.sk/sk/byt/1013</x:v>
      </x:c>
      <x:c r="Z338" s="11" t="n">
        <x:v>46251.740894027775</x:v>
      </x:c>
      <x:c r="AA338" s="11" t="n">
        <x:v>46254.51251577547</x:v>
      </x:c>
      <x:c r="AB338" s="11" t="n">
        <x:v>46254.51251577547</x:v>
      </x:c>
      <x:c r="AC338" t="str">
        <x:v>baya</x:v>
      </x:c>
    </x:row>
    <x:row r="339" ht="22" customHeight="1">
      <x:c r="A339" t="str">
        <x:v>BAYA</x:v>
      </x:c>
      <x:c r="B339" t="str">
        <x:v>10.14</x:v>
      </x:c>
      <x:c r="C339" t="str">
        <x:v>available</x:v>
      </x:c>
      <x:c r="D339" t="str">
        <x:v>present</x:v>
      </x:c>
      <x:c r="E339" t="str">
        <x:v>baseline</x:v>
      </x:c>
      <x:c r="F339" s="11" t="n">
        <x:v>46251.740894027775</x:v>
      </x:c>
      <x:c r="G339" t="str">
        <x:v>Byt</x:v>
      </x:c>
      <x:c r="H339" s="12" t="n">
        <x:v>2</x:v>
      </x:c>
      <x:c r="I339" s="13" t="n">
        <x:v>10</x:v>
      </x:c>
      <x:c r="J339" t="str">
        <x:v>BAYA</x:v>
      </x:c>
      <x:c r="K339" s="14" t="n">
        <x:v>44.75</x:v>
      </x:c>
      <x:c r="L339" s="14" t="n">
        <x:v>0</x:v>
      </x:c>
      <x:c r="M339" s="14" t="n">
        <x:v>15.13</x:v>
      </x:c>
      <x:c r="N339" s="14" t="n">
        <x:v>0</x:v>
      </x:c>
      <x:c r="O339" s="14"/>
      <x:c r="P339" s="14" t="n">
        <x:v>15.13</x:v>
      </x:c>
      <x:c r="Q339" s="14" t="n">
        <x:v>59.88</x:v>
      </x:c>
      <x:c r="R339" s="15" t="n">
        <x:v>299</x:v>
      </x:c>
      <x:c r="S339" s="15" t="n">
        <x:v>299</x:v>
      </x:c>
      <x:c r="T339" s="15"/>
      <x:c r="U339" s="16" t="n">
        <x:v>6.68</x:v>
      </x:c>
      <x:c r="V339" t="str">
        <x:v>BTK</x:v>
      </x:c>
      <x:c r="W339" t="str">
        <x:v>Ružinov</x:v>
      </x:c>
      <x:c r="X339" s="11" t="str">
        <x:v>Dostupný</x:v>
      </x:c>
      <x:c r="Y339" s="11" t="str">
        <x:v>https://www.baya.btk.sk/sk/byt/1014</x:v>
      </x:c>
      <x:c r="Z339" s="11" t="n">
        <x:v>46251.740894027775</x:v>
      </x:c>
      <x:c r="AA339" s="11" t="n">
        <x:v>46254.51251577547</x:v>
      </x:c>
      <x:c r="AB339" s="11" t="n">
        <x:v>46254.51251577547</x:v>
      </x:c>
      <x:c r="AC339" t="str">
        <x:v>baya</x:v>
      </x:c>
    </x:row>
    <x:row r="340" ht="22" customHeight="1">
      <x:c r="A340" t="str">
        <x:v>BAYA</x:v>
      </x:c>
      <x:c r="B340" t="str">
        <x:v>10.15</x:v>
      </x:c>
      <x:c r="C340" t="str">
        <x:v>available</x:v>
      </x:c>
      <x:c r="D340" t="str">
        <x:v>present</x:v>
      </x:c>
      <x:c r="E340" t="str">
        <x:v>baseline</x:v>
      </x:c>
      <x:c r="F340" s="11" t="n">
        <x:v>46251.740894027775</x:v>
      </x:c>
      <x:c r="G340" t="str">
        <x:v>Byt</x:v>
      </x:c>
      <x:c r="H340" s="12" t="n">
        <x:v>1</x:v>
      </x:c>
      <x:c r="I340" s="13" t="n">
        <x:v>10</x:v>
      </x:c>
      <x:c r="J340" t="str">
        <x:v>BAYA</x:v>
      </x:c>
      <x:c r="K340" s="14" t="n">
        <x:v>31.87</x:v>
      </x:c>
      <x:c r="L340" s="14" t="n">
        <x:v>7.58</x:v>
      </x:c>
      <x:c r="M340" s="14" t="n">
        <x:v>0</x:v>
      </x:c>
      <x:c r="N340" s="14" t="n">
        <x:v>0</x:v>
      </x:c>
      <x:c r="O340" s="14"/>
      <x:c r="P340" s="14" t="n">
        <x:v>7.58</x:v>
      </x:c>
      <x:c r="Q340" s="14" t="n">
        <x:v>39.45</x:v>
      </x:c>
      <x:c r="R340" s="15" t="n">
        <x:v>221</x:v>
      </x:c>
      <x:c r="S340" s="15" t="n">
        <x:v>221</x:v>
      </x:c>
      <x:c r="T340" s="15"/>
      <x:c r="U340" s="16" t="n">
        <x:v>6.93</x:v>
      </x:c>
      <x:c r="V340" t="str">
        <x:v>BTK</x:v>
      </x:c>
      <x:c r="W340" t="str">
        <x:v>Ružinov</x:v>
      </x:c>
      <x:c r="X340" s="11" t="str">
        <x:v>Dostupný</x:v>
      </x:c>
      <x:c r="Y340" s="11" t="str">
        <x:v>https://www.baya.btk.sk/sk/byt/1015</x:v>
      </x:c>
      <x:c r="Z340" s="11" t="n">
        <x:v>46251.740894027775</x:v>
      </x:c>
      <x:c r="AA340" s="11" t="n">
        <x:v>46254.51251577547</x:v>
      </x:c>
      <x:c r="AB340" s="11" t="n">
        <x:v>46254.51251577547</x:v>
      </x:c>
      <x:c r="AC340" t="str">
        <x:v>baya</x:v>
      </x:c>
    </x:row>
    <x:row r="341" ht="22" customHeight="1">
      <x:c r="A341" t="str">
        <x:v>BAYA</x:v>
      </x:c>
      <x:c r="B341" t="str">
        <x:v>10.16</x:v>
      </x:c>
      <x:c r="C341" t="str">
        <x:v>sold</x:v>
      </x:c>
      <x:c r="D341" t="str">
        <x:v>present</x:v>
      </x:c>
      <x:c r="E341" t="str">
        <x:v>baseline</x:v>
      </x:c>
      <x:c r="F341" s="11" t="n">
        <x:v>46251.740894027775</x:v>
      </x:c>
      <x:c r="G341" t="str">
        <x:v>Byt</x:v>
      </x:c>
      <x:c r="H341" s="12" t="n">
        <x:v>1</x:v>
      </x:c>
      <x:c r="I341" s="13" t="n">
        <x:v>10</x:v>
      </x:c>
      <x:c r="J341" t="str">
        <x:v>BAYA</x:v>
      </x:c>
      <x:c r="K341" s="14" t="n">
        <x:v>31.87</x:v>
      </x:c>
      <x:c r="L341" s="14" t="n">
        <x:v>0</x:v>
      </x:c>
      <x:c r="M341" s="14" t="n">
        <x:v>8.27</x:v>
      </x:c>
      <x:c r="N341" s="14" t="n">
        <x:v>0</x:v>
      </x:c>
      <x:c r="O341" s="14"/>
      <x:c r="P341" s="14" t="n">
        <x:v>8.27</x:v>
      </x:c>
      <x:c r="Q341" s="14" t="n">
        <x:v>40.14</x:v>
      </x:c>
      <x:c r="R341" s="15"/>
      <x:c r="S341" s="15"/>
      <x:c r="T341" s="15"/>
      <x:c r="U341" s="16"/>
      <x:c r="V341" t="str">
        <x:v>BTK</x:v>
      </x:c>
      <x:c r="W341" t="str">
        <x:v>Ružinov</x:v>
      </x:c>
      <x:c r="X341" s="11" t="str">
        <x:v>Predané</x:v>
      </x:c>
      <x:c r="Y341" s="11" t="str">
        <x:v>https://www.baya.btk.sk/sk/byt/1016</x:v>
      </x:c>
      <x:c r="Z341" s="11" t="n">
        <x:v>46251.740894027775</x:v>
      </x:c>
      <x:c r="AA341" s="11" t="n">
        <x:v>46254.51251577547</x:v>
      </x:c>
      <x:c r="AB341" s="11" t="n">
        <x:v>46254.51251577547</x:v>
      </x:c>
      <x:c r="AC341" t="str">
        <x:v>baya</x:v>
      </x:c>
    </x:row>
    <x:row r="342" ht="22" customHeight="1">
      <x:c r="A342" t="str">
        <x:v>BAYA</x:v>
      </x:c>
      <x:c r="B342" t="str">
        <x:v>10.17</x:v>
      </x:c>
      <x:c r="C342" t="str">
        <x:v>available</x:v>
      </x:c>
      <x:c r="D342" t="str">
        <x:v>present</x:v>
      </x:c>
      <x:c r="E342" t="str">
        <x:v>baseline</x:v>
      </x:c>
      <x:c r="F342" s="11" t="n">
        <x:v>46251.740894027775</x:v>
      </x:c>
      <x:c r="G342" t="str">
        <x:v>Byt</x:v>
      </x:c>
      <x:c r="H342" s="12" t="n">
        <x:v>3</x:v>
      </x:c>
      <x:c r="I342" s="13" t="n">
        <x:v>10</x:v>
      </x:c>
      <x:c r="J342" t="str">
        <x:v>BAYA</x:v>
      </x:c>
      <x:c r="K342" s="14" t="n">
        <x:v>73.58</x:v>
      </x:c>
      <x:c r="L342" s="14" t="n">
        <x:v>12.5</x:v>
      </x:c>
      <x:c r="M342" s="14" t="n">
        <x:v>0</x:v>
      </x:c>
      <x:c r="N342" s="14" t="n">
        <x:v>0</x:v>
      </x:c>
      <x:c r="O342" s="14"/>
      <x:c r="P342" s="14" t="n">
        <x:v>12.5</x:v>
      </x:c>
      <x:c r="Q342" s="14" t="n">
        <x:v>86.08</x:v>
      </x:c>
      <x:c r="R342" s="15" t="n">
        <x:v>452</x:v>
      </x:c>
      <x:c r="S342" s="15" t="n">
        <x:v>452</x:v>
      </x:c>
      <x:c r="T342" s="15"/>
      <x:c r="U342" s="16" t="n">
        <x:v>6.14</x:v>
      </x:c>
      <x:c r="V342" t="str">
        <x:v>BTK</x:v>
      </x:c>
      <x:c r="W342" t="str">
        <x:v>Ružinov</x:v>
      </x:c>
      <x:c r="X342" s="11" t="str">
        <x:v>Dostupný</x:v>
      </x:c>
      <x:c r="Y342" s="11" t="str">
        <x:v>https://www.baya.btk.sk/sk/byt/1017</x:v>
      </x:c>
      <x:c r="Z342" s="11" t="n">
        <x:v>46251.740894027775</x:v>
      </x:c>
      <x:c r="AA342" s="11" t="n">
        <x:v>46254.51251577547</x:v>
      </x:c>
      <x:c r="AB342" s="11" t="n">
        <x:v>46254.51251577547</x:v>
      </x:c>
      <x:c r="AC342" t="str">
        <x:v>baya</x:v>
      </x:c>
    </x:row>
    <x:row r="343" ht="22" customHeight="1">
      <x:c r="A343" t="str">
        <x:v>BAYA</x:v>
      </x:c>
      <x:c r="B343" t="str">
        <x:v>10.18</x:v>
      </x:c>
      <x:c r="C343" t="str">
        <x:v>available</x:v>
      </x:c>
      <x:c r="D343" t="str">
        <x:v>present</x:v>
      </x:c>
      <x:c r="E343" t="str">
        <x:v>baseline</x:v>
      </x:c>
      <x:c r="F343" s="11" t="n">
        <x:v>46251.740894027775</x:v>
      </x:c>
      <x:c r="G343" t="str">
        <x:v>Byt</x:v>
      </x:c>
      <x:c r="H343" s="12" t="n">
        <x:v>3</x:v>
      </x:c>
      <x:c r="I343" s="13" t="n">
        <x:v>10</x:v>
      </x:c>
      <x:c r="J343" t="str">
        <x:v>BAYA</x:v>
      </x:c>
      <x:c r="K343" s="14" t="n">
        <x:v>80.99</x:v>
      </x:c>
      <x:c r="L343" s="14" t="n">
        <x:v>0</x:v>
      </x:c>
      <x:c r="M343" s="14" t="n">
        <x:v>17.49</x:v>
      </x:c>
      <x:c r="N343" s="14" t="n">
        <x:v>0</x:v>
      </x:c>
      <x:c r="O343" s="14"/>
      <x:c r="P343" s="14" t="n">
        <x:v>17.49</x:v>
      </x:c>
      <x:c r="Q343" s="14" t="n">
        <x:v>98.48</x:v>
      </x:c>
      <x:c r="R343" s="15" t="n">
        <x:v>480</x:v>
      </x:c>
      <x:c r="S343" s="15" t="n">
        <x:v>480</x:v>
      </x:c>
      <x:c r="T343" s="15"/>
      <x:c r="U343" s="16" t="n">
        <x:v>5.93</x:v>
      </x:c>
      <x:c r="V343" t="str">
        <x:v>BTK</x:v>
      </x:c>
      <x:c r="W343" t="str">
        <x:v>Ružinov</x:v>
      </x:c>
      <x:c r="X343" s="11" t="str">
        <x:v>Dostupný</x:v>
      </x:c>
      <x:c r="Y343" s="11" t="str">
        <x:v>https://www.baya.btk.sk/sk/byt/1018</x:v>
      </x:c>
      <x:c r="Z343" s="11" t="n">
        <x:v>46251.740894027775</x:v>
      </x:c>
      <x:c r="AA343" s="11" t="n">
        <x:v>46254.51251577547</x:v>
      </x:c>
      <x:c r="AB343" s="11" t="n">
        <x:v>46254.51251577547</x:v>
      </x:c>
      <x:c r="AC343" t="str">
        <x:v>baya</x:v>
      </x:c>
    </x:row>
    <x:row r="344" ht="22" customHeight="1">
      <x:c r="A344" t="str">
        <x:v>BAYA</x:v>
      </x:c>
      <x:c r="B344" t="str">
        <x:v>10.19</x:v>
      </x:c>
      <x:c r="C344" t="str">
        <x:v>pre_reserved</x:v>
      </x:c>
      <x:c r="D344" t="str">
        <x:v>present</x:v>
      </x:c>
      <x:c r="E344" t="str">
        <x:v>baseline</x:v>
      </x:c>
      <x:c r="F344" s="11" t="n">
        <x:v>46251.740894027775</x:v>
      </x:c>
      <x:c r="G344" t="str">
        <x:v>Byt</x:v>
      </x:c>
      <x:c r="H344" s="12" t="n">
        <x:v>4</x:v>
      </x:c>
      <x:c r="I344" s="13" t="n">
        <x:v>10</x:v>
      </x:c>
      <x:c r="J344" t="str">
        <x:v>BAYA</x:v>
      </x:c>
      <x:c r="K344" s="14" t="n">
        <x:v>88.57</x:v>
      </x:c>
      <x:c r="L344" s="14" t="n">
        <x:v>18.93</x:v>
      </x:c>
      <x:c r="M344" s="14" t="n">
        <x:v>0</x:v>
      </x:c>
      <x:c r="N344" s="14" t="n">
        <x:v>0</x:v>
      </x:c>
      <x:c r="O344" s="14"/>
      <x:c r="P344" s="14" t="n">
        <x:v>18.93</x:v>
      </x:c>
      <x:c r="Q344" s="14" t="n">
        <x:v>107.5</x:v>
      </x:c>
      <x:c r="R344" s="15"/>
      <x:c r="S344" s="15"/>
      <x:c r="T344" s="15"/>
      <x:c r="U344" s="16"/>
      <x:c r="V344" t="str">
        <x:v>BTK</x:v>
      </x:c>
      <x:c r="W344" t="str">
        <x:v>Ružinov</x:v>
      </x:c>
      <x:c r="X344" s="11" t="str">
        <x:v>Predrezervácia</x:v>
      </x:c>
      <x:c r="Y344" s="11" t="str">
        <x:v>https://www.baya.btk.sk/sk/byt/1019</x:v>
      </x:c>
      <x:c r="Z344" s="11" t="n">
        <x:v>46251.740894027775</x:v>
      </x:c>
      <x:c r="AA344" s="11" t="n">
        <x:v>46254.51251577547</x:v>
      </x:c>
      <x:c r="AB344" s="11" t="n">
        <x:v>46254.51251577547</x:v>
      </x:c>
      <x:c r="AC344" t="str">
        <x:v>baya</x:v>
      </x:c>
    </x:row>
    <x:row r="345" ht="22" customHeight="1">
      <x:c r="A345" t="str">
        <x:v>BAYA</x:v>
      </x:c>
      <x:c r="B345" t="str">
        <x:v>10.20</x:v>
      </x:c>
      <x:c r="C345" t="str">
        <x:v>available</x:v>
      </x:c>
      <x:c r="D345" t="str">
        <x:v>present</x:v>
      </x:c>
      <x:c r="E345" t="str">
        <x:v>baseline</x:v>
      </x:c>
      <x:c r="F345" s="11" t="n">
        <x:v>46251.740894027775</x:v>
      </x:c>
      <x:c r="G345" t="str">
        <x:v>Byt</x:v>
      </x:c>
      <x:c r="H345" s="12" t="n">
        <x:v>3</x:v>
      </x:c>
      <x:c r="I345" s="13" t="n">
        <x:v>10</x:v>
      </x:c>
      <x:c r="J345" t="str">
        <x:v>BAYA</x:v>
      </x:c>
      <x:c r="K345" s="14" t="n">
        <x:v>77.19</x:v>
      </x:c>
      <x:c r="L345" s="14" t="n">
        <x:v>0</x:v>
      </x:c>
      <x:c r="M345" s="14" t="n">
        <x:v>18.92</x:v>
      </x:c>
      <x:c r="N345" s="14" t="n">
        <x:v>0</x:v>
      </x:c>
      <x:c r="O345" s="14"/>
      <x:c r="P345" s="14" t="n">
        <x:v>18.92</x:v>
      </x:c>
      <x:c r="Q345" s="14" t="n">
        <x:v>96.11</x:v>
      </x:c>
      <x:c r="R345" s="15" t="n">
        <x:v>461</x:v>
      </x:c>
      <x:c r="S345" s="15" t="n">
        <x:v>461</x:v>
      </x:c>
      <x:c r="T345" s="15"/>
      <x:c r="U345" s="16" t="n">
        <x:v>5.97</x:v>
      </x:c>
      <x:c r="V345" t="str">
        <x:v>BTK</x:v>
      </x:c>
      <x:c r="W345" t="str">
        <x:v>Ružinov</x:v>
      </x:c>
      <x:c r="X345" s="11" t="str">
        <x:v>Dostupný</x:v>
      </x:c>
      <x:c r="Y345" s="11" t="str">
        <x:v>https://www.baya.btk.sk/sk/byt/1020</x:v>
      </x:c>
      <x:c r="Z345" s="11" t="n">
        <x:v>46251.740894027775</x:v>
      </x:c>
      <x:c r="AA345" s="11" t="n">
        <x:v>46254.51251577547</x:v>
      </x:c>
      <x:c r="AB345" s="11" t="n">
        <x:v>46254.51251577547</x:v>
      </x:c>
      <x:c r="AC345" t="str">
        <x:v>baya</x:v>
      </x:c>
    </x:row>
    <x:row r="346" ht="22" customHeight="1">
      <x:c r="A346" t="str">
        <x:v>BAYA</x:v>
      </x:c>
      <x:c r="B346" t="str">
        <x:v>11.01</x:v>
      </x:c>
      <x:c r="C346" t="str">
        <x:v>reserved</x:v>
      </x:c>
      <x:c r="D346" t="str">
        <x:v>present</x:v>
      </x:c>
      <x:c r="E346" t="str">
        <x:v>baseline</x:v>
      </x:c>
      <x:c r="F346" s="11" t="n">
        <x:v>46251.740894027775</x:v>
      </x:c>
      <x:c r="G346" t="str">
        <x:v>Byt</x:v>
      </x:c>
      <x:c r="H346" s="12" t="n">
        <x:v>3</x:v>
      </x:c>
      <x:c r="I346" s="13" t="n">
        <x:v>11</x:v>
      </x:c>
      <x:c r="J346" t="str">
        <x:v>BAYA</x:v>
      </x:c>
      <x:c r="K346" s="14" t="n">
        <x:v>73.04</x:v>
      </x:c>
      <x:c r="L346" s="14" t="n">
        <x:v>6.15</x:v>
      </x:c>
      <x:c r="M346" s="14" t="n">
        <x:v>0</x:v>
      </x:c>
      <x:c r="N346" s="14" t="n">
        <x:v>0</x:v>
      </x:c>
      <x:c r="O346" s="14"/>
      <x:c r="P346" s="14" t="n">
        <x:v>6.15</x:v>
      </x:c>
      <x:c r="Q346" s="14" t="n">
        <x:v>79.19</x:v>
      </x:c>
      <x:c r="R346" s="15"/>
      <x:c r="S346" s="15"/>
      <x:c r="T346" s="15"/>
      <x:c r="U346" s="16"/>
      <x:c r="V346" t="str">
        <x:v>BTK</x:v>
      </x:c>
      <x:c r="W346" t="str">
        <x:v>Ružinov</x:v>
      </x:c>
      <x:c r="X346" s="11" t="str">
        <x:v>Rezervácia</x:v>
      </x:c>
      <x:c r="Y346" s="11" t="str">
        <x:v>https://www.baya.btk.sk/sk/byt/1101</x:v>
      </x:c>
      <x:c r="Z346" s="11" t="n">
        <x:v>46251.740894027775</x:v>
      </x:c>
      <x:c r="AA346" s="11" t="n">
        <x:v>46254.51251577547</x:v>
      </x:c>
      <x:c r="AB346" s="11" t="n">
        <x:v>46254.51251577547</x:v>
      </x:c>
      <x:c r="AC346" t="str">
        <x:v>baya</x:v>
      </x:c>
    </x:row>
    <x:row r="347" ht="22" customHeight="1">
      <x:c r="A347" t="str">
        <x:v>BAYA</x:v>
      </x:c>
      <x:c r="B347" t="str">
        <x:v>11.02</x:v>
      </x:c>
      <x:c r="C347" t="str">
        <x:v>available</x:v>
      </x:c>
      <x:c r="D347" t="str">
        <x:v>present</x:v>
      </x:c>
      <x:c r="E347" t="str">
        <x:v>baseline</x:v>
      </x:c>
      <x:c r="F347" s="11" t="n">
        <x:v>46251.740894027775</x:v>
      </x:c>
      <x:c r="G347" t="str">
        <x:v>Byt</x:v>
      </x:c>
      <x:c r="H347" s="12" t="n">
        <x:v>3</x:v>
      </x:c>
      <x:c r="I347" s="13" t="n">
        <x:v>11</x:v>
      </x:c>
      <x:c r="J347" t="str">
        <x:v>BAYA</x:v>
      </x:c>
      <x:c r="K347" s="14" t="n">
        <x:v>73.11</x:v>
      </x:c>
      <x:c r="L347" s="14" t="n">
        <x:v>13.65</x:v>
      </x:c>
      <x:c r="M347" s="14" t="n">
        <x:v>0</x:v>
      </x:c>
      <x:c r="N347" s="14" t="n">
        <x:v>0</x:v>
      </x:c>
      <x:c r="O347" s="14"/>
      <x:c r="P347" s="14" t="n">
        <x:v>13.65</x:v>
      </x:c>
      <x:c r="Q347" s="14" t="n">
        <x:v>86.76</x:v>
      </x:c>
      <x:c r="R347" s="15" t="n">
        <x:v>455</x:v>
      </x:c>
      <x:c r="S347" s="15" t="n">
        <x:v>455</x:v>
      </x:c>
      <x:c r="T347" s="15"/>
      <x:c r="U347" s="16" t="n">
        <x:v>6.22</x:v>
      </x:c>
      <x:c r="V347" t="str">
        <x:v>BTK</x:v>
      </x:c>
      <x:c r="W347" t="str">
        <x:v>Ružinov</x:v>
      </x:c>
      <x:c r="X347" s="11" t="str">
        <x:v>Dostupný</x:v>
      </x:c>
      <x:c r="Y347" s="11" t="str">
        <x:v>https://www.baya.btk.sk/sk/byt/1102</x:v>
      </x:c>
      <x:c r="Z347" s="11" t="n">
        <x:v>46251.740894027775</x:v>
      </x:c>
      <x:c r="AA347" s="11" t="n">
        <x:v>46254.51251577547</x:v>
      </x:c>
      <x:c r="AB347" s="11" t="n">
        <x:v>46254.51251577547</x:v>
      </x:c>
      <x:c r="AC347" t="str">
        <x:v>baya</x:v>
      </x:c>
    </x:row>
    <x:row r="348" ht="22" customHeight="1">
      <x:c r="A348" t="str">
        <x:v>BAYA</x:v>
      </x:c>
      <x:c r="B348" t="str">
        <x:v>11.03</x:v>
      </x:c>
      <x:c r="C348" t="str">
        <x:v>available</x:v>
      </x:c>
      <x:c r="D348" t="str">
        <x:v>present</x:v>
      </x:c>
      <x:c r="E348" t="str">
        <x:v>baseline</x:v>
      </x:c>
      <x:c r="F348" s="11" t="n">
        <x:v>46251.740894027775</x:v>
      </x:c>
      <x:c r="G348" t="str">
        <x:v>Byt</x:v>
      </x:c>
      <x:c r="H348" s="12" t="n">
        <x:v>2</x:v>
      </x:c>
      <x:c r="I348" s="13" t="n">
        <x:v>11</x:v>
      </x:c>
      <x:c r="J348" t="str">
        <x:v>BAYA</x:v>
      </x:c>
      <x:c r="K348" s="14" t="n">
        <x:v>57.66</x:v>
      </x:c>
      <x:c r="L348" s="14" t="n">
        <x:v>6.15</x:v>
      </x:c>
      <x:c r="M348" s="14" t="n">
        <x:v>0</x:v>
      </x:c>
      <x:c r="N348" s="14" t="n">
        <x:v>0</x:v>
      </x:c>
      <x:c r="O348" s="14"/>
      <x:c r="P348" s="14" t="n">
        <x:v>6.15</x:v>
      </x:c>
      <x:c r="Q348" s="14" t="n">
        <x:v>63.81</x:v>
      </x:c>
      <x:c r="R348" s="15" t="n">
        <x:v>376</x:v>
      </x:c>
      <x:c r="S348" s="15" t="n">
        <x:v>376</x:v>
      </x:c>
      <x:c r="T348" s="15"/>
      <x:c r="U348" s="16" t="n">
        <x:v>6.52</x:v>
      </x:c>
      <x:c r="V348" t="str">
        <x:v>BTK</x:v>
      </x:c>
      <x:c r="W348" t="str">
        <x:v>Ružinov</x:v>
      </x:c>
      <x:c r="X348" s="11" t="str">
        <x:v>Dostupný</x:v>
      </x:c>
      <x:c r="Y348" s="11" t="str">
        <x:v>https://www.baya.btk.sk/sk/byt/1103</x:v>
      </x:c>
      <x:c r="Z348" s="11" t="n">
        <x:v>46251.740894027775</x:v>
      </x:c>
      <x:c r="AA348" s="11" t="n">
        <x:v>46254.51251577547</x:v>
      </x:c>
      <x:c r="AB348" s="11" t="n">
        <x:v>46254.51251577547</x:v>
      </x:c>
      <x:c r="AC348" t="str">
        <x:v>baya</x:v>
      </x:c>
    </x:row>
    <x:row r="349" ht="22" customHeight="1">
      <x:c r="A349" t="str">
        <x:v>BAYA</x:v>
      </x:c>
      <x:c r="B349" t="str">
        <x:v>11.04</x:v>
      </x:c>
      <x:c r="C349" t="str">
        <x:v>available</x:v>
      </x:c>
      <x:c r="D349" t="str">
        <x:v>present</x:v>
      </x:c>
      <x:c r="E349" t="str">
        <x:v>baseline</x:v>
      </x:c>
      <x:c r="F349" s="11" t="n">
        <x:v>46251.740894027775</x:v>
      </x:c>
      <x:c r="G349" t="str">
        <x:v>Byt</x:v>
      </x:c>
      <x:c r="H349" s="12" t="n">
        <x:v>2</x:v>
      </x:c>
      <x:c r="I349" s="13" t="n">
        <x:v>11</x:v>
      </x:c>
      <x:c r="J349" t="str">
        <x:v>BAYA</x:v>
      </x:c>
      <x:c r="K349" s="14" t="n">
        <x:v>57.66</x:v>
      </x:c>
      <x:c r="L349" s="14" t="n">
        <x:v>6.15</x:v>
      </x:c>
      <x:c r="M349" s="14" t="n">
        <x:v>0</x:v>
      </x:c>
      <x:c r="N349" s="14" t="n">
        <x:v>0</x:v>
      </x:c>
      <x:c r="O349" s="14"/>
      <x:c r="P349" s="14" t="n">
        <x:v>6.15</x:v>
      </x:c>
      <x:c r="Q349" s="14" t="n">
        <x:v>63.81</x:v>
      </x:c>
      <x:c r="R349" s="15" t="n">
        <x:v>370</x:v>
      </x:c>
      <x:c r="S349" s="15" t="n">
        <x:v>370</x:v>
      </x:c>
      <x:c r="T349" s="15"/>
      <x:c r="U349" s="16" t="n">
        <x:v>6.42</x:v>
      </x:c>
      <x:c r="V349" t="str">
        <x:v>BTK</x:v>
      </x:c>
      <x:c r="W349" t="str">
        <x:v>Ružinov</x:v>
      </x:c>
      <x:c r="X349" s="11" t="str">
        <x:v>Dostupný</x:v>
      </x:c>
      <x:c r="Y349" s="11" t="str">
        <x:v>https://www.baya.btk.sk/sk/byt/1104</x:v>
      </x:c>
      <x:c r="Z349" s="11" t="n">
        <x:v>46251.740894027775</x:v>
      </x:c>
      <x:c r="AA349" s="11" t="n">
        <x:v>46254.51251577547</x:v>
      </x:c>
      <x:c r="AB349" s="11" t="n">
        <x:v>46254.51251577547</x:v>
      </x:c>
      <x:c r="AC349" t="str">
        <x:v>baya</x:v>
      </x:c>
    </x:row>
    <x:row r="350" ht="22" customHeight="1">
      <x:c r="A350" t="str">
        <x:v>BAYA</x:v>
      </x:c>
      <x:c r="B350" t="str">
        <x:v>11.05</x:v>
      </x:c>
      <x:c r="C350" t="str">
        <x:v>available</x:v>
      </x:c>
      <x:c r="D350" t="str">
        <x:v>present</x:v>
      </x:c>
      <x:c r="E350" t="str">
        <x:v>baseline</x:v>
      </x:c>
      <x:c r="F350" s="11" t="n">
        <x:v>46251.740894027775</x:v>
      </x:c>
      <x:c r="G350" t="str">
        <x:v>Byt</x:v>
      </x:c>
      <x:c r="H350" s="12" t="n">
        <x:v>3</x:v>
      </x:c>
      <x:c r="I350" s="13" t="n">
        <x:v>11</x:v>
      </x:c>
      <x:c r="J350" t="str">
        <x:v>BAYA</x:v>
      </x:c>
      <x:c r="K350" s="14" t="n">
        <x:v>89.83</x:v>
      </x:c>
      <x:c r="L350" s="14" t="n">
        <x:v>14.75</x:v>
      </x:c>
      <x:c r="M350" s="14" t="n">
        <x:v>0</x:v>
      </x:c>
      <x:c r="N350" s="14" t="n">
        <x:v>0</x:v>
      </x:c>
      <x:c r="O350" s="14"/>
      <x:c r="P350" s="14" t="n">
        <x:v>14.75</x:v>
      </x:c>
      <x:c r="Q350" s="14" t="n">
        <x:v>104.58</x:v>
      </x:c>
      <x:c r="R350" s="15" t="n">
        <x:v>554</x:v>
      </x:c>
      <x:c r="S350" s="15" t="n">
        <x:v>554</x:v>
      </x:c>
      <x:c r="T350" s="15"/>
      <x:c r="U350" s="16" t="n">
        <x:v>6.17</x:v>
      </x:c>
      <x:c r="V350" t="str">
        <x:v>BTK</x:v>
      </x:c>
      <x:c r="W350" t="str">
        <x:v>Ružinov</x:v>
      </x:c>
      <x:c r="X350" s="11" t="str">
        <x:v>Dostupný</x:v>
      </x:c>
      <x:c r="Y350" s="11" t="str">
        <x:v>https://www.baya.btk.sk/sk/byt/1105</x:v>
      </x:c>
      <x:c r="Z350" s="11" t="n">
        <x:v>46251.740894027775</x:v>
      </x:c>
      <x:c r="AA350" s="11" t="n">
        <x:v>46254.51251577547</x:v>
      </x:c>
      <x:c r="AB350" s="11" t="n">
        <x:v>46254.51251577547</x:v>
      </x:c>
      <x:c r="AC350" t="str">
        <x:v>baya</x:v>
      </x:c>
    </x:row>
    <x:row r="351" ht="22" customHeight="1">
      <x:c r="A351" t="str">
        <x:v>BAYA</x:v>
      </x:c>
      <x:c r="B351" t="str">
        <x:v>11.06</x:v>
      </x:c>
      <x:c r="C351" t="str">
        <x:v>available</x:v>
      </x:c>
      <x:c r="D351" t="str">
        <x:v>present</x:v>
      </x:c>
      <x:c r="E351" t="str">
        <x:v>baseline</x:v>
      </x:c>
      <x:c r="F351" s="11" t="n">
        <x:v>46251.740894027775</x:v>
      </x:c>
      <x:c r="G351" t="str">
        <x:v>Byt</x:v>
      </x:c>
      <x:c r="H351" s="12" t="n">
        <x:v>3</x:v>
      </x:c>
      <x:c r="I351" s="13" t="n">
        <x:v>11</x:v>
      </x:c>
      <x:c r="J351" t="str">
        <x:v>BAYA</x:v>
      </x:c>
      <x:c r="K351" s="14" t="n">
        <x:v>82.07</x:v>
      </x:c>
      <x:c r="L351" s="14" t="n">
        <x:v>12.3</x:v>
      </x:c>
      <x:c r="M351" s="14" t="n">
        <x:v>0</x:v>
      </x:c>
      <x:c r="N351" s="14" t="n">
        <x:v>0</x:v>
      </x:c>
      <x:c r="O351" s="14"/>
      <x:c r="P351" s="14" t="n">
        <x:v>12.3</x:v>
      </x:c>
      <x:c r="Q351" s="14" t="n">
        <x:v>94.37</x:v>
      </x:c>
      <x:c r="R351" s="15" t="n">
        <x:v>494</x:v>
      </x:c>
      <x:c r="S351" s="15" t="n">
        <x:v>494</x:v>
      </x:c>
      <x:c r="T351" s="15"/>
      <x:c r="U351" s="16" t="n">
        <x:v>6.02</x:v>
      </x:c>
      <x:c r="V351" t="str">
        <x:v>BTK</x:v>
      </x:c>
      <x:c r="W351" t="str">
        <x:v>Ružinov</x:v>
      </x:c>
      <x:c r="X351" s="11" t="str">
        <x:v>Dostupný</x:v>
      </x:c>
      <x:c r="Y351" s="11" t="str">
        <x:v>https://www.baya.btk.sk/sk/byt/1106</x:v>
      </x:c>
      <x:c r="Z351" s="11" t="n">
        <x:v>46251.740894027775</x:v>
      </x:c>
      <x:c r="AA351" s="11" t="n">
        <x:v>46254.51251577547</x:v>
      </x:c>
      <x:c r="AB351" s="11" t="n">
        <x:v>46254.51251577547</x:v>
      </x:c>
      <x:c r="AC351" t="str">
        <x:v>baya</x:v>
      </x:c>
    </x:row>
    <x:row r="352" ht="22" customHeight="1">
      <x:c r="A352" t="str">
        <x:v>BAYA</x:v>
      </x:c>
      <x:c r="B352" t="str">
        <x:v>11.07</x:v>
      </x:c>
      <x:c r="C352" t="str">
        <x:v>available</x:v>
      </x:c>
      <x:c r="D352" t="str">
        <x:v>present</x:v>
      </x:c>
      <x:c r="E352" t="str">
        <x:v>baseline</x:v>
      </x:c>
      <x:c r="F352" s="11" t="n">
        <x:v>46251.740894027775</x:v>
      </x:c>
      <x:c r="G352" t="str">
        <x:v>Byt</x:v>
      </x:c>
      <x:c r="H352" s="12" t="n">
        <x:v>3</x:v>
      </x:c>
      <x:c r="I352" s="13" t="n">
        <x:v>11</x:v>
      </x:c>
      <x:c r="J352" t="str">
        <x:v>BAYA</x:v>
      </x:c>
      <x:c r="K352" s="14" t="n">
        <x:v>85.35</x:v>
      </x:c>
      <x:c r="L352" s="14" t="n">
        <x:v>5.57</x:v>
      </x:c>
      <x:c r="M352" s="14" t="n">
        <x:v>0</x:v>
      </x:c>
      <x:c r="N352" s="14" t="n">
        <x:v>0</x:v>
      </x:c>
      <x:c r="O352" s="14"/>
      <x:c r="P352" s="14" t="n">
        <x:v>5.57</x:v>
      </x:c>
      <x:c r="Q352" s="14" t="n">
        <x:v>90.92</x:v>
      </x:c>
      <x:c r="R352" s="15" t="n">
        <x:v>502</x:v>
      </x:c>
      <x:c r="S352" s="15" t="n">
        <x:v>502</x:v>
      </x:c>
      <x:c r="T352" s="15"/>
      <x:c r="U352" s="16" t="n">
        <x:v>5.88</x:v>
      </x:c>
      <x:c r="V352" t="str">
        <x:v>BTK</x:v>
      </x:c>
      <x:c r="W352" t="str">
        <x:v>Ružinov</x:v>
      </x:c>
      <x:c r="X352" s="11" t="str">
        <x:v>Dostupný</x:v>
      </x:c>
      <x:c r="Y352" s="11" t="str">
        <x:v>https://www.baya.btk.sk/sk/byt/1107</x:v>
      </x:c>
      <x:c r="Z352" s="11" t="n">
        <x:v>46251.740894027775</x:v>
      </x:c>
      <x:c r="AA352" s="11" t="n">
        <x:v>46254.51251577547</x:v>
      </x:c>
      <x:c r="AB352" s="11" t="n">
        <x:v>46254.51251577547</x:v>
      </x:c>
      <x:c r="AC352" t="str">
        <x:v>baya</x:v>
      </x:c>
    </x:row>
    <x:row r="353" ht="22" customHeight="1">
      <x:c r="A353" t="str">
        <x:v>BAYA</x:v>
      </x:c>
      <x:c r="B353" t="str">
        <x:v>11.08</x:v>
      </x:c>
      <x:c r="C353" t="str">
        <x:v>sold</x:v>
      </x:c>
      <x:c r="D353" t="str">
        <x:v>present</x:v>
      </x:c>
      <x:c r="E353" t="str">
        <x:v>baseline</x:v>
      </x:c>
      <x:c r="F353" s="11" t="n">
        <x:v>46251.740894027775</x:v>
      </x:c>
      <x:c r="G353" t="str">
        <x:v>Byt</x:v>
      </x:c>
      <x:c r="H353" s="12" t="n">
        <x:v>3</x:v>
      </x:c>
      <x:c r="I353" s="13" t="n">
        <x:v>11</x:v>
      </x:c>
      <x:c r="J353" t="str">
        <x:v>BAYA</x:v>
      </x:c>
      <x:c r="K353" s="14" t="n">
        <x:v>89.74</x:v>
      </x:c>
      <x:c r="L353" s="14" t="n">
        <x:v>14.75</x:v>
      </x:c>
      <x:c r="M353" s="14" t="n">
        <x:v>0</x:v>
      </x:c>
      <x:c r="N353" s="14" t="n">
        <x:v>0</x:v>
      </x:c>
      <x:c r="O353" s="14"/>
      <x:c r="P353" s="14" t="n">
        <x:v>14.75</x:v>
      </x:c>
      <x:c r="Q353" s="14" t="n">
        <x:v>104.49</x:v>
      </x:c>
      <x:c r="R353" s="15"/>
      <x:c r="S353" s="15"/>
      <x:c r="T353" s="15"/>
      <x:c r="U353" s="16"/>
      <x:c r="V353" t="str">
        <x:v>BTK</x:v>
      </x:c>
      <x:c r="W353" t="str">
        <x:v>Ružinov</x:v>
      </x:c>
      <x:c r="X353" s="11" t="str">
        <x:v>Predané</x:v>
      </x:c>
      <x:c r="Y353" s="11" t="str">
        <x:v>https://www.baya.btk.sk/sk/byt/1108</x:v>
      </x:c>
      <x:c r="Z353" s="11" t="n">
        <x:v>46251.740894027775</x:v>
      </x:c>
      <x:c r="AA353" s="11" t="n">
        <x:v>46254.51251577547</x:v>
      </x:c>
      <x:c r="AB353" s="11" t="n">
        <x:v>46254.51251577547</x:v>
      </x:c>
      <x:c r="AC353" t="str">
        <x:v>baya</x:v>
      </x:c>
    </x:row>
    <x:row r="354" ht="22" customHeight="1">
      <x:c r="A354" t="str">
        <x:v>BAYA</x:v>
      </x:c>
      <x:c r="B354" t="str">
        <x:v>11.09</x:v>
      </x:c>
      <x:c r="C354" t="str">
        <x:v>pre_reserved</x:v>
      </x:c>
      <x:c r="D354" t="str">
        <x:v>present</x:v>
      </x:c>
      <x:c r="E354" t="str">
        <x:v>baseline</x:v>
      </x:c>
      <x:c r="F354" s="11" t="n">
        <x:v>46251.740894027775</x:v>
      </x:c>
      <x:c r="G354" t="str">
        <x:v>Byt</x:v>
      </x:c>
      <x:c r="H354" s="12" t="n">
        <x:v>1</x:v>
      </x:c>
      <x:c r="I354" s="13" t="n">
        <x:v>11</x:v>
      </x:c>
      <x:c r="J354" t="str">
        <x:v>BAYA</x:v>
      </x:c>
      <x:c r="K354" s="14" t="n">
        <x:v>35.35</x:v>
      </x:c>
      <x:c r="L354" s="14" t="n">
        <x:v>7.57</x:v>
      </x:c>
      <x:c r="M354" s="14" t="n">
        <x:v>0</x:v>
      </x:c>
      <x:c r="N354" s="14" t="n">
        <x:v>0</x:v>
      </x:c>
      <x:c r="O354" s="14"/>
      <x:c r="P354" s="14" t="n">
        <x:v>7.57</x:v>
      </x:c>
      <x:c r="Q354" s="14" t="n">
        <x:v>42.92</x:v>
      </x:c>
      <x:c r="R354" s="15"/>
      <x:c r="S354" s="15"/>
      <x:c r="T354" s="15"/>
      <x:c r="U354" s="16"/>
      <x:c r="V354" t="str">
        <x:v>BTK</x:v>
      </x:c>
      <x:c r="W354" t="str">
        <x:v>Ružinov</x:v>
      </x:c>
      <x:c r="X354" s="11" t="str">
        <x:v>Predrezervácia</x:v>
      </x:c>
      <x:c r="Y354" s="11" t="str">
        <x:v>https://www.baya.btk.sk/sk/byt/1109</x:v>
      </x:c>
      <x:c r="Z354" s="11" t="n">
        <x:v>46251.740894027775</x:v>
      </x:c>
      <x:c r="AA354" s="11" t="n">
        <x:v>46254.51251577547</x:v>
      </x:c>
      <x:c r="AB354" s="11" t="n">
        <x:v>46254.51251577547</x:v>
      </x:c>
      <x:c r="AC354" t="str">
        <x:v>baya</x:v>
      </x:c>
    </x:row>
    <x:row r="355" ht="22" customHeight="1">
      <x:c r="A355" t="str">
        <x:v>BAYA</x:v>
      </x:c>
      <x:c r="B355" t="str">
        <x:v>11.10</x:v>
      </x:c>
      <x:c r="C355" t="str">
        <x:v>available</x:v>
      </x:c>
      <x:c r="D355" t="str">
        <x:v>present</x:v>
      </x:c>
      <x:c r="E355" t="str">
        <x:v>baseline</x:v>
      </x:c>
      <x:c r="F355" s="11" t="n">
        <x:v>46251.740894027775</x:v>
      </x:c>
      <x:c r="G355" t="str">
        <x:v>Byt</x:v>
      </x:c>
      <x:c r="H355" s="12" t="n">
        <x:v>1</x:v>
      </x:c>
      <x:c r="I355" s="13" t="n">
        <x:v>11</x:v>
      </x:c>
      <x:c r="J355" t="str">
        <x:v>BAYA</x:v>
      </x:c>
      <x:c r="K355" s="14" t="n">
        <x:v>35.35</x:v>
      </x:c>
      <x:c r="L355" s="14" t="n">
        <x:v>6</x:v>
      </x:c>
      <x:c r="M355" s="14" t="n">
        <x:v>0</x:v>
      </x:c>
      <x:c r="N355" s="14" t="n">
        <x:v>0</x:v>
      </x:c>
      <x:c r="O355" s="14"/>
      <x:c r="P355" s="14" t="n">
        <x:v>6</x:v>
      </x:c>
      <x:c r="Q355" s="14" t="n">
        <x:v>41.35</x:v>
      </x:c>
      <x:c r="R355" s="15" t="n">
        <x:v>235</x:v>
      </x:c>
      <x:c r="S355" s="15" t="n">
        <x:v>235</x:v>
      </x:c>
      <x:c r="T355" s="15"/>
      <x:c r="U355" s="16" t="n">
        <x:v>6.65</x:v>
      </x:c>
      <x:c r="V355" t="str">
        <x:v>BTK</x:v>
      </x:c>
      <x:c r="W355" t="str">
        <x:v>Ružinov</x:v>
      </x:c>
      <x:c r="X355" s="11" t="str">
        <x:v>Dostupný</x:v>
      </x:c>
      <x:c r="Y355" s="11" t="str">
        <x:v>https://www.baya.btk.sk/sk/byt/1110</x:v>
      </x:c>
      <x:c r="Z355" s="11" t="n">
        <x:v>46251.740894027775</x:v>
      </x:c>
      <x:c r="AA355" s="11" t="n">
        <x:v>46254.51251577547</x:v>
      </x:c>
      <x:c r="AB355" s="11" t="n">
        <x:v>46254.51251577547</x:v>
      </x:c>
      <x:c r="AC355" t="str">
        <x:v>baya</x:v>
      </x:c>
    </x:row>
    <x:row r="356" ht="22" customHeight="1">
      <x:c r="A356" t="str">
        <x:v>BAYA</x:v>
      </x:c>
      <x:c r="B356" t="str">
        <x:v>11.11</x:v>
      </x:c>
      <x:c r="C356" t="str">
        <x:v>pre_reserved</x:v>
      </x:c>
      <x:c r="D356" t="str">
        <x:v>present</x:v>
      </x:c>
      <x:c r="E356" t="str">
        <x:v>baseline</x:v>
      </x:c>
      <x:c r="F356" s="11" t="n">
        <x:v>46251.740894027775</x:v>
      </x:c>
      <x:c r="G356" t="str">
        <x:v>Byt</x:v>
      </x:c>
      <x:c r="H356" s="12" t="n">
        <x:v>3</x:v>
      </x:c>
      <x:c r="I356" s="13" t="n">
        <x:v>11</x:v>
      </x:c>
      <x:c r="J356" t="str">
        <x:v>BAYA</x:v>
      </x:c>
      <x:c r="K356" s="14" t="n">
        <x:v>67.15</x:v>
      </x:c>
      <x:c r="L356" s="14" t="n">
        <x:v>10.55</x:v>
      </x:c>
      <x:c r="M356" s="14" t="n">
        <x:v>0</x:v>
      </x:c>
      <x:c r="N356" s="14" t="n">
        <x:v>0</x:v>
      </x:c>
      <x:c r="O356" s="14"/>
      <x:c r="P356" s="14" t="n">
        <x:v>10.55</x:v>
      </x:c>
      <x:c r="Q356" s="14" t="n">
        <x:v>77.7</x:v>
      </x:c>
      <x:c r="R356" s="15"/>
      <x:c r="S356" s="15"/>
      <x:c r="T356" s="15"/>
      <x:c r="U356" s="16"/>
      <x:c r="V356" t="str">
        <x:v>BTK</x:v>
      </x:c>
      <x:c r="W356" t="str">
        <x:v>Ružinov</x:v>
      </x:c>
      <x:c r="X356" s="11" t="str">
        <x:v>Predrezervácia</x:v>
      </x:c>
      <x:c r="Y356" s="11" t="str">
        <x:v>https://www.baya.btk.sk/sk/byt/1111</x:v>
      </x:c>
      <x:c r="Z356" s="11" t="n">
        <x:v>46251.740894027775</x:v>
      </x:c>
      <x:c r="AA356" s="11" t="n">
        <x:v>46254.51251577547</x:v>
      </x:c>
      <x:c r="AB356" s="11" t="n">
        <x:v>46254.51251577547</x:v>
      </x:c>
      <x:c r="AC356" t="str">
        <x:v>baya</x:v>
      </x:c>
    </x:row>
    <x:row r="357" ht="22" customHeight="1">
      <x:c r="A357" t="str">
        <x:v>BAYA</x:v>
      </x:c>
      <x:c r="B357" t="str">
        <x:v>11.12</x:v>
      </x:c>
      <x:c r="C357" t="str">
        <x:v>available</x:v>
      </x:c>
      <x:c r="D357" t="str">
        <x:v>present</x:v>
      </x:c>
      <x:c r="E357" t="str">
        <x:v>baseline</x:v>
      </x:c>
      <x:c r="F357" s="11" t="n">
        <x:v>46251.740894027775</x:v>
      </x:c>
      <x:c r="G357" t="str">
        <x:v>Byt</x:v>
      </x:c>
      <x:c r="H357" s="12" t="n">
        <x:v>3</x:v>
      </x:c>
      <x:c r="I357" s="13" t="n">
        <x:v>11</x:v>
      </x:c>
      <x:c r="J357" t="str">
        <x:v>BAYA</x:v>
      </x:c>
      <x:c r="K357" s="14" t="n">
        <x:v>61.2</x:v>
      </x:c>
      <x:c r="L357" s="14" t="n">
        <x:v>9.65</x:v>
      </x:c>
      <x:c r="M357" s="14" t="n">
        <x:v>0</x:v>
      </x:c>
      <x:c r="N357" s="14" t="n">
        <x:v>0</x:v>
      </x:c>
      <x:c r="O357" s="14"/>
      <x:c r="P357" s="14" t="n">
        <x:v>9.65</x:v>
      </x:c>
      <x:c r="Q357" s="14" t="n">
        <x:v>70.85</x:v>
      </x:c>
      <x:c r="R357" s="15" t="n">
        <x:v>369</x:v>
      </x:c>
      <x:c r="S357" s="15" t="n">
        <x:v>369</x:v>
      </x:c>
      <x:c r="T357" s="15"/>
      <x:c r="U357" s="16" t="n">
        <x:v>6.03</x:v>
      </x:c>
      <x:c r="V357" t="str">
        <x:v>BTK</x:v>
      </x:c>
      <x:c r="W357" t="str">
        <x:v>Ružinov</x:v>
      </x:c>
      <x:c r="X357" s="11" t="str">
        <x:v>Dostupný</x:v>
      </x:c>
      <x:c r="Y357" s="11" t="str">
        <x:v>https://www.baya.btk.sk/sk/byt/1112</x:v>
      </x:c>
      <x:c r="Z357" s="11" t="n">
        <x:v>46251.740894027775</x:v>
      </x:c>
      <x:c r="AA357" s="11" t="n">
        <x:v>46254.51251577547</x:v>
      </x:c>
      <x:c r="AB357" s="11" t="n">
        <x:v>46254.51251577547</x:v>
      </x:c>
      <x:c r="AC357" t="str">
        <x:v>baya</x:v>
      </x:c>
    </x:row>
    <x:row r="358" ht="22" customHeight="1">
      <x:c r="A358" t="str">
        <x:v>BAYA</x:v>
      </x:c>
      <x:c r="B358" t="str">
        <x:v>11.13</x:v>
      </x:c>
      <x:c r="C358" t="str">
        <x:v>available</x:v>
      </x:c>
      <x:c r="D358" t="str">
        <x:v>present</x:v>
      </x:c>
      <x:c r="E358" t="str">
        <x:v>baseline</x:v>
      </x:c>
      <x:c r="F358" s="11" t="n">
        <x:v>46251.740894027775</x:v>
      </x:c>
      <x:c r="G358" t="str">
        <x:v>Byt</x:v>
      </x:c>
      <x:c r="H358" s="12" t="n">
        <x:v>3</x:v>
      </x:c>
      <x:c r="I358" s="13" t="n">
        <x:v>11</x:v>
      </x:c>
      <x:c r="J358" t="str">
        <x:v>BAYA</x:v>
      </x:c>
      <x:c r="K358" s="14" t="n">
        <x:v>58.02</x:v>
      </x:c>
      <x:c r="L358" s="14" t="n">
        <x:v>10.55</x:v>
      </x:c>
      <x:c r="M358" s="14" t="n">
        <x:v>0</x:v>
      </x:c>
      <x:c r="N358" s="14" t="n">
        <x:v>0</x:v>
      </x:c>
      <x:c r="O358" s="14"/>
      <x:c r="P358" s="14" t="n">
        <x:v>10.55</x:v>
      </x:c>
      <x:c r="Q358" s="14" t="n">
        <x:v>68.57</x:v>
      </x:c>
      <x:c r="R358" s="15" t="n">
        <x:v>360</x:v>
      </x:c>
      <x:c r="S358" s="15" t="n">
        <x:v>360</x:v>
      </x:c>
      <x:c r="T358" s="15"/>
      <x:c r="U358" s="16" t="n">
        <x:v>6.2</x:v>
      </x:c>
      <x:c r="V358" t="str">
        <x:v>BTK</x:v>
      </x:c>
      <x:c r="W358" t="str">
        <x:v>Ružinov</x:v>
      </x:c>
      <x:c r="X358" s="11" t="str">
        <x:v>Dostupný</x:v>
      </x:c>
      <x:c r="Y358" s="11" t="str">
        <x:v>https://www.baya.btk.sk/sk/byt/1113</x:v>
      </x:c>
      <x:c r="Z358" s="11" t="n">
        <x:v>46251.740894027775</x:v>
      </x:c>
      <x:c r="AA358" s="11" t="n">
        <x:v>46254.51251577547</x:v>
      </x:c>
      <x:c r="AB358" s="11" t="n">
        <x:v>46254.51251577547</x:v>
      </x:c>
      <x:c r="AC358" t="str">
        <x:v>baya</x:v>
      </x:c>
    </x:row>
    <x:row r="359" ht="22" customHeight="1">
      <x:c r="A359" t="str">
        <x:v>BAYA</x:v>
      </x:c>
      <x:c r="B359" t="str">
        <x:v>11.14</x:v>
      </x:c>
      <x:c r="C359" t="str">
        <x:v>pre_reserved</x:v>
      </x:c>
      <x:c r="D359" t="str">
        <x:v>present</x:v>
      </x:c>
      <x:c r="E359" t="str">
        <x:v>baseline</x:v>
      </x:c>
      <x:c r="F359" s="11" t="n">
        <x:v>46251.740894027775</x:v>
      </x:c>
      <x:c r="G359" t="str">
        <x:v>Byt</x:v>
      </x:c>
      <x:c r="H359" s="12" t="n">
        <x:v>2</x:v>
      </x:c>
      <x:c r="I359" s="13" t="n">
        <x:v>11</x:v>
      </x:c>
      <x:c r="J359" t="str">
        <x:v>BAYA</x:v>
      </x:c>
      <x:c r="K359" s="14" t="n">
        <x:v>44.75</x:v>
      </x:c>
      <x:c r="L359" s="14" t="n">
        <x:v>0</x:v>
      </x:c>
      <x:c r="M359" s="14" t="n">
        <x:v>15.13</x:v>
      </x:c>
      <x:c r="N359" s="14" t="n">
        <x:v>0</x:v>
      </x:c>
      <x:c r="O359" s="14"/>
      <x:c r="P359" s="14" t="n">
        <x:v>15.13</x:v>
      </x:c>
      <x:c r="Q359" s="14" t="n">
        <x:v>59.88</x:v>
      </x:c>
      <x:c r="R359" s="15"/>
      <x:c r="S359" s="15"/>
      <x:c r="T359" s="15"/>
      <x:c r="U359" s="16"/>
      <x:c r="V359" t="str">
        <x:v>BTK</x:v>
      </x:c>
      <x:c r="W359" t="str">
        <x:v>Ružinov</x:v>
      </x:c>
      <x:c r="X359" s="11" t="str">
        <x:v>Predrezervácia</x:v>
      </x:c>
      <x:c r="Y359" s="11" t="str">
        <x:v>https://www.baya.btk.sk/sk/byt/1114</x:v>
      </x:c>
      <x:c r="Z359" s="11" t="n">
        <x:v>46251.740894027775</x:v>
      </x:c>
      <x:c r="AA359" s="11" t="n">
        <x:v>46254.51251577547</x:v>
      </x:c>
      <x:c r="AB359" s="11" t="n">
        <x:v>46254.51251577547</x:v>
      </x:c>
      <x:c r="AC359" t="str">
        <x:v>baya</x:v>
      </x:c>
    </x:row>
    <x:row r="360" ht="22" customHeight="1">
      <x:c r="A360" t="str">
        <x:v>BAYA</x:v>
      </x:c>
      <x:c r="B360" t="str">
        <x:v>11.15</x:v>
      </x:c>
      <x:c r="C360" t="str">
        <x:v>sold</x:v>
      </x:c>
      <x:c r="D360" t="str">
        <x:v>present</x:v>
      </x:c>
      <x:c r="E360" t="str">
        <x:v>baseline</x:v>
      </x:c>
      <x:c r="F360" s="11" t="n">
        <x:v>46251.740894027775</x:v>
      </x:c>
      <x:c r="G360" t="str">
        <x:v>Byt</x:v>
      </x:c>
      <x:c r="H360" s="12" t="n">
        <x:v>1</x:v>
      </x:c>
      <x:c r="I360" s="13" t="n">
        <x:v>11</x:v>
      </x:c>
      <x:c r="J360" t="str">
        <x:v>BAYA</x:v>
      </x:c>
      <x:c r="K360" s="14" t="n">
        <x:v>31.87</x:v>
      </x:c>
      <x:c r="L360" s="14" t="n">
        <x:v>7.58</x:v>
      </x:c>
      <x:c r="M360" s="14" t="n">
        <x:v>0</x:v>
      </x:c>
      <x:c r="N360" s="14" t="n">
        <x:v>0</x:v>
      </x:c>
      <x:c r="O360" s="14"/>
      <x:c r="P360" s="14" t="n">
        <x:v>7.58</x:v>
      </x:c>
      <x:c r="Q360" s="14" t="n">
        <x:v>39.45</x:v>
      </x:c>
      <x:c r="R360" s="15"/>
      <x:c r="S360" s="15"/>
      <x:c r="T360" s="15"/>
      <x:c r="U360" s="16"/>
      <x:c r="V360" t="str">
        <x:v>BTK</x:v>
      </x:c>
      <x:c r="W360" t="str">
        <x:v>Ružinov</x:v>
      </x:c>
      <x:c r="X360" s="11" t="str">
        <x:v>Predané</x:v>
      </x:c>
      <x:c r="Y360" s="11" t="str">
        <x:v>https://www.baya.btk.sk/sk/byt/1115</x:v>
      </x:c>
      <x:c r="Z360" s="11" t="n">
        <x:v>46251.740894027775</x:v>
      </x:c>
      <x:c r="AA360" s="11" t="n">
        <x:v>46254.51251577547</x:v>
      </x:c>
      <x:c r="AB360" s="11" t="n">
        <x:v>46254.51251577547</x:v>
      </x:c>
      <x:c r="AC360" t="str">
        <x:v>baya</x:v>
      </x:c>
    </x:row>
    <x:row r="361" ht="22" customHeight="1">
      <x:c r="A361" t="str">
        <x:v>BAYA</x:v>
      </x:c>
      <x:c r="B361" t="str">
        <x:v>11.16</x:v>
      </x:c>
      <x:c r="C361" t="str">
        <x:v>sold</x:v>
      </x:c>
      <x:c r="D361" t="str">
        <x:v>present</x:v>
      </x:c>
      <x:c r="E361" t="str">
        <x:v>baseline</x:v>
      </x:c>
      <x:c r="F361" s="11" t="n">
        <x:v>46251.740894027775</x:v>
      </x:c>
      <x:c r="G361" t="str">
        <x:v>Byt</x:v>
      </x:c>
      <x:c r="H361" s="12" t="n">
        <x:v>1</x:v>
      </x:c>
      <x:c r="I361" s="13" t="n">
        <x:v>11</x:v>
      </x:c>
      <x:c r="J361" t="str">
        <x:v>BAYA</x:v>
      </x:c>
      <x:c r="K361" s="14" t="n">
        <x:v>31.87</x:v>
      </x:c>
      <x:c r="L361" s="14" t="n">
        <x:v>0</x:v>
      </x:c>
      <x:c r="M361" s="14" t="n">
        <x:v>8.27</x:v>
      </x:c>
      <x:c r="N361" s="14" t="n">
        <x:v>0</x:v>
      </x:c>
      <x:c r="O361" s="14"/>
      <x:c r="P361" s="14" t="n">
        <x:v>8.27</x:v>
      </x:c>
      <x:c r="Q361" s="14" t="n">
        <x:v>40.14</x:v>
      </x:c>
      <x:c r="R361" s="15"/>
      <x:c r="S361" s="15"/>
      <x:c r="T361" s="15"/>
      <x:c r="U361" s="16"/>
      <x:c r="V361" t="str">
        <x:v>BTK</x:v>
      </x:c>
      <x:c r="W361" t="str">
        <x:v>Ružinov</x:v>
      </x:c>
      <x:c r="X361" s="11" t="str">
        <x:v>Predané</x:v>
      </x:c>
      <x:c r="Y361" s="11" t="str">
        <x:v>https://www.baya.btk.sk/sk/byt/1116</x:v>
      </x:c>
      <x:c r="Z361" s="11" t="n">
        <x:v>46251.740894027775</x:v>
      </x:c>
      <x:c r="AA361" s="11" t="n">
        <x:v>46254.51251577547</x:v>
      </x:c>
      <x:c r="AB361" s="11" t="n">
        <x:v>46254.51251577547</x:v>
      </x:c>
      <x:c r="AC361" t="str">
        <x:v>baya</x:v>
      </x:c>
    </x:row>
    <x:row r="362" ht="22" customHeight="1">
      <x:c r="A362" t="str">
        <x:v>BAYA</x:v>
      </x:c>
      <x:c r="B362" t="str">
        <x:v>11.17</x:v>
      </x:c>
      <x:c r="C362" t="str">
        <x:v>available</x:v>
      </x:c>
      <x:c r="D362" t="str">
        <x:v>present</x:v>
      </x:c>
      <x:c r="E362" t="str">
        <x:v>baseline</x:v>
      </x:c>
      <x:c r="F362" s="11" t="n">
        <x:v>46251.740894027775</x:v>
      </x:c>
      <x:c r="G362" t="str">
        <x:v>Byt</x:v>
      </x:c>
      <x:c r="H362" s="12" t="n">
        <x:v>3</x:v>
      </x:c>
      <x:c r="I362" s="13" t="n">
        <x:v>11</x:v>
      </x:c>
      <x:c r="J362" t="str">
        <x:v>BAYA</x:v>
      </x:c>
      <x:c r="K362" s="14" t="n">
        <x:v>73.58</x:v>
      </x:c>
      <x:c r="L362" s="14" t="n">
        <x:v>12.5</x:v>
      </x:c>
      <x:c r="M362" s="14" t="n">
        <x:v>0</x:v>
      </x:c>
      <x:c r="N362" s="14" t="n">
        <x:v>0</x:v>
      </x:c>
      <x:c r="O362" s="14"/>
      <x:c r="P362" s="14" t="n">
        <x:v>12.5</x:v>
      </x:c>
      <x:c r="Q362" s="14" t="n">
        <x:v>86.08</x:v>
      </x:c>
      <x:c r="R362" s="15" t="n">
        <x:v>455</x:v>
      </x:c>
      <x:c r="S362" s="15" t="n">
        <x:v>455</x:v>
      </x:c>
      <x:c r="T362" s="15"/>
      <x:c r="U362" s="16" t="n">
        <x:v>6.18</x:v>
      </x:c>
      <x:c r="V362" t="str">
        <x:v>BTK</x:v>
      </x:c>
      <x:c r="W362" t="str">
        <x:v>Ružinov</x:v>
      </x:c>
      <x:c r="X362" s="11" t="str">
        <x:v>Dostupný</x:v>
      </x:c>
      <x:c r="Y362" s="11" t="str">
        <x:v>https://www.baya.btk.sk/sk/byt/1117</x:v>
      </x:c>
      <x:c r="Z362" s="11" t="n">
        <x:v>46251.740894027775</x:v>
      </x:c>
      <x:c r="AA362" s="11" t="n">
        <x:v>46254.51251577547</x:v>
      </x:c>
      <x:c r="AB362" s="11" t="n">
        <x:v>46254.51251577547</x:v>
      </x:c>
      <x:c r="AC362" t="str">
        <x:v>baya</x:v>
      </x:c>
    </x:row>
    <x:row r="363" ht="22" customHeight="1">
      <x:c r="A363" t="str">
        <x:v>BAYA</x:v>
      </x:c>
      <x:c r="B363" t="str">
        <x:v>11.18</x:v>
      </x:c>
      <x:c r="C363" t="str">
        <x:v>available</x:v>
      </x:c>
      <x:c r="D363" t="str">
        <x:v>present</x:v>
      </x:c>
      <x:c r="E363" t="str">
        <x:v>baseline</x:v>
      </x:c>
      <x:c r="F363" s="11" t="n">
        <x:v>46251.740894027775</x:v>
      </x:c>
      <x:c r="G363" t="str">
        <x:v>Byt</x:v>
      </x:c>
      <x:c r="H363" s="12" t="n">
        <x:v>3</x:v>
      </x:c>
      <x:c r="I363" s="13" t="n">
        <x:v>11</x:v>
      </x:c>
      <x:c r="J363" t="str">
        <x:v>BAYA</x:v>
      </x:c>
      <x:c r="K363" s="14" t="n">
        <x:v>80.99</x:v>
      </x:c>
      <x:c r="L363" s="14" t="n">
        <x:v>0</x:v>
      </x:c>
      <x:c r="M363" s="14" t="n">
        <x:v>17.49</x:v>
      </x:c>
      <x:c r="N363" s="14" t="n">
        <x:v>0</x:v>
      </x:c>
      <x:c r="O363" s="14"/>
      <x:c r="P363" s="14" t="n">
        <x:v>17.49</x:v>
      </x:c>
      <x:c r="Q363" s="14" t="n">
        <x:v>98.48</x:v>
      </x:c>
      <x:c r="R363" s="15" t="n">
        <x:v>483</x:v>
      </x:c>
      <x:c r="S363" s="15" t="n">
        <x:v>483</x:v>
      </x:c>
      <x:c r="T363" s="15"/>
      <x:c r="U363" s="16" t="n">
        <x:v>5.96</x:v>
      </x:c>
      <x:c r="V363" t="str">
        <x:v>BTK</x:v>
      </x:c>
      <x:c r="W363" t="str">
        <x:v>Ružinov</x:v>
      </x:c>
      <x:c r="X363" s="11" t="str">
        <x:v>Dostupný</x:v>
      </x:c>
      <x:c r="Y363" s="11" t="str">
        <x:v>https://www.baya.btk.sk/sk/byt/1118</x:v>
      </x:c>
      <x:c r="Z363" s="11" t="n">
        <x:v>46251.740894027775</x:v>
      </x:c>
      <x:c r="AA363" s="11" t="n">
        <x:v>46254.51251577547</x:v>
      </x:c>
      <x:c r="AB363" s="11" t="n">
        <x:v>46254.51251577547</x:v>
      </x:c>
      <x:c r="AC363" t="str">
        <x:v>baya</x:v>
      </x:c>
    </x:row>
    <x:row r="364" ht="22" customHeight="1">
      <x:c r="A364" t="str">
        <x:v>BAYA</x:v>
      </x:c>
      <x:c r="B364" t="str">
        <x:v>11.19</x:v>
      </x:c>
      <x:c r="C364" t="str">
        <x:v>sold</x:v>
      </x:c>
      <x:c r="D364" t="str">
        <x:v>present</x:v>
      </x:c>
      <x:c r="E364" t="str">
        <x:v>baseline</x:v>
      </x:c>
      <x:c r="F364" s="11" t="n">
        <x:v>46251.740894027775</x:v>
      </x:c>
      <x:c r="G364" t="str">
        <x:v>Byt</x:v>
      </x:c>
      <x:c r="H364" s="12" t="n">
        <x:v>4</x:v>
      </x:c>
      <x:c r="I364" s="13" t="n">
        <x:v>11</x:v>
      </x:c>
      <x:c r="J364" t="str">
        <x:v>BAYA</x:v>
      </x:c>
      <x:c r="K364" s="14" t="n">
        <x:v>88.57</x:v>
      </x:c>
      <x:c r="L364" s="14" t="n">
        <x:v>18.93</x:v>
      </x:c>
      <x:c r="M364" s="14" t="n">
        <x:v>0</x:v>
      </x:c>
      <x:c r="N364" s="14" t="n">
        <x:v>0</x:v>
      </x:c>
      <x:c r="O364" s="14"/>
      <x:c r="P364" s="14" t="n">
        <x:v>18.93</x:v>
      </x:c>
      <x:c r="Q364" s="14" t="n">
        <x:v>107.5</x:v>
      </x:c>
      <x:c r="R364" s="15"/>
      <x:c r="S364" s="15"/>
      <x:c r="T364" s="15"/>
      <x:c r="U364" s="16"/>
      <x:c r="V364" t="str">
        <x:v>BTK</x:v>
      </x:c>
      <x:c r="W364" t="str">
        <x:v>Ružinov</x:v>
      </x:c>
      <x:c r="X364" s="11" t="str">
        <x:v>Predané</x:v>
      </x:c>
      <x:c r="Y364" s="11" t="str">
        <x:v>https://www.baya.btk.sk/sk/byt/1119</x:v>
      </x:c>
      <x:c r="Z364" s="11" t="n">
        <x:v>46251.740894027775</x:v>
      </x:c>
      <x:c r="AA364" s="11" t="n">
        <x:v>46254.51251577547</x:v>
      </x:c>
      <x:c r="AB364" s="11" t="n">
        <x:v>46254.51251577547</x:v>
      </x:c>
      <x:c r="AC364" t="str">
        <x:v>baya</x:v>
      </x:c>
    </x:row>
    <x:row r="365" ht="22" customHeight="1">
      <x:c r="A365" t="str">
        <x:v>BAYA</x:v>
      </x:c>
      <x:c r="B365" t="str">
        <x:v>11.20</x:v>
      </x:c>
      <x:c r="C365" t="str">
        <x:v>available</x:v>
      </x:c>
      <x:c r="D365" t="str">
        <x:v>present</x:v>
      </x:c>
      <x:c r="E365" t="str">
        <x:v>baseline</x:v>
      </x:c>
      <x:c r="F365" s="11" t="n">
        <x:v>46251.740894027775</x:v>
      </x:c>
      <x:c r="G365" t="str">
        <x:v>Byt</x:v>
      </x:c>
      <x:c r="H365" s="12" t="n">
        <x:v>3</x:v>
      </x:c>
      <x:c r="I365" s="13" t="n">
        <x:v>11</x:v>
      </x:c>
      <x:c r="J365" t="str">
        <x:v>BAYA</x:v>
      </x:c>
      <x:c r="K365" s="14" t="n">
        <x:v>77.19</x:v>
      </x:c>
      <x:c r="L365" s="14" t="n">
        <x:v>0</x:v>
      </x:c>
      <x:c r="M365" s="14" t="n">
        <x:v>18.92</x:v>
      </x:c>
      <x:c r="N365" s="14" t="n">
        <x:v>0</x:v>
      </x:c>
      <x:c r="O365" s="14"/>
      <x:c r="P365" s="14" t="n">
        <x:v>18.92</x:v>
      </x:c>
      <x:c r="Q365" s="14" t="n">
        <x:v>96.11</x:v>
      </x:c>
      <x:c r="R365" s="15" t="n">
        <x:v>464</x:v>
      </x:c>
      <x:c r="S365" s="15" t="n">
        <x:v>464</x:v>
      </x:c>
      <x:c r="T365" s="15"/>
      <x:c r="U365" s="16" t="n">
        <x:v>6.01</x:v>
      </x:c>
      <x:c r="V365" t="str">
        <x:v>BTK</x:v>
      </x:c>
      <x:c r="W365" t="str">
        <x:v>Ružinov</x:v>
      </x:c>
      <x:c r="X365" s="11" t="str">
        <x:v>Dostupný</x:v>
      </x:c>
      <x:c r="Y365" s="11" t="str">
        <x:v>https://www.baya.btk.sk/sk/byt/1120</x:v>
      </x:c>
      <x:c r="Z365" s="11" t="n">
        <x:v>46251.740894027775</x:v>
      </x:c>
      <x:c r="AA365" s="11" t="n">
        <x:v>46254.51251577547</x:v>
      </x:c>
      <x:c r="AB365" s="11" t="n">
        <x:v>46254.51251577547</x:v>
      </x:c>
      <x:c r="AC365" t="str">
        <x:v>baya</x:v>
      </x:c>
    </x:row>
    <x:row r="366" ht="22" customHeight="1">
      <x:c r="A366" t="str">
        <x:v>BAYA</x:v>
      </x:c>
      <x:c r="B366" t="str">
        <x:v>12.01</x:v>
      </x:c>
      <x:c r="C366" t="str">
        <x:v>sold</x:v>
      </x:c>
      <x:c r="D366" t="str">
        <x:v>present</x:v>
      </x:c>
      <x:c r="E366" t="str">
        <x:v>baseline</x:v>
      </x:c>
      <x:c r="F366" s="11" t="n">
        <x:v>46251.740894027775</x:v>
      </x:c>
      <x:c r="G366" t="str">
        <x:v>Byt</x:v>
      </x:c>
      <x:c r="H366" s="12" t="n">
        <x:v>5</x:v>
      </x:c>
      <x:c r="I366" s="13" t="n">
        <x:v>12</x:v>
      </x:c>
      <x:c r="J366" t="str">
        <x:v>BAYA</x:v>
      </x:c>
      <x:c r="K366" s="14" t="n">
        <x:v>146.84</x:v>
      </x:c>
      <x:c r="L366" s="14" t="n">
        <x:v>0</x:v>
      </x:c>
      <x:c r="M366" s="14" t="n">
        <x:v>0</x:v>
      </x:c>
      <x:c r="N366" s="14" t="n">
        <x:v>125.18</x:v>
      </x:c>
      <x:c r="O366" s="14"/>
      <x:c r="P366" s="14" t="n">
        <x:v>125.18</x:v>
      </x:c>
      <x:c r="Q366" s="14" t="n">
        <x:v>272.02</x:v>
      </x:c>
      <x:c r="R366" s="15"/>
      <x:c r="S366" s="15"/>
      <x:c r="T366" s="15"/>
      <x:c r="U366" s="16"/>
      <x:c r="V366" t="str">
        <x:v>BTK</x:v>
      </x:c>
      <x:c r="W366" t="str">
        <x:v>Ružinov</x:v>
      </x:c>
      <x:c r="X366" s="11" t="str">
        <x:v>Predané</x:v>
      </x:c>
      <x:c r="Y366" s="11" t="str">
        <x:v>https://www.baya.btk.sk/sk/byt/1201</x:v>
      </x:c>
      <x:c r="Z366" s="11" t="n">
        <x:v>46251.740894027775</x:v>
      </x:c>
      <x:c r="AA366" s="11" t="n">
        <x:v>46254.51251577547</x:v>
      </x:c>
      <x:c r="AB366" s="11" t="n">
        <x:v>46254.51251577547</x:v>
      </x:c>
      <x:c r="AC366" t="str">
        <x:v>baya</x:v>
      </x:c>
    </x:row>
    <x:row r="367" ht="22" customHeight="1">
      <x:c r="A367" t="str">
        <x:v>BAYA</x:v>
      </x:c>
      <x:c r="B367" t="str">
        <x:v>12.02</x:v>
      </x:c>
      <x:c r="C367" t="str">
        <x:v>sold</x:v>
      </x:c>
      <x:c r="D367" t="str">
        <x:v>present</x:v>
      </x:c>
      <x:c r="E367" t="str">
        <x:v>baseline</x:v>
      </x:c>
      <x:c r="F367" s="11" t="n">
        <x:v>46251.740894027775</x:v>
      </x:c>
      <x:c r="G367" t="str">
        <x:v>Byt</x:v>
      </x:c>
      <x:c r="H367" s="12" t="n">
        <x:v>4</x:v>
      </x:c>
      <x:c r="I367" s="13" t="n">
        <x:v>12</x:v>
      </x:c>
      <x:c r="J367" t="str">
        <x:v>BAYA</x:v>
      </x:c>
      <x:c r="K367" s="14" t="n">
        <x:v>99.03</x:v>
      </x:c>
      <x:c r="L367" s="14" t="n">
        <x:v>0</x:v>
      </x:c>
      <x:c r="M367" s="14" t="n">
        <x:v>0</x:v>
      </x:c>
      <x:c r="N367" s="14" t="n">
        <x:v>47.72</x:v>
      </x:c>
      <x:c r="O367" s="14"/>
      <x:c r="P367" s="14" t="n">
        <x:v>47.72</x:v>
      </x:c>
      <x:c r="Q367" s="14" t="n">
        <x:v>146.75</x:v>
      </x:c>
      <x:c r="R367" s="15"/>
      <x:c r="S367" s="15"/>
      <x:c r="T367" s="15"/>
      <x:c r="U367" s="16"/>
      <x:c r="V367" t="str">
        <x:v>BTK</x:v>
      </x:c>
      <x:c r="W367" t="str">
        <x:v>Ružinov</x:v>
      </x:c>
      <x:c r="X367" s="11" t="str">
        <x:v>Predané</x:v>
      </x:c>
      <x:c r="Y367" s="11" t="str">
        <x:v>https://www.baya.btk.sk/sk/byt/1202</x:v>
      </x:c>
      <x:c r="Z367" s="11" t="n">
        <x:v>46251.740894027775</x:v>
      </x:c>
      <x:c r="AA367" s="11" t="n">
        <x:v>46254.51251577547</x:v>
      </x:c>
      <x:c r="AB367" s="11" t="n">
        <x:v>46254.51251577547</x:v>
      </x:c>
      <x:c r="AC367" t="str">
        <x:v>baya</x:v>
      </x:c>
    </x:row>
    <x:row r="368" ht="22" customHeight="1">
      <x:c r="A368" t="str">
        <x:v>BAYA</x:v>
      </x:c>
      <x:c r="B368" t="str">
        <x:v>12.03</x:v>
      </x:c>
      <x:c r="C368" t="str">
        <x:v>sold</x:v>
      </x:c>
      <x:c r="D368" t="str">
        <x:v>present</x:v>
      </x:c>
      <x:c r="E368" t="str">
        <x:v>baseline</x:v>
      </x:c>
      <x:c r="F368" s="11" t="n">
        <x:v>46251.740894027775</x:v>
      </x:c>
      <x:c r="G368" t="str">
        <x:v>Byt</x:v>
      </x:c>
      <x:c r="H368" s="12" t="n">
        <x:v>4</x:v>
      </x:c>
      <x:c r="I368" s="13" t="n">
        <x:v>12</x:v>
      </x:c>
      <x:c r="J368" t="str">
        <x:v>BAYA</x:v>
      </x:c>
      <x:c r="K368" s="14" t="n">
        <x:v>99.41</x:v>
      </x:c>
      <x:c r="L368" s="14" t="n">
        <x:v>0</x:v>
      </x:c>
      <x:c r="M368" s="14" t="n">
        <x:v>0</x:v>
      </x:c>
      <x:c r="N368" s="14" t="n">
        <x:v>46.98</x:v>
      </x:c>
      <x:c r="O368" s="14"/>
      <x:c r="P368" s="14" t="n">
        <x:v>46.98</x:v>
      </x:c>
      <x:c r="Q368" s="14" t="n">
        <x:v>146.39</x:v>
      </x:c>
      <x:c r="R368" s="15"/>
      <x:c r="S368" s="15"/>
      <x:c r="T368" s="15"/>
      <x:c r="U368" s="16"/>
      <x:c r="V368" t="str">
        <x:v>BTK</x:v>
      </x:c>
      <x:c r="W368" t="str">
        <x:v>Ružinov</x:v>
      </x:c>
      <x:c r="X368" s="11" t="str">
        <x:v>Predané</x:v>
      </x:c>
      <x:c r="Y368" s="11" t="str">
        <x:v>https://www.baya.btk.sk/sk/byt/1203</x:v>
      </x:c>
      <x:c r="Z368" s="11" t="n">
        <x:v>46251.740894027775</x:v>
      </x:c>
      <x:c r="AA368" s="11" t="n">
        <x:v>46254.51251577547</x:v>
      </x:c>
      <x:c r="AB368" s="11" t="n">
        <x:v>46254.51251577547</x:v>
      </x:c>
      <x:c r="AC368" t="str">
        <x:v>baya</x:v>
      </x:c>
    </x:row>
    <x:row r="369" ht="22" customHeight="1">
      <x:c r="A369" t="str">
        <x:v>BAYA</x:v>
      </x:c>
      <x:c r="B369" t="str">
        <x:v>12.04</x:v>
      </x:c>
      <x:c r="C369" t="str">
        <x:v>sold</x:v>
      </x:c>
      <x:c r="D369" t="str">
        <x:v>present</x:v>
      </x:c>
      <x:c r="E369" t="str">
        <x:v>baseline</x:v>
      </x:c>
      <x:c r="F369" s="11" t="n">
        <x:v>46251.740894027775</x:v>
      </x:c>
      <x:c r="G369" t="str">
        <x:v>Byt</x:v>
      </x:c>
      <x:c r="H369" s="12" t="n">
        <x:v>4</x:v>
      </x:c>
      <x:c r="I369" s="13" t="n">
        <x:v>12</x:v>
      </x:c>
      <x:c r="J369" t="str">
        <x:v>BAYA</x:v>
      </x:c>
      <x:c r="K369" s="14" t="n">
        <x:v>109.31</x:v>
      </x:c>
      <x:c r="L369" s="14" t="n">
        <x:v>0</x:v>
      </x:c>
      <x:c r="M369" s="14" t="n">
        <x:v>0</x:v>
      </x:c>
      <x:c r="N369" s="14" t="n">
        <x:v>19.64</x:v>
      </x:c>
      <x:c r="O369" s="14"/>
      <x:c r="P369" s="14" t="n">
        <x:v>19.64</x:v>
      </x:c>
      <x:c r="Q369" s="14" t="n">
        <x:v>128.95</x:v>
      </x:c>
      <x:c r="R369" s="15"/>
      <x:c r="S369" s="15"/>
      <x:c r="T369" s="15"/>
      <x:c r="U369" s="16"/>
      <x:c r="V369" t="str">
        <x:v>BTK</x:v>
      </x:c>
      <x:c r="W369" t="str">
        <x:v>Ružinov</x:v>
      </x:c>
      <x:c r="X369" s="11" t="str">
        <x:v>Predané</x:v>
      </x:c>
      <x:c r="Y369" s="11" t="str">
        <x:v>https://www.baya.btk.sk/sk/byt/1204</x:v>
      </x:c>
      <x:c r="Z369" s="11" t="n">
        <x:v>46251.740894027775</x:v>
      </x:c>
      <x:c r="AA369" s="11" t="n">
        <x:v>46254.51251577547</x:v>
      </x:c>
      <x:c r="AB369" s="11" t="n">
        <x:v>46254.51251577547</x:v>
      </x:c>
      <x:c r="AC369" t="str">
        <x:v>baya</x:v>
      </x:c>
    </x:row>
    <x:row r="370" ht="22" customHeight="1">
      <x:c r="A370" t="str">
        <x:v>BAYA</x:v>
      </x:c>
      <x:c r="B370" t="str">
        <x:v>12.05</x:v>
      </x:c>
      <x:c r="C370" t="str">
        <x:v>sold</x:v>
      </x:c>
      <x:c r="D370" t="str">
        <x:v>present</x:v>
      </x:c>
      <x:c r="E370" t="str">
        <x:v>baseline</x:v>
      </x:c>
      <x:c r="F370" s="11" t="n">
        <x:v>46251.740894027775</x:v>
      </x:c>
      <x:c r="G370" t="str">
        <x:v>Byt</x:v>
      </x:c>
      <x:c r="H370" s="12" t="n">
        <x:v>3</x:v>
      </x:c>
      <x:c r="I370" s="13" t="n">
        <x:v>12</x:v>
      </x:c>
      <x:c r="J370" t="str">
        <x:v>BAYA</x:v>
      </x:c>
      <x:c r="K370" s="14" t="n">
        <x:v>80.02</x:v>
      </x:c>
      <x:c r="L370" s="14" t="n">
        <x:v>0</x:v>
      </x:c>
      <x:c r="M370" s="14" t="n">
        <x:v>0</x:v>
      </x:c>
      <x:c r="N370" s="14" t="n">
        <x:v>42.5</x:v>
      </x:c>
      <x:c r="O370" s="14"/>
      <x:c r="P370" s="14" t="n">
        <x:v>42.5</x:v>
      </x:c>
      <x:c r="Q370" s="14" t="n">
        <x:v>122.52</x:v>
      </x:c>
      <x:c r="R370" s="15"/>
      <x:c r="S370" s="15"/>
      <x:c r="T370" s="15"/>
      <x:c r="U370" s="16"/>
      <x:c r="V370" t="str">
        <x:v>BTK</x:v>
      </x:c>
      <x:c r="W370" t="str">
        <x:v>Ružinov</x:v>
      </x:c>
      <x:c r="X370" s="11" t="str">
        <x:v>Predané</x:v>
      </x:c>
      <x:c r="Y370" s="11" t="str">
        <x:v>https://www.baya.btk.sk/sk/byt/1205</x:v>
      </x:c>
      <x:c r="Z370" s="11" t="n">
        <x:v>46251.740894027775</x:v>
      </x:c>
      <x:c r="AA370" s="11" t="n">
        <x:v>46254.51251577547</x:v>
      </x:c>
      <x:c r="AB370" s="11" t="n">
        <x:v>46254.51251577547</x:v>
      </x:c>
      <x:c r="AC370" t="str">
        <x:v>baya</x:v>
      </x:c>
    </x:row>
    <x:row r="371" ht="22" customHeight="1">
      <x:c r="A371" t="str">
        <x:v>BAYA</x:v>
      </x:c>
      <x:c r="B371" t="str">
        <x:v>12.06</x:v>
      </x:c>
      <x:c r="C371" t="str">
        <x:v>sold</x:v>
      </x:c>
      <x:c r="D371" t="str">
        <x:v>present</x:v>
      </x:c>
      <x:c r="E371" t="str">
        <x:v>baseline</x:v>
      </x:c>
      <x:c r="F371" s="11" t="n">
        <x:v>46251.740894027775</x:v>
      </x:c>
      <x:c r="G371" t="str">
        <x:v>Byt</x:v>
      </x:c>
      <x:c r="H371" s="12" t="n">
        <x:v>4</x:v>
      </x:c>
      <x:c r="I371" s="13" t="n">
        <x:v>12</x:v>
      </x:c>
      <x:c r="J371" t="str">
        <x:v>BAYA</x:v>
      </x:c>
      <x:c r="K371" s="14" t="n">
        <x:v>103.1</x:v>
      </x:c>
      <x:c r="L371" s="14" t="n">
        <x:v>0</x:v>
      </x:c>
      <x:c r="M371" s="14" t="n">
        <x:v>0</x:v>
      </x:c>
      <x:c r="N371" s="14" t="n">
        <x:v>18.96</x:v>
      </x:c>
      <x:c r="O371" s="14"/>
      <x:c r="P371" s="14" t="n">
        <x:v>18.96</x:v>
      </x:c>
      <x:c r="Q371" s="14" t="n">
        <x:v>122.06</x:v>
      </x:c>
      <x:c r="R371" s="15"/>
      <x:c r="S371" s="15"/>
      <x:c r="T371" s="15"/>
      <x:c r="U371" s="16"/>
      <x:c r="V371" t="str">
        <x:v>BTK</x:v>
      </x:c>
      <x:c r="W371" t="str">
        <x:v>Ružinov</x:v>
      </x:c>
      <x:c r="X371" s="11" t="str">
        <x:v>Predané</x:v>
      </x:c>
      <x:c r="Y371" s="11" t="str">
        <x:v>https://www.baya.btk.sk/sk/byt/1206</x:v>
      </x:c>
      <x:c r="Z371" s="11" t="n">
        <x:v>46251.740894027775</x:v>
      </x:c>
      <x:c r="AA371" s="11" t="n">
        <x:v>46254.51251577547</x:v>
      </x:c>
      <x:c r="AB371" s="11" t="n">
        <x:v>46254.51251577547</x:v>
      </x:c>
      <x:c r="AC371" t="str">
        <x:v>baya</x:v>
      </x:c>
    </x:row>
    <x:row r="372" ht="22" customHeight="1">
      <x:c r="A372" t="str">
        <x:v>BAYA</x:v>
      </x:c>
      <x:c r="B372" t="str">
        <x:v>12.07</x:v>
      </x:c>
      <x:c r="C372" t="str">
        <x:v>sold</x:v>
      </x:c>
      <x:c r="D372" t="str">
        <x:v>present</x:v>
      </x:c>
      <x:c r="E372" t="str">
        <x:v>baseline</x:v>
      </x:c>
      <x:c r="F372" s="11" t="n">
        <x:v>46251.740894027775</x:v>
      </x:c>
      <x:c r="G372" t="str">
        <x:v>Byt</x:v>
      </x:c>
      <x:c r="H372" s="12" t="n">
        <x:v>4</x:v>
      </x:c>
      <x:c r="I372" s="13" t="n">
        <x:v>12</x:v>
      </x:c>
      <x:c r="J372" t="str">
        <x:v>BAYA</x:v>
      </x:c>
      <x:c r="K372" s="14" t="n">
        <x:v>102.17</x:v>
      </x:c>
      <x:c r="L372" s="14" t="n">
        <x:v>0</x:v>
      </x:c>
      <x:c r="M372" s="14" t="n">
        <x:v>0</x:v>
      </x:c>
      <x:c r="N372" s="14" t="n">
        <x:v>49.15</x:v>
      </x:c>
      <x:c r="O372" s="14"/>
      <x:c r="P372" s="14" t="n">
        <x:v>49.15</x:v>
      </x:c>
      <x:c r="Q372" s="14" t="n">
        <x:v>151.32</x:v>
      </x:c>
      <x:c r="R372" s="15"/>
      <x:c r="S372" s="15"/>
      <x:c r="T372" s="15"/>
      <x:c r="U372" s="16"/>
      <x:c r="V372" t="str">
        <x:v>BTK</x:v>
      </x:c>
      <x:c r="W372" t="str">
        <x:v>Ružinov</x:v>
      </x:c>
      <x:c r="X372" s="11" t="str">
        <x:v>Predané</x:v>
      </x:c>
      <x:c r="Y372" s="11" t="str">
        <x:v>https://www.baya.btk.sk/sk/byt/1207</x:v>
      </x:c>
      <x:c r="Z372" s="11" t="n">
        <x:v>46251.740894027775</x:v>
      </x:c>
      <x:c r="AA372" s="11" t="n">
        <x:v>46254.51251577547</x:v>
      </x:c>
      <x:c r="AB372" s="11" t="n">
        <x:v>46254.51251577547</x:v>
      </x:c>
      <x:c r="AC372" t="str">
        <x:v>baya</x:v>
      </x:c>
    </x:row>
    <x:row r="373" ht="22" customHeight="1">
      <x:c r="A373" t="str">
        <x:v>BAYA</x:v>
      </x:c>
      <x:c r="B373" t="str">
        <x:v>12.08</x:v>
      </x:c>
      <x:c r="C373" t="str">
        <x:v>sold</x:v>
      </x:c>
      <x:c r="D373" t="str">
        <x:v>present</x:v>
      </x:c>
      <x:c r="E373" t="str">
        <x:v>baseline</x:v>
      </x:c>
      <x:c r="F373" s="11" t="n">
        <x:v>46251.740894027775</x:v>
      </x:c>
      <x:c r="G373" t="str">
        <x:v>Byt</x:v>
      </x:c>
      <x:c r="H373" s="12" t="n">
        <x:v>5</x:v>
      </x:c>
      <x:c r="I373" s="13" t="n">
        <x:v>12</x:v>
      </x:c>
      <x:c r="J373" t="str">
        <x:v>BAYA</x:v>
      </x:c>
      <x:c r="K373" s="14" t="n">
        <x:v>156.07</x:v>
      </x:c>
      <x:c r="L373" s="14" t="n">
        <x:v>0</x:v>
      </x:c>
      <x:c r="M373" s="14" t="n">
        <x:v>0</x:v>
      </x:c>
      <x:c r="N373" s="14" t="n">
        <x:v>146.04</x:v>
      </x:c>
      <x:c r="O373" s="14"/>
      <x:c r="P373" s="14" t="n">
        <x:v>146.04</x:v>
      </x:c>
      <x:c r="Q373" s="14" t="n">
        <x:v>302.11</x:v>
      </x:c>
      <x:c r="R373" s="15"/>
      <x:c r="S373" s="15"/>
      <x:c r="T373" s="15"/>
      <x:c r="U373" s="16"/>
      <x:c r="V373" t="str">
        <x:v>BTK</x:v>
      </x:c>
      <x:c r="W373" t="str">
        <x:v>Ružinov</x:v>
      </x:c>
      <x:c r="X373" s="11" t="str">
        <x:v>Predané</x:v>
      </x:c>
      <x:c r="Y373" s="11" t="str">
        <x:v>https://www.baya.btk.sk/sk/byt/1208</x:v>
      </x:c>
      <x:c r="Z373" s="11" t="n">
        <x:v>46251.740894027775</x:v>
      </x:c>
      <x:c r="AA373" s="11" t="n">
        <x:v>46254.51251577547</x:v>
      </x:c>
      <x:c r="AB373" s="11" t="n">
        <x:v>46254.51251577547</x:v>
      </x:c>
      <x:c r="AC373" t="str">
        <x:v>baya</x:v>
      </x:c>
    </x:row>
    <x:row r="374" ht="22" customHeight="1">
      <x:c r="A374" t="str">
        <x:v>Downtown Yards</x:v>
      </x:c>
      <x:c r="B374" t="str">
        <x:v>A02.01</x:v>
      </x:c>
      <x:c r="C374" t="str">
        <x:v>sold</x:v>
      </x:c>
      <x:c r="D374" t="str">
        <x:v>present</x:v>
      </x:c>
      <x:c r="E374" t="str">
        <x:v>baseline</x:v>
      </x:c>
      <x:c r="F374" s="11" t="n">
        <x:v>46252.68496519676</x:v>
      </x:c>
      <x:c r="G374" t="str">
        <x:v>flat</x:v>
      </x:c>
      <x:c r="H374" s="12" t="n">
        <x:v>3</x:v>
      </x:c>
      <x:c r="I374" s="13" t="n">
        <x:v>2</x:v>
      </x:c>
      <x:c r="J374" t="str">
        <x:v>A</x:v>
      </x:c>
      <x:c r="K374" s="14" t="n">
        <x:v>78.6</x:v>
      </x:c>
      <x:c r="L374" s="14"/>
      <x:c r="M374" s="14"/>
      <x:c r="N374" s="14"/>
      <x:c r="O374" s="14"/>
      <x:c r="P374" s="14" t="n">
        <x:v>13.63</x:v>
      </x:c>
      <x:c r="Q374" s="14" t="n">
        <x:v>92.23</x:v>
      </x:c>
      <x:c r="R374" s="15"/>
      <x:c r="S374" s="15"/>
      <x:c r="T374" s="15"/>
      <x:c r="U374" s="16"/>
      <x:c r="V374" t="str">
        <x:v>JTRE</x:v>
      </x:c>
      <x:c r="W374" t="str">
        <x:v>Ružinov</x:v>
      </x:c>
      <x:c r="X374" s="11" t="str">
        <x:v>Predaný</x:v>
      </x:c>
      <x:c r="Y374" s="11" t="str">
        <x:v>https://d-y.sk/byty/a02.01/</x:v>
      </x:c>
      <x:c r="Z374" s="11" t="n">
        <x:v>46252.68496519676</x:v>
      </x:c>
      <x:c r="AA374" s="11" t="n">
        <x:v>46254.51251577547</x:v>
      </x:c>
      <x:c r="AB374" s="11" t="n">
        <x:v>46254.51251577547</x:v>
      </x:c>
      <x:c r="AC374" t="str">
        <x:v>downtown_yards</x:v>
      </x:c>
    </x:row>
    <x:row r="375" ht="22" customHeight="1">
      <x:c r="A375" t="str">
        <x:v>Downtown Yards</x:v>
      </x:c>
      <x:c r="B375" t="str">
        <x:v>A02.02</x:v>
      </x:c>
      <x:c r="C375" t="str">
        <x:v>sold</x:v>
      </x:c>
      <x:c r="D375" t="str">
        <x:v>present</x:v>
      </x:c>
      <x:c r="E375" t="str">
        <x:v>baseline</x:v>
      </x:c>
      <x:c r="F375" s="11" t="n">
        <x:v>46252.68496519676</x:v>
      </x:c>
      <x:c r="G375" t="str">
        <x:v>flat</x:v>
      </x:c>
      <x:c r="H375" s="12" t="n">
        <x:v>2</x:v>
      </x:c>
      <x:c r="I375" s="13" t="n">
        <x:v>2</x:v>
      </x:c>
      <x:c r="J375" t="str">
        <x:v>A</x:v>
      </x:c>
      <x:c r="K375" s="14" t="n">
        <x:v>49.82</x:v>
      </x:c>
      <x:c r="L375" s="14"/>
      <x:c r="M375" s="14"/>
      <x:c r="N375" s="14"/>
      <x:c r="O375" s="14"/>
      <x:c r="P375" s="14" t="n">
        <x:v>8.67</x:v>
      </x:c>
      <x:c r="Q375" s="14" t="n">
        <x:v>58.49</x:v>
      </x:c>
      <x:c r="R375" s="15"/>
      <x:c r="S375" s="15"/>
      <x:c r="T375" s="15"/>
      <x:c r="U375" s="16"/>
      <x:c r="V375" t="str">
        <x:v>JTRE</x:v>
      </x:c>
      <x:c r="W375" t="str">
        <x:v>Ružinov</x:v>
      </x:c>
      <x:c r="X375" s="11" t="str">
        <x:v>Predaný</x:v>
      </x:c>
      <x:c r="Y375" s="11" t="str">
        <x:v>https://d-y.sk/byty/a02.02/</x:v>
      </x:c>
      <x:c r="Z375" s="11" t="n">
        <x:v>46252.68496519676</x:v>
      </x:c>
      <x:c r="AA375" s="11" t="n">
        <x:v>46254.51251577547</x:v>
      </x:c>
      <x:c r="AB375" s="11" t="n">
        <x:v>46254.51251577547</x:v>
      </x:c>
      <x:c r="AC375" t="str">
        <x:v>downtown_yards</x:v>
      </x:c>
    </x:row>
    <x:row r="376" ht="22" customHeight="1">
      <x:c r="A376" t="str">
        <x:v>Downtown Yards</x:v>
      </x:c>
      <x:c r="B376" t="str">
        <x:v>A02.03</x:v>
      </x:c>
      <x:c r="C376" t="str">
        <x:v>sold</x:v>
      </x:c>
      <x:c r="D376" t="str">
        <x:v>present</x:v>
      </x:c>
      <x:c r="E376" t="str">
        <x:v>baseline</x:v>
      </x:c>
      <x:c r="F376" s="11" t="n">
        <x:v>46252.68496519676</x:v>
      </x:c>
      <x:c r="G376" t="str">
        <x:v>flat</x:v>
      </x:c>
      <x:c r="H376" s="12" t="n">
        <x:v>2</x:v>
      </x:c>
      <x:c r="I376" s="13" t="n">
        <x:v>2</x:v>
      </x:c>
      <x:c r="J376" t="str">
        <x:v>A</x:v>
      </x:c>
      <x:c r="K376" s="14" t="n">
        <x:v>49.89</x:v>
      </x:c>
      <x:c r="L376" s="14"/>
      <x:c r="M376" s="14"/>
      <x:c r="N376" s="14"/>
      <x:c r="O376" s="14"/>
      <x:c r="P376" s="14" t="n">
        <x:v>8.67</x:v>
      </x:c>
      <x:c r="Q376" s="14" t="n">
        <x:v>58.56</x:v>
      </x:c>
      <x:c r="R376" s="15"/>
      <x:c r="S376" s="15"/>
      <x:c r="T376" s="15"/>
      <x:c r="U376" s="16"/>
      <x:c r="V376" t="str">
        <x:v>JTRE</x:v>
      </x:c>
      <x:c r="W376" t="str">
        <x:v>Ružinov</x:v>
      </x:c>
      <x:c r="X376" s="11" t="str">
        <x:v>Predaný</x:v>
      </x:c>
      <x:c r="Y376" s="11" t="str">
        <x:v>https://d-y.sk/byty/a02.03/</x:v>
      </x:c>
      <x:c r="Z376" s="11" t="n">
        <x:v>46252.68496519676</x:v>
      </x:c>
      <x:c r="AA376" s="11" t="n">
        <x:v>46254.51251577547</x:v>
      </x:c>
      <x:c r="AB376" s="11" t="n">
        <x:v>46254.51251577547</x:v>
      </x:c>
      <x:c r="AC376" t="str">
        <x:v>downtown_yards</x:v>
      </x:c>
    </x:row>
    <x:row r="377" ht="22" customHeight="1">
      <x:c r="A377" t="str">
        <x:v>Downtown Yards</x:v>
      </x:c>
      <x:c r="B377" t="str">
        <x:v>A02.04</x:v>
      </x:c>
      <x:c r="C377" t="str">
        <x:v>sold</x:v>
      </x:c>
      <x:c r="D377" t="str">
        <x:v>present</x:v>
      </x:c>
      <x:c r="E377" t="str">
        <x:v>baseline</x:v>
      </x:c>
      <x:c r="F377" s="11" t="n">
        <x:v>46252.68496519676</x:v>
      </x:c>
      <x:c r="G377" t="str">
        <x:v>flat</x:v>
      </x:c>
      <x:c r="H377" s="12" t="n">
        <x:v>3</x:v>
      </x:c>
      <x:c r="I377" s="13" t="n">
        <x:v>2</x:v>
      </x:c>
      <x:c r="J377" t="str">
        <x:v>A</x:v>
      </x:c>
      <x:c r="K377" s="14" t="n">
        <x:v>86.33</x:v>
      </x:c>
      <x:c r="L377" s="14"/>
      <x:c r="M377" s="14"/>
      <x:c r="N377" s="14"/>
      <x:c r="O377" s="14"/>
      <x:c r="P377" s="14" t="n">
        <x:v>8.67</x:v>
      </x:c>
      <x:c r="Q377" s="14" t="n">
        <x:v>95</x:v>
      </x:c>
      <x:c r="R377" s="15"/>
      <x:c r="S377" s="15"/>
      <x:c r="T377" s="15"/>
      <x:c r="U377" s="16"/>
      <x:c r="V377" t="str">
        <x:v>JTRE</x:v>
      </x:c>
      <x:c r="W377" t="str">
        <x:v>Ružinov</x:v>
      </x:c>
      <x:c r="X377" s="11" t="str">
        <x:v>Predaný</x:v>
      </x:c>
      <x:c r="Y377" s="11" t="str">
        <x:v>https://d-y.sk/byty/a02.04/</x:v>
      </x:c>
      <x:c r="Z377" s="11" t="n">
        <x:v>46252.68496519676</x:v>
      </x:c>
      <x:c r="AA377" s="11" t="n">
        <x:v>46254.51251577547</x:v>
      </x:c>
      <x:c r="AB377" s="11" t="n">
        <x:v>46254.51251577547</x:v>
      </x:c>
      <x:c r="AC377" t="str">
        <x:v>downtown_yards</x:v>
      </x:c>
    </x:row>
    <x:row r="378" ht="22" customHeight="1">
      <x:c r="A378" t="str">
        <x:v>Downtown Yards</x:v>
      </x:c>
      <x:c r="B378" t="str">
        <x:v>A02.05</x:v>
      </x:c>
      <x:c r="C378" t="str">
        <x:v>sold</x:v>
      </x:c>
      <x:c r="D378" t="str">
        <x:v>present</x:v>
      </x:c>
      <x:c r="E378" t="str">
        <x:v>baseline</x:v>
      </x:c>
      <x:c r="F378" s="11" t="n">
        <x:v>46252.68496519676</x:v>
      </x:c>
      <x:c r="G378" t="str">
        <x:v>flat</x:v>
      </x:c>
      <x:c r="H378" s="12" t="n">
        <x:v>3</x:v>
      </x:c>
      <x:c r="I378" s="13" t="n">
        <x:v>2</x:v>
      </x:c>
      <x:c r="J378" t="str">
        <x:v>A</x:v>
      </x:c>
      <x:c r="K378" s="14" t="n">
        <x:v>84.54</x:v>
      </x:c>
      <x:c r="L378" s="14"/>
      <x:c r="M378" s="14"/>
      <x:c r="N378" s="14"/>
      <x:c r="O378" s="14"/>
      <x:c r="P378" s="14" t="n">
        <x:v>6.56</x:v>
      </x:c>
      <x:c r="Q378" s="14" t="n">
        <x:v>91.1</x:v>
      </x:c>
      <x:c r="R378" s="15"/>
      <x:c r="S378" s="15"/>
      <x:c r="T378" s="15"/>
      <x:c r="U378" s="16"/>
      <x:c r="V378" t="str">
        <x:v>JTRE</x:v>
      </x:c>
      <x:c r="W378" t="str">
        <x:v>Ružinov</x:v>
      </x:c>
      <x:c r="X378" s="11" t="str">
        <x:v>Predaný</x:v>
      </x:c>
      <x:c r="Y378" s="11" t="str">
        <x:v>https://d-y.sk/byty/a02.05/</x:v>
      </x:c>
      <x:c r="Z378" s="11" t="n">
        <x:v>46252.68496519676</x:v>
      </x:c>
      <x:c r="AA378" s="11" t="n">
        <x:v>46254.51251577547</x:v>
      </x:c>
      <x:c r="AB378" s="11" t="n">
        <x:v>46254.51251577547</x:v>
      </x:c>
      <x:c r="AC378" t="str">
        <x:v>downtown_yards</x:v>
      </x:c>
    </x:row>
    <x:row r="379" ht="22" customHeight="1">
      <x:c r="A379" t="str">
        <x:v>Downtown Yards</x:v>
      </x:c>
      <x:c r="B379" t="str">
        <x:v>A02.06</x:v>
      </x:c>
      <x:c r="C379" t="str">
        <x:v>sold</x:v>
      </x:c>
      <x:c r="D379" t="str">
        <x:v>present</x:v>
      </x:c>
      <x:c r="E379" t="str">
        <x:v>baseline</x:v>
      </x:c>
      <x:c r="F379" s="11" t="n">
        <x:v>46252.68496519676</x:v>
      </x:c>
      <x:c r="G379" t="str">
        <x:v>flat</x:v>
      </x:c>
      <x:c r="H379" s="12" t="n">
        <x:v>2</x:v>
      </x:c>
      <x:c r="I379" s="13" t="n">
        <x:v>2</x:v>
      </x:c>
      <x:c r="J379" t="str">
        <x:v>A</x:v>
      </x:c>
      <x:c r="K379" s="14" t="n">
        <x:v>49.69</x:v>
      </x:c>
      <x:c r="L379" s="14"/>
      <x:c r="M379" s="14"/>
      <x:c r="N379" s="14"/>
      <x:c r="O379" s="14"/>
      <x:c r="P379" s="14" t="n">
        <x:v>6.62</x:v>
      </x:c>
      <x:c r="Q379" s="14" t="n">
        <x:v>56.31</x:v>
      </x:c>
      <x:c r="R379" s="15"/>
      <x:c r="S379" s="15"/>
      <x:c r="T379" s="15"/>
      <x:c r="U379" s="16"/>
      <x:c r="V379" t="str">
        <x:v>JTRE</x:v>
      </x:c>
      <x:c r="W379" t="str">
        <x:v>Ružinov</x:v>
      </x:c>
      <x:c r="X379" s="11" t="str">
        <x:v>Predaný</x:v>
      </x:c>
      <x:c r="Y379" s="11" t="str">
        <x:v>https://d-y.sk/byty/a02.06/</x:v>
      </x:c>
      <x:c r="Z379" s="11" t="n">
        <x:v>46252.68496519676</x:v>
      </x:c>
      <x:c r="AA379" s="11" t="n">
        <x:v>46254.51251577547</x:v>
      </x:c>
      <x:c r="AB379" s="11" t="n">
        <x:v>46254.51251577547</x:v>
      </x:c>
      <x:c r="AC379" t="str">
        <x:v>downtown_yards</x:v>
      </x:c>
    </x:row>
    <x:row r="380" ht="22" customHeight="1">
      <x:c r="A380" t="str">
        <x:v>Downtown Yards</x:v>
      </x:c>
      <x:c r="B380" t="str">
        <x:v>A02.07</x:v>
      </x:c>
      <x:c r="C380" t="str">
        <x:v>sold</x:v>
      </x:c>
      <x:c r="D380" t="str">
        <x:v>present</x:v>
      </x:c>
      <x:c r="E380" t="str">
        <x:v>baseline</x:v>
      </x:c>
      <x:c r="F380" s="11" t="n">
        <x:v>46252.68496519676</x:v>
      </x:c>
      <x:c r="G380" t="str">
        <x:v>flat</x:v>
      </x:c>
      <x:c r="H380" s="12" t="n">
        <x:v>2</x:v>
      </x:c>
      <x:c r="I380" s="13" t="n">
        <x:v>2</x:v>
      </x:c>
      <x:c r="J380" t="str">
        <x:v>A</x:v>
      </x:c>
      <x:c r="K380" s="14" t="n">
        <x:v>49.77</x:v>
      </x:c>
      <x:c r="L380" s="14"/>
      <x:c r="M380" s="14"/>
      <x:c r="N380" s="14"/>
      <x:c r="O380" s="14"/>
      <x:c r="P380" s="14" t="n">
        <x:v>6.56</x:v>
      </x:c>
      <x:c r="Q380" s="14" t="n">
        <x:v>56.33</x:v>
      </x:c>
      <x:c r="R380" s="15"/>
      <x:c r="S380" s="15"/>
      <x:c r="T380" s="15"/>
      <x:c r="U380" s="16"/>
      <x:c r="V380" t="str">
        <x:v>JTRE</x:v>
      </x:c>
      <x:c r="W380" t="str">
        <x:v>Ružinov</x:v>
      </x:c>
      <x:c r="X380" s="11" t="str">
        <x:v>Predaný</x:v>
      </x:c>
      <x:c r="Y380" s="11" t="str">
        <x:v>https://d-y.sk/byty/a02.07/</x:v>
      </x:c>
      <x:c r="Z380" s="11" t="n">
        <x:v>46252.68496519676</x:v>
      </x:c>
      <x:c r="AA380" s="11" t="n">
        <x:v>46254.51251577547</x:v>
      </x:c>
      <x:c r="AB380" s="11" t="n">
        <x:v>46254.51251577547</x:v>
      </x:c>
      <x:c r="AC380" t="str">
        <x:v>downtown_yards</x:v>
      </x:c>
    </x:row>
    <x:row r="381" ht="22" customHeight="1">
      <x:c r="A381" t="str">
        <x:v>Downtown Yards</x:v>
      </x:c>
      <x:c r="B381" t="str">
        <x:v>A02.08</x:v>
      </x:c>
      <x:c r="C381" t="str">
        <x:v>sold</x:v>
      </x:c>
      <x:c r="D381" t="str">
        <x:v>present</x:v>
      </x:c>
      <x:c r="E381" t="str">
        <x:v>baseline</x:v>
      </x:c>
      <x:c r="F381" s="11" t="n">
        <x:v>46252.68496519676</x:v>
      </x:c>
      <x:c r="G381" t="str">
        <x:v>flat</x:v>
      </x:c>
      <x:c r="H381" s="12" t="n">
        <x:v>3</x:v>
      </x:c>
      <x:c r="I381" s="13" t="n">
        <x:v>2</x:v>
      </x:c>
      <x:c r="J381" t="str">
        <x:v>A</x:v>
      </x:c>
      <x:c r="K381" s="14" t="n">
        <x:v>76.07</x:v>
      </x:c>
      <x:c r="L381" s="14"/>
      <x:c r="M381" s="14"/>
      <x:c r="N381" s="14"/>
      <x:c r="O381" s="14"/>
      <x:c r="P381" s="14" t="n">
        <x:v>12.08</x:v>
      </x:c>
      <x:c r="Q381" s="14" t="n">
        <x:v>88.15</x:v>
      </x:c>
      <x:c r="R381" s="15"/>
      <x:c r="S381" s="15"/>
      <x:c r="T381" s="15"/>
      <x:c r="U381" s="16"/>
      <x:c r="V381" t="str">
        <x:v>JTRE</x:v>
      </x:c>
      <x:c r="W381" t="str">
        <x:v>Ružinov</x:v>
      </x:c>
      <x:c r="X381" s="11" t="str">
        <x:v>Predaný</x:v>
      </x:c>
      <x:c r="Y381" s="11" t="str">
        <x:v>https://d-y.sk/byty/a02.08/</x:v>
      </x:c>
      <x:c r="Z381" s="11" t="n">
        <x:v>46252.68496519676</x:v>
      </x:c>
      <x:c r="AA381" s="11" t="n">
        <x:v>46254.51251577547</x:v>
      </x:c>
      <x:c r="AB381" s="11" t="n">
        <x:v>46254.51251577547</x:v>
      </x:c>
      <x:c r="AC381" t="str">
        <x:v>downtown_yards</x:v>
      </x:c>
    </x:row>
    <x:row r="382" ht="22" customHeight="1">
      <x:c r="A382" t="str">
        <x:v>Downtown Yards</x:v>
      </x:c>
      <x:c r="B382" t="str">
        <x:v>A03.01</x:v>
      </x:c>
      <x:c r="C382" t="str">
        <x:v>sold</x:v>
      </x:c>
      <x:c r="D382" t="str">
        <x:v>present</x:v>
      </x:c>
      <x:c r="E382" t="str">
        <x:v>baseline</x:v>
      </x:c>
      <x:c r="F382" s="11" t="n">
        <x:v>46252.68496519676</x:v>
      </x:c>
      <x:c r="G382" t="str">
        <x:v>flat</x:v>
      </x:c>
      <x:c r="H382" s="12" t="n">
        <x:v>3</x:v>
      </x:c>
      <x:c r="I382" s="13" t="n">
        <x:v>3</x:v>
      </x:c>
      <x:c r="J382" t="str">
        <x:v>A</x:v>
      </x:c>
      <x:c r="K382" s="14" t="n">
        <x:v>78.96</x:v>
      </x:c>
      <x:c r="L382" s="14"/>
      <x:c r="M382" s="14"/>
      <x:c r="N382" s="14"/>
      <x:c r="O382" s="14"/>
      <x:c r="P382" s="14" t="n">
        <x:v>13.63</x:v>
      </x:c>
      <x:c r="Q382" s="14" t="n">
        <x:v>92.59</x:v>
      </x:c>
      <x:c r="R382" s="15"/>
      <x:c r="S382" s="15"/>
      <x:c r="T382" s="15"/>
      <x:c r="U382" s="16"/>
      <x:c r="V382" t="str">
        <x:v>JTRE</x:v>
      </x:c>
      <x:c r="W382" t="str">
        <x:v>Ružinov</x:v>
      </x:c>
      <x:c r="X382" s="11" t="str">
        <x:v>Predaný</x:v>
      </x:c>
      <x:c r="Y382" s="11" t="str">
        <x:v>https://d-y.sk/byty/a03.01/</x:v>
      </x:c>
      <x:c r="Z382" s="11" t="n">
        <x:v>46252.68496519676</x:v>
      </x:c>
      <x:c r="AA382" s="11" t="n">
        <x:v>46254.51251577547</x:v>
      </x:c>
      <x:c r="AB382" s="11" t="n">
        <x:v>46254.51251577547</x:v>
      </x:c>
      <x:c r="AC382" t="str">
        <x:v>downtown_yards</x:v>
      </x:c>
    </x:row>
    <x:row r="383" ht="22" customHeight="1">
      <x:c r="A383" t="str">
        <x:v>Downtown Yards</x:v>
      </x:c>
      <x:c r="B383" t="str">
        <x:v>A03.02</x:v>
      </x:c>
      <x:c r="C383" t="str">
        <x:v>sold</x:v>
      </x:c>
      <x:c r="D383" t="str">
        <x:v>present</x:v>
      </x:c>
      <x:c r="E383" t="str">
        <x:v>baseline</x:v>
      </x:c>
      <x:c r="F383" s="11" t="n">
        <x:v>46252.68496519676</x:v>
      </x:c>
      <x:c r="G383" t="str">
        <x:v>flat</x:v>
      </x:c>
      <x:c r="H383" s="12" t="n">
        <x:v>2</x:v>
      </x:c>
      <x:c r="I383" s="13" t="n">
        <x:v>3</x:v>
      </x:c>
      <x:c r="J383" t="str">
        <x:v>A</x:v>
      </x:c>
      <x:c r="K383" s="14" t="n">
        <x:v>50.37</x:v>
      </x:c>
      <x:c r="L383" s="14"/>
      <x:c r="M383" s="14"/>
      <x:c r="N383" s="14"/>
      <x:c r="O383" s="14"/>
      <x:c r="P383" s="14" t="n">
        <x:v>8.67</x:v>
      </x:c>
      <x:c r="Q383" s="14" t="n">
        <x:v>59.04</x:v>
      </x:c>
      <x:c r="R383" s="15"/>
      <x:c r="S383" s="15"/>
      <x:c r="T383" s="15"/>
      <x:c r="U383" s="16"/>
      <x:c r="V383" t="str">
        <x:v>JTRE</x:v>
      </x:c>
      <x:c r="W383" t="str">
        <x:v>Ružinov</x:v>
      </x:c>
      <x:c r="X383" s="11" t="str">
        <x:v>Predaný</x:v>
      </x:c>
      <x:c r="Y383" s="11" t="str">
        <x:v>https://d-y.sk/byty/a03.02/</x:v>
      </x:c>
      <x:c r="Z383" s="11" t="n">
        <x:v>46252.68496519676</x:v>
      </x:c>
      <x:c r="AA383" s="11" t="n">
        <x:v>46254.51251577547</x:v>
      </x:c>
      <x:c r="AB383" s="11" t="n">
        <x:v>46254.51251577547</x:v>
      </x:c>
      <x:c r="AC383" t="str">
        <x:v>downtown_yards</x:v>
      </x:c>
    </x:row>
    <x:row r="384" ht="22" customHeight="1">
      <x:c r="A384" t="str">
        <x:v>Downtown Yards</x:v>
      </x:c>
      <x:c r="B384" t="str">
        <x:v>A03.03</x:v>
      </x:c>
      <x:c r="C384" t="str">
        <x:v>sold</x:v>
      </x:c>
      <x:c r="D384" t="str">
        <x:v>present</x:v>
      </x:c>
      <x:c r="E384" t="str">
        <x:v>baseline</x:v>
      </x:c>
      <x:c r="F384" s="11" t="n">
        <x:v>46252.68496519676</x:v>
      </x:c>
      <x:c r="G384" t="str">
        <x:v>flat</x:v>
      </x:c>
      <x:c r="H384" s="12" t="n">
        <x:v>2</x:v>
      </x:c>
      <x:c r="I384" s="13" t="n">
        <x:v>3</x:v>
      </x:c>
      <x:c r="J384" t="str">
        <x:v>A</x:v>
      </x:c>
      <x:c r="K384" s="14" t="n">
        <x:v>50.23</x:v>
      </x:c>
      <x:c r="L384" s="14"/>
      <x:c r="M384" s="14"/>
      <x:c r="N384" s="14"/>
      <x:c r="O384" s="14"/>
      <x:c r="P384" s="14" t="n">
        <x:v>8.67</x:v>
      </x:c>
      <x:c r="Q384" s="14" t="n">
        <x:v>58.9</x:v>
      </x:c>
      <x:c r="R384" s="15"/>
      <x:c r="S384" s="15"/>
      <x:c r="T384" s="15"/>
      <x:c r="U384" s="16"/>
      <x:c r="V384" t="str">
        <x:v>JTRE</x:v>
      </x:c>
      <x:c r="W384" t="str">
        <x:v>Ružinov</x:v>
      </x:c>
      <x:c r="X384" s="11" t="str">
        <x:v>Predaný</x:v>
      </x:c>
      <x:c r="Y384" s="11" t="str">
        <x:v>https://d-y.sk/byty/a03.03/</x:v>
      </x:c>
      <x:c r="Z384" s="11" t="n">
        <x:v>46252.68496519676</x:v>
      </x:c>
      <x:c r="AA384" s="11" t="n">
        <x:v>46254.51251577547</x:v>
      </x:c>
      <x:c r="AB384" s="11" t="n">
        <x:v>46254.51251577547</x:v>
      </x:c>
      <x:c r="AC384" t="str">
        <x:v>downtown_yards</x:v>
      </x:c>
    </x:row>
    <x:row r="385" ht="22" customHeight="1">
      <x:c r="A385" t="str">
        <x:v>Downtown Yards</x:v>
      </x:c>
      <x:c r="B385" t="str">
        <x:v>A03.04</x:v>
      </x:c>
      <x:c r="C385" t="str">
        <x:v>sold</x:v>
      </x:c>
      <x:c r="D385" t="str">
        <x:v>present</x:v>
      </x:c>
      <x:c r="E385" t="str">
        <x:v>baseline</x:v>
      </x:c>
      <x:c r="F385" s="11" t="n">
        <x:v>46252.68496519676</x:v>
      </x:c>
      <x:c r="G385" t="str">
        <x:v>flat</x:v>
      </x:c>
      <x:c r="H385" s="12" t="n">
        <x:v>3</x:v>
      </x:c>
      <x:c r="I385" s="13" t="n">
        <x:v>3</x:v>
      </x:c>
      <x:c r="J385" t="str">
        <x:v>A</x:v>
      </x:c>
      <x:c r="K385" s="14" t="n">
        <x:v>86.33</x:v>
      </x:c>
      <x:c r="L385" s="14"/>
      <x:c r="M385" s="14"/>
      <x:c r="N385" s="14"/>
      <x:c r="O385" s="14"/>
      <x:c r="P385" s="14" t="n">
        <x:v>8.67</x:v>
      </x:c>
      <x:c r="Q385" s="14" t="n">
        <x:v>95</x:v>
      </x:c>
      <x:c r="R385" s="15"/>
      <x:c r="S385" s="15"/>
      <x:c r="T385" s="15"/>
      <x:c r="U385" s="16"/>
      <x:c r="V385" t="str">
        <x:v>JTRE</x:v>
      </x:c>
      <x:c r="W385" t="str">
        <x:v>Ružinov</x:v>
      </x:c>
      <x:c r="X385" s="11" t="str">
        <x:v>Predaný</x:v>
      </x:c>
      <x:c r="Y385" s="11" t="str">
        <x:v>https://d-y.sk/byty/a03.04/</x:v>
      </x:c>
      <x:c r="Z385" s="11" t="n">
        <x:v>46252.68496519676</x:v>
      </x:c>
      <x:c r="AA385" s="11" t="n">
        <x:v>46254.51251577547</x:v>
      </x:c>
      <x:c r="AB385" s="11" t="n">
        <x:v>46254.51251577547</x:v>
      </x:c>
      <x:c r="AC385" t="str">
        <x:v>downtown_yards</x:v>
      </x:c>
    </x:row>
    <x:row r="386" ht="22" customHeight="1">
      <x:c r="A386" t="str">
        <x:v>Downtown Yards</x:v>
      </x:c>
      <x:c r="B386" t="str">
        <x:v>A03.05</x:v>
      </x:c>
      <x:c r="C386" t="str">
        <x:v>sold</x:v>
      </x:c>
      <x:c r="D386" t="str">
        <x:v>present</x:v>
      </x:c>
      <x:c r="E386" t="str">
        <x:v>baseline</x:v>
      </x:c>
      <x:c r="F386" s="11" t="n">
        <x:v>46252.68496519676</x:v>
      </x:c>
      <x:c r="G386" t="str">
        <x:v>flat</x:v>
      </x:c>
      <x:c r="H386" s="12" t="n">
        <x:v>3</x:v>
      </x:c>
      <x:c r="I386" s="13" t="n">
        <x:v>3</x:v>
      </x:c>
      <x:c r="J386" t="str">
        <x:v>A</x:v>
      </x:c>
      <x:c r="K386" s="14" t="n">
        <x:v>84.89</x:v>
      </x:c>
      <x:c r="L386" s="14"/>
      <x:c r="M386" s="14"/>
      <x:c r="N386" s="14"/>
      <x:c r="O386" s="14"/>
      <x:c r="P386" s="14" t="n">
        <x:v>6.56</x:v>
      </x:c>
      <x:c r="Q386" s="14" t="n">
        <x:v>91.45</x:v>
      </x:c>
      <x:c r="R386" s="15"/>
      <x:c r="S386" s="15"/>
      <x:c r="T386" s="15"/>
      <x:c r="U386" s="16"/>
      <x:c r="V386" t="str">
        <x:v>JTRE</x:v>
      </x:c>
      <x:c r="W386" t="str">
        <x:v>Ružinov</x:v>
      </x:c>
      <x:c r="X386" s="11" t="str">
        <x:v>Predaný</x:v>
      </x:c>
      <x:c r="Y386" s="11" t="str">
        <x:v>https://d-y.sk/byty/a03.05/</x:v>
      </x:c>
      <x:c r="Z386" s="11" t="n">
        <x:v>46252.68496519676</x:v>
      </x:c>
      <x:c r="AA386" s="11" t="n">
        <x:v>46254.51251577547</x:v>
      </x:c>
      <x:c r="AB386" s="11" t="n">
        <x:v>46254.51251577547</x:v>
      </x:c>
      <x:c r="AC386" t="str">
        <x:v>downtown_yards</x:v>
      </x:c>
    </x:row>
    <x:row r="387" ht="22" customHeight="1">
      <x:c r="A387" t="str">
        <x:v>Downtown Yards</x:v>
      </x:c>
      <x:c r="B387" t="str">
        <x:v>A03.06</x:v>
      </x:c>
      <x:c r="C387" t="str">
        <x:v>sold</x:v>
      </x:c>
      <x:c r="D387" t="str">
        <x:v>present</x:v>
      </x:c>
      <x:c r="E387" t="str">
        <x:v>baseline</x:v>
      </x:c>
      <x:c r="F387" s="11" t="n">
        <x:v>46252.68496519676</x:v>
      </x:c>
      <x:c r="G387" t="str">
        <x:v>flat</x:v>
      </x:c>
      <x:c r="H387" s="12" t="n">
        <x:v>2</x:v>
      </x:c>
      <x:c r="I387" s="13" t="n">
        <x:v>3</x:v>
      </x:c>
      <x:c r="J387" t="str">
        <x:v>A</x:v>
      </x:c>
      <x:c r="K387" s="14" t="n">
        <x:v>50.86</x:v>
      </x:c>
      <x:c r="L387" s="14"/>
      <x:c r="M387" s="14"/>
      <x:c r="N387" s="14"/>
      <x:c r="O387" s="14"/>
      <x:c r="P387" s="14" t="n">
        <x:v>6.62</x:v>
      </x:c>
      <x:c r="Q387" s="14" t="n">
        <x:v>57.48</x:v>
      </x:c>
      <x:c r="R387" s="15"/>
      <x:c r="S387" s="15"/>
      <x:c r="T387" s="15"/>
      <x:c r="U387" s="16"/>
      <x:c r="V387" t="str">
        <x:v>JTRE</x:v>
      </x:c>
      <x:c r="W387" t="str">
        <x:v>Ružinov</x:v>
      </x:c>
      <x:c r="X387" s="11" t="str">
        <x:v>Predaný</x:v>
      </x:c>
      <x:c r="Y387" s="11" t="str">
        <x:v>https://d-y.sk/byty/a03.06/</x:v>
      </x:c>
      <x:c r="Z387" s="11" t="n">
        <x:v>46252.68496519676</x:v>
      </x:c>
      <x:c r="AA387" s="11" t="n">
        <x:v>46254.51251577547</x:v>
      </x:c>
      <x:c r="AB387" s="11" t="n">
        <x:v>46254.51251577547</x:v>
      </x:c>
      <x:c r="AC387" t="str">
        <x:v>downtown_yards</x:v>
      </x:c>
    </x:row>
    <x:row r="388" ht="22" customHeight="1">
      <x:c r="A388" t="str">
        <x:v>Downtown Yards</x:v>
      </x:c>
      <x:c r="B388" t="str">
        <x:v>A03.07</x:v>
      </x:c>
      <x:c r="C388" t="str">
        <x:v>sold</x:v>
      </x:c>
      <x:c r="D388" t="str">
        <x:v>present</x:v>
      </x:c>
      <x:c r="E388" t="str">
        <x:v>baseline</x:v>
      </x:c>
      <x:c r="F388" s="11" t="n">
        <x:v>46252.68496519676</x:v>
      </x:c>
      <x:c r="G388" t="str">
        <x:v>flat</x:v>
      </x:c>
      <x:c r="H388" s="12" t="n">
        <x:v>2</x:v>
      </x:c>
      <x:c r="I388" s="13" t="n">
        <x:v>3</x:v>
      </x:c>
      <x:c r="J388" t="str">
        <x:v>A</x:v>
      </x:c>
      <x:c r="K388" s="14" t="n">
        <x:v>50.96</x:v>
      </x:c>
      <x:c r="L388" s="14"/>
      <x:c r="M388" s="14"/>
      <x:c r="N388" s="14"/>
      <x:c r="O388" s="14"/>
      <x:c r="P388" s="14" t="n">
        <x:v>6.56</x:v>
      </x:c>
      <x:c r="Q388" s="14" t="n">
        <x:v>57.52</x:v>
      </x:c>
      <x:c r="R388" s="15"/>
      <x:c r="S388" s="15"/>
      <x:c r="T388" s="15"/>
      <x:c r="U388" s="16"/>
      <x:c r="V388" t="str">
        <x:v>JTRE</x:v>
      </x:c>
      <x:c r="W388" t="str">
        <x:v>Ružinov</x:v>
      </x:c>
      <x:c r="X388" s="11" t="str">
        <x:v>Predaný</x:v>
      </x:c>
      <x:c r="Y388" s="11" t="str">
        <x:v>https://d-y.sk/byty/a03.07/</x:v>
      </x:c>
      <x:c r="Z388" s="11" t="n">
        <x:v>46252.68496519676</x:v>
      </x:c>
      <x:c r="AA388" s="11" t="n">
        <x:v>46254.51251577547</x:v>
      </x:c>
      <x:c r="AB388" s="11" t="n">
        <x:v>46254.51251577547</x:v>
      </x:c>
      <x:c r="AC388" t="str">
        <x:v>downtown_yards</x:v>
      </x:c>
    </x:row>
    <x:row r="389" ht="22" customHeight="1">
      <x:c r="A389" t="str">
        <x:v>Downtown Yards</x:v>
      </x:c>
      <x:c r="B389" t="str">
        <x:v>A03.08</x:v>
      </x:c>
      <x:c r="C389" t="str">
        <x:v>available</x:v>
      </x:c>
      <x:c r="D389" t="str">
        <x:v>present</x:v>
      </x:c>
      <x:c r="E389" t="str">
        <x:v>baseline</x:v>
      </x:c>
      <x:c r="F389" s="11" t="n">
        <x:v>46252.68496519676</x:v>
      </x:c>
      <x:c r="G389" t="str">
        <x:v>flat</x:v>
      </x:c>
      <x:c r="H389" s="12" t="n">
        <x:v>3</x:v>
      </x:c>
      <x:c r="I389" s="13" t="n">
        <x:v>3</x:v>
      </x:c>
      <x:c r="J389" t="str">
        <x:v>A</x:v>
      </x:c>
      <x:c r="K389" s="14" t="n">
        <x:v>77.19</x:v>
      </x:c>
      <x:c r="L389" s="14"/>
      <x:c r="M389" s="14"/>
      <x:c r="N389" s="14"/>
      <x:c r="O389" s="14"/>
      <x:c r="P389" s="14" t="n">
        <x:v>12.08</x:v>
      </x:c>
      <x:c r="Q389" s="14" t="n">
        <x:v>89.27</x:v>
      </x:c>
      <x:c r="R389" s="15" t="n">
        <x:v>480930</x:v>
      </x:c>
      <x:c r="S389" s="15" t="n">
        <x:v>559158</x:v>
      </x:c>
      <x:c r="T389" s="15" t="n">
        <x:v>480930</x:v>
      </x:c>
      <x:c r="U389" s="16" t="n">
        <x:v>6230.47</x:v>
      </x:c>
      <x:c r="V389" t="str">
        <x:v>JTRE</x:v>
      </x:c>
      <x:c r="W389" t="str">
        <x:v>Ružinov</x:v>
      </x:c>
      <x:c r="X389" s="11" t="str">
        <x:v>Voľný</x:v>
      </x:c>
      <x:c r="Y389" s="11" t="str">
        <x:v>https://d-y.sk/byty/a03.08/</x:v>
      </x:c>
      <x:c r="Z389" s="11" t="n">
        <x:v>46252.68496519676</x:v>
      </x:c>
      <x:c r="AA389" s="11" t="n">
        <x:v>46254.51251577547</x:v>
      </x:c>
      <x:c r="AB389" s="11" t="n">
        <x:v>46254.51251577547</x:v>
      </x:c>
      <x:c r="AC389" t="str">
        <x:v>downtown_yards</x:v>
      </x:c>
    </x:row>
    <x:row r="390" ht="22" customHeight="1">
      <x:c r="A390" t="str">
        <x:v>Downtown Yards</x:v>
      </x:c>
      <x:c r="B390" t="str">
        <x:v>A04.01</x:v>
      </x:c>
      <x:c r="C390" t="str">
        <x:v>sold</x:v>
      </x:c>
      <x:c r="D390" t="str">
        <x:v>present</x:v>
      </x:c>
      <x:c r="E390" t="str">
        <x:v>baseline</x:v>
      </x:c>
      <x:c r="F390" s="11" t="n">
        <x:v>46252.68496519676</x:v>
      </x:c>
      <x:c r="G390" t="str">
        <x:v>flat</x:v>
      </x:c>
      <x:c r="H390" s="12" t="n">
        <x:v>3</x:v>
      </x:c>
      <x:c r="I390" s="13" t="n">
        <x:v>4</x:v>
      </x:c>
      <x:c r="J390" t="str">
        <x:v>A</x:v>
      </x:c>
      <x:c r="K390" s="14" t="n">
        <x:v>81.12</x:v>
      </x:c>
      <x:c r="L390" s="14"/>
      <x:c r="M390" s="14"/>
      <x:c r="N390" s="14"/>
      <x:c r="O390" s="14"/>
      <x:c r="P390" s="14" t="n">
        <x:v>13.63</x:v>
      </x:c>
      <x:c r="Q390" s="14" t="n">
        <x:v>94.75</x:v>
      </x:c>
      <x:c r="R390" s="15"/>
      <x:c r="S390" s="15"/>
      <x:c r="T390" s="15"/>
      <x:c r="U390" s="16"/>
      <x:c r="V390" t="str">
        <x:v>JTRE</x:v>
      </x:c>
      <x:c r="W390" t="str">
        <x:v>Ružinov</x:v>
      </x:c>
      <x:c r="X390" s="11" t="str">
        <x:v>Predaný</x:v>
      </x:c>
      <x:c r="Y390" s="11" t="str">
        <x:v>https://d-y.sk/byty/a04.01/</x:v>
      </x:c>
      <x:c r="Z390" s="11" t="n">
        <x:v>46252.68496519676</x:v>
      </x:c>
      <x:c r="AA390" s="11" t="n">
        <x:v>46254.51251577547</x:v>
      </x:c>
      <x:c r="AB390" s="11" t="n">
        <x:v>46254.51251577547</x:v>
      </x:c>
      <x:c r="AC390" t="str">
        <x:v>downtown_yards</x:v>
      </x:c>
    </x:row>
    <x:row r="391" ht="22" customHeight="1">
      <x:c r="A391" t="str">
        <x:v>Downtown Yards</x:v>
      </x:c>
      <x:c r="B391" t="str">
        <x:v>A04.02</x:v>
      </x:c>
      <x:c r="C391" t="str">
        <x:v>sold</x:v>
      </x:c>
      <x:c r="D391" t="str">
        <x:v>present</x:v>
      </x:c>
      <x:c r="E391" t="str">
        <x:v>baseline</x:v>
      </x:c>
      <x:c r="F391" s="11" t="n">
        <x:v>46252.68496519676</x:v>
      </x:c>
      <x:c r="G391" t="str">
        <x:v>flat</x:v>
      </x:c>
      <x:c r="H391" s="12" t="n">
        <x:v>2</x:v>
      </x:c>
      <x:c r="I391" s="13" t="n">
        <x:v>4</x:v>
      </x:c>
      <x:c r="J391" t="str">
        <x:v>A</x:v>
      </x:c>
      <x:c r="K391" s="14" t="n">
        <x:v>52.22</x:v>
      </x:c>
      <x:c r="L391" s="14"/>
      <x:c r="M391" s="14"/>
      <x:c r="N391" s="14"/>
      <x:c r="O391" s="14"/>
      <x:c r="P391" s="14" t="n">
        <x:v>8.67</x:v>
      </x:c>
      <x:c r="Q391" s="14" t="n">
        <x:v>60.89</x:v>
      </x:c>
      <x:c r="R391" s="15"/>
      <x:c r="S391" s="15"/>
      <x:c r="T391" s="15"/>
      <x:c r="U391" s="16"/>
      <x:c r="V391" t="str">
        <x:v>JTRE</x:v>
      </x:c>
      <x:c r="W391" t="str">
        <x:v>Ružinov</x:v>
      </x:c>
      <x:c r="X391" s="11" t="str">
        <x:v>Predaný</x:v>
      </x:c>
      <x:c r="Y391" s="11" t="str">
        <x:v>https://d-y.sk/byty/a04.02/</x:v>
      </x:c>
      <x:c r="Z391" s="11" t="n">
        <x:v>46252.68496519676</x:v>
      </x:c>
      <x:c r="AA391" s="11" t="n">
        <x:v>46254.51251577547</x:v>
      </x:c>
      <x:c r="AB391" s="11" t="n">
        <x:v>46254.51251577547</x:v>
      </x:c>
      <x:c r="AC391" t="str">
        <x:v>downtown_yards</x:v>
      </x:c>
    </x:row>
    <x:row r="392" ht="22" customHeight="1">
      <x:c r="A392" t="str">
        <x:v>Downtown Yards</x:v>
      </x:c>
      <x:c r="B392" t="str">
        <x:v>A04.03</x:v>
      </x:c>
      <x:c r="C392" t="str">
        <x:v>sold</x:v>
      </x:c>
      <x:c r="D392" t="str">
        <x:v>present</x:v>
      </x:c>
      <x:c r="E392" t="str">
        <x:v>baseline</x:v>
      </x:c>
      <x:c r="F392" s="11" t="n">
        <x:v>46252.68496519676</x:v>
      </x:c>
      <x:c r="G392" t="str">
        <x:v>flat</x:v>
      </x:c>
      <x:c r="H392" s="12" t="n">
        <x:v>2</x:v>
      </x:c>
      <x:c r="I392" s="13" t="n">
        <x:v>4</x:v>
      </x:c>
      <x:c r="J392" t="str">
        <x:v>A</x:v>
      </x:c>
      <x:c r="K392" s="14" t="n">
        <x:v>51.68</x:v>
      </x:c>
      <x:c r="L392" s="14"/>
      <x:c r="M392" s="14"/>
      <x:c r="N392" s="14"/>
      <x:c r="O392" s="14"/>
      <x:c r="P392" s="14" t="n">
        <x:v>8.67</x:v>
      </x:c>
      <x:c r="Q392" s="14" t="n">
        <x:v>60.35</x:v>
      </x:c>
      <x:c r="R392" s="15"/>
      <x:c r="S392" s="15"/>
      <x:c r="T392" s="15"/>
      <x:c r="U392" s="16"/>
      <x:c r="V392" t="str">
        <x:v>JTRE</x:v>
      </x:c>
      <x:c r="W392" t="str">
        <x:v>Ružinov</x:v>
      </x:c>
      <x:c r="X392" s="11" t="str">
        <x:v>Predaný</x:v>
      </x:c>
      <x:c r="Y392" s="11" t="str">
        <x:v>https://d-y.sk/byty/a04.03/</x:v>
      </x:c>
      <x:c r="Z392" s="11" t="n">
        <x:v>46252.68496519676</x:v>
      </x:c>
      <x:c r="AA392" s="11" t="n">
        <x:v>46254.51251577547</x:v>
      </x:c>
      <x:c r="AB392" s="11" t="n">
        <x:v>46254.51251577547</x:v>
      </x:c>
      <x:c r="AC392" t="str">
        <x:v>downtown_yards</x:v>
      </x:c>
    </x:row>
    <x:row r="393" ht="22" customHeight="1">
      <x:c r="A393" t="str">
        <x:v>Downtown Yards</x:v>
      </x:c>
      <x:c r="B393" t="str">
        <x:v>A04.04</x:v>
      </x:c>
      <x:c r="C393" t="str">
        <x:v>sold</x:v>
      </x:c>
      <x:c r="D393" t="str">
        <x:v>present</x:v>
      </x:c>
      <x:c r="E393" t="str">
        <x:v>baseline</x:v>
      </x:c>
      <x:c r="F393" s="11" t="n">
        <x:v>46252.68496519676</x:v>
      </x:c>
      <x:c r="G393" t="str">
        <x:v>flat</x:v>
      </x:c>
      <x:c r="H393" s="12" t="n">
        <x:v>3</x:v>
      </x:c>
      <x:c r="I393" s="13" t="n">
        <x:v>4</x:v>
      </x:c>
      <x:c r="J393" t="str">
        <x:v>A</x:v>
      </x:c>
      <x:c r="K393" s="14" t="n">
        <x:v>87.6</x:v>
      </x:c>
      <x:c r="L393" s="14"/>
      <x:c r="M393" s="14"/>
      <x:c r="N393" s="14"/>
      <x:c r="O393" s="14"/>
      <x:c r="P393" s="14" t="n">
        <x:v>8.67</x:v>
      </x:c>
      <x:c r="Q393" s="14" t="n">
        <x:v>96.27</x:v>
      </x:c>
      <x:c r="R393" s="15"/>
      <x:c r="S393" s="15"/>
      <x:c r="T393" s="15"/>
      <x:c r="U393" s="16"/>
      <x:c r="V393" t="str">
        <x:v>JTRE</x:v>
      </x:c>
      <x:c r="W393" t="str">
        <x:v>Ružinov</x:v>
      </x:c>
      <x:c r="X393" s="11" t="str">
        <x:v>Predaný</x:v>
      </x:c>
      <x:c r="Y393" s="11" t="str">
        <x:v>https://d-y.sk/byty/a04.04/</x:v>
      </x:c>
      <x:c r="Z393" s="11" t="n">
        <x:v>46252.68496519676</x:v>
      </x:c>
      <x:c r="AA393" s="11" t="n">
        <x:v>46254.51251577547</x:v>
      </x:c>
      <x:c r="AB393" s="11" t="n">
        <x:v>46254.51251577547</x:v>
      </x:c>
      <x:c r="AC393" t="str">
        <x:v>downtown_yards</x:v>
      </x:c>
    </x:row>
    <x:row r="394" ht="22" customHeight="1">
      <x:c r="A394" t="str">
        <x:v>Downtown Yards</x:v>
      </x:c>
      <x:c r="B394" t="str">
        <x:v>A04.05</x:v>
      </x:c>
      <x:c r="C394" t="str">
        <x:v>available</x:v>
      </x:c>
      <x:c r="D394" t="str">
        <x:v>present</x:v>
      </x:c>
      <x:c r="E394" t="str">
        <x:v>baseline</x:v>
      </x:c>
      <x:c r="F394" s="11" t="n">
        <x:v>46252.68496519676</x:v>
      </x:c>
      <x:c r="G394" t="str">
        <x:v>flat</x:v>
      </x:c>
      <x:c r="H394" s="12" t="n">
        <x:v>3</x:v>
      </x:c>
      <x:c r="I394" s="13" t="n">
        <x:v>4</x:v>
      </x:c>
      <x:c r="J394" t="str">
        <x:v>A</x:v>
      </x:c>
      <x:c r="K394" s="14" t="n">
        <x:v>87.3</x:v>
      </x:c>
      <x:c r="L394" s="14"/>
      <x:c r="M394" s="14"/>
      <x:c r="N394" s="14"/>
      <x:c r="O394" s="14"/>
      <x:c r="P394" s="14" t="n">
        <x:v>6.58</x:v>
      </x:c>
      <x:c r="Q394" s="14" t="n">
        <x:v>93.88</x:v>
      </x:c>
      <x:c r="R394" s="15" t="n">
        <x:v>517707</x:v>
      </x:c>
      <x:c r="S394" s="15" t="n">
        <x:v>601962</x:v>
      </x:c>
      <x:c r="T394" s="15" t="n">
        <x:v>517707</x:v>
      </x:c>
      <x:c r="U394" s="16" t="n">
        <x:v>5930.21</x:v>
      </x:c>
      <x:c r="V394" t="str">
        <x:v>JTRE</x:v>
      </x:c>
      <x:c r="W394" t="str">
        <x:v>Ružinov</x:v>
      </x:c>
      <x:c r="X394" s="11" t="str">
        <x:v>Voľný</x:v>
      </x:c>
      <x:c r="Y394" s="11" t="str">
        <x:v>https://d-y.sk/byty/a04.05/</x:v>
      </x:c>
      <x:c r="Z394" s="11" t="n">
        <x:v>46252.68496519676</x:v>
      </x:c>
      <x:c r="AA394" s="11" t="n">
        <x:v>46254.51251577547</x:v>
      </x:c>
      <x:c r="AB394" s="11" t="n">
        <x:v>46254.51251577547</x:v>
      </x:c>
      <x:c r="AC394" t="str">
        <x:v>downtown_yards</x:v>
      </x:c>
    </x:row>
    <x:row r="395" ht="22" customHeight="1">
      <x:c r="A395" t="str">
        <x:v>Downtown Yards</x:v>
      </x:c>
      <x:c r="B395" t="str">
        <x:v>A04.06</x:v>
      </x:c>
      <x:c r="C395" t="str">
        <x:v>sold</x:v>
      </x:c>
      <x:c r="D395" t="str">
        <x:v>present</x:v>
      </x:c>
      <x:c r="E395" t="str">
        <x:v>baseline</x:v>
      </x:c>
      <x:c r="F395" s="11" t="n">
        <x:v>46252.68496519676</x:v>
      </x:c>
      <x:c r="G395" t="str">
        <x:v>flat</x:v>
      </x:c>
      <x:c r="H395" s="12" t="n">
        <x:v>2</x:v>
      </x:c>
      <x:c r="I395" s="13" t="n">
        <x:v>4</x:v>
      </x:c>
      <x:c r="J395" t="str">
        <x:v>A</x:v>
      </x:c>
      <x:c r="K395" s="14" t="n">
        <x:v>51.97</x:v>
      </x:c>
      <x:c r="L395" s="14"/>
      <x:c r="M395" s="14"/>
      <x:c r="N395" s="14"/>
      <x:c r="O395" s="14"/>
      <x:c r="P395" s="14" t="n">
        <x:v>6.58</x:v>
      </x:c>
      <x:c r="Q395" s="14" t="n">
        <x:v>58.55</x:v>
      </x:c>
      <x:c r="R395" s="15"/>
      <x:c r="S395" s="15"/>
      <x:c r="T395" s="15"/>
      <x:c r="U395" s="16"/>
      <x:c r="V395" t="str">
        <x:v>JTRE</x:v>
      </x:c>
      <x:c r="W395" t="str">
        <x:v>Ružinov</x:v>
      </x:c>
      <x:c r="X395" s="11" t="str">
        <x:v>Predaný</x:v>
      </x:c>
      <x:c r="Y395" s="11" t="str">
        <x:v>https://d-y.sk/byty/a04.06/</x:v>
      </x:c>
      <x:c r="Z395" s="11" t="n">
        <x:v>46252.68496519676</x:v>
      </x:c>
      <x:c r="AA395" s="11" t="n">
        <x:v>46254.51251577547</x:v>
      </x:c>
      <x:c r="AB395" s="11" t="n">
        <x:v>46254.51251577547</x:v>
      </x:c>
      <x:c r="AC395" t="str">
        <x:v>downtown_yards</x:v>
      </x:c>
    </x:row>
    <x:row r="396" ht="22" customHeight="1">
      <x:c r="A396" t="str">
        <x:v>Downtown Yards</x:v>
      </x:c>
      <x:c r="B396" t="str">
        <x:v>A04.07</x:v>
      </x:c>
      <x:c r="C396" t="str">
        <x:v>sold</x:v>
      </x:c>
      <x:c r="D396" t="str">
        <x:v>present</x:v>
      </x:c>
      <x:c r="E396" t="str">
        <x:v>baseline</x:v>
      </x:c>
      <x:c r="F396" s="11" t="n">
        <x:v>46252.68496519676</x:v>
      </x:c>
      <x:c r="G396" t="str">
        <x:v>flat</x:v>
      </x:c>
      <x:c r="H396" s="12" t="n">
        <x:v>2</x:v>
      </x:c>
      <x:c r="I396" s="13" t="n">
        <x:v>4</x:v>
      </x:c>
      <x:c r="J396" t="str">
        <x:v>A</x:v>
      </x:c>
      <x:c r="K396" s="14" t="n">
        <x:v>52.09</x:v>
      </x:c>
      <x:c r="L396" s="14"/>
      <x:c r="M396" s="14"/>
      <x:c r="N396" s="14"/>
      <x:c r="O396" s="14"/>
      <x:c r="P396" s="14" t="n">
        <x:v>6.58</x:v>
      </x:c>
      <x:c r="Q396" s="14" t="n">
        <x:v>58.67</x:v>
      </x:c>
      <x:c r="R396" s="15"/>
      <x:c r="S396" s="15"/>
      <x:c r="T396" s="15"/>
      <x:c r="U396" s="16"/>
      <x:c r="V396" t="str">
        <x:v>JTRE</x:v>
      </x:c>
      <x:c r="W396" t="str">
        <x:v>Ružinov</x:v>
      </x:c>
      <x:c r="X396" s="11" t="str">
        <x:v>Predaný</x:v>
      </x:c>
      <x:c r="Y396" s="11" t="str">
        <x:v>https://d-y.sk/byty/a04.07/</x:v>
      </x:c>
      <x:c r="Z396" s="11" t="n">
        <x:v>46252.68496519676</x:v>
      </x:c>
      <x:c r="AA396" s="11" t="n">
        <x:v>46254.51251577547</x:v>
      </x:c>
      <x:c r="AB396" s="11" t="n">
        <x:v>46254.51251577547</x:v>
      </x:c>
      <x:c r="AC396" t="str">
        <x:v>downtown_yards</x:v>
      </x:c>
    </x:row>
    <x:row r="397" ht="22" customHeight="1">
      <x:c r="A397" t="str">
        <x:v>Downtown Yards</x:v>
      </x:c>
      <x:c r="B397" t="str">
        <x:v>A04.08</x:v>
      </x:c>
      <x:c r="C397" t="str">
        <x:v>available</x:v>
      </x:c>
      <x:c r="D397" t="str">
        <x:v>present</x:v>
      </x:c>
      <x:c r="E397" t="str">
        <x:v>baseline</x:v>
      </x:c>
      <x:c r="F397" s="11" t="n">
        <x:v>46252.68496519676</x:v>
      </x:c>
      <x:c r="G397" t="str">
        <x:v>flat</x:v>
      </x:c>
      <x:c r="H397" s="12" t="n">
        <x:v>3</x:v>
      </x:c>
      <x:c r="I397" s="13" t="n">
        <x:v>4</x:v>
      </x:c>
      <x:c r="J397" t="str">
        <x:v>A</x:v>
      </x:c>
      <x:c r="K397" s="14" t="n">
        <x:v>79.39</x:v>
      </x:c>
      <x:c r="L397" s="14"/>
      <x:c r="M397" s="14"/>
      <x:c r="N397" s="14"/>
      <x:c r="O397" s="14"/>
      <x:c r="P397" s="14" t="n">
        <x:v>12.1</x:v>
      </x:c>
      <x:c r="Q397" s="14" t="n">
        <x:v>91.49</x:v>
      </x:c>
      <x:c r="R397" s="15" t="n">
        <x:v>529761</x:v>
      </x:c>
      <x:c r="S397" s="15" t="n">
        <x:v>611187</x:v>
      </x:c>
      <x:c r="T397" s="15" t="n">
        <x:v>529761</x:v>
      </x:c>
      <x:c r="U397" s="16" t="n">
        <x:v>6672.89</x:v>
      </x:c>
      <x:c r="V397" t="str">
        <x:v>JTRE</x:v>
      </x:c>
      <x:c r="W397" t="str">
        <x:v>Ružinov</x:v>
      </x:c>
      <x:c r="X397" s="11" t="str">
        <x:v>Voľný</x:v>
      </x:c>
      <x:c r="Y397" s="11" t="str">
        <x:v>https://d-y.sk/byty/a04.08/</x:v>
      </x:c>
      <x:c r="Z397" s="11" t="n">
        <x:v>46252.68496519676</x:v>
      </x:c>
      <x:c r="AA397" s="11" t="n">
        <x:v>46254.51251577547</x:v>
      </x:c>
      <x:c r="AB397" s="11" t="n">
        <x:v>46254.51251577547</x:v>
      </x:c>
      <x:c r="AC397" t="str">
        <x:v>downtown_yards</x:v>
      </x:c>
    </x:row>
    <x:row r="398" ht="22" customHeight="1">
      <x:c r="A398" t="str">
        <x:v>Downtown Yards</x:v>
      </x:c>
      <x:c r="B398" t="str">
        <x:v>A05.01</x:v>
      </x:c>
      <x:c r="C398" t="str">
        <x:v>sold</x:v>
      </x:c>
      <x:c r="D398" t="str">
        <x:v>present</x:v>
      </x:c>
      <x:c r="E398" t="str">
        <x:v>baseline</x:v>
      </x:c>
      <x:c r="F398" s="11" t="n">
        <x:v>46252.68496519676</x:v>
      </x:c>
      <x:c r="G398" t="str">
        <x:v>flat</x:v>
      </x:c>
      <x:c r="H398" s="12" t="n">
        <x:v>3</x:v>
      </x:c>
      <x:c r="I398" s="13" t="n">
        <x:v>5</x:v>
      </x:c>
      <x:c r="J398" t="str">
        <x:v>A</x:v>
      </x:c>
      <x:c r="K398" s="14" t="n">
        <x:v>81.12</x:v>
      </x:c>
      <x:c r="L398" s="14"/>
      <x:c r="M398" s="14"/>
      <x:c r="N398" s="14"/>
      <x:c r="O398" s="14"/>
      <x:c r="P398" s="14" t="n">
        <x:v>13.63</x:v>
      </x:c>
      <x:c r="Q398" s="14" t="n">
        <x:v>94.75</x:v>
      </x:c>
      <x:c r="R398" s="15"/>
      <x:c r="S398" s="15"/>
      <x:c r="T398" s="15"/>
      <x:c r="U398" s="16"/>
      <x:c r="V398" t="str">
        <x:v>JTRE</x:v>
      </x:c>
      <x:c r="W398" t="str">
        <x:v>Ružinov</x:v>
      </x:c>
      <x:c r="X398" s="11" t="str">
        <x:v>Predaný</x:v>
      </x:c>
      <x:c r="Y398" s="11" t="str">
        <x:v>https://d-y.sk/byty/a05.01/</x:v>
      </x:c>
      <x:c r="Z398" s="11" t="n">
        <x:v>46252.68496519676</x:v>
      </x:c>
      <x:c r="AA398" s="11" t="n">
        <x:v>46254.51251577547</x:v>
      </x:c>
      <x:c r="AB398" s="11" t="n">
        <x:v>46254.51251577547</x:v>
      </x:c>
      <x:c r="AC398" t="str">
        <x:v>downtown_yards</x:v>
      </x:c>
    </x:row>
    <x:row r="399" ht="22" customHeight="1">
      <x:c r="A399" t="str">
        <x:v>Downtown Yards</x:v>
      </x:c>
      <x:c r="B399" t="str">
        <x:v>A05.02</x:v>
      </x:c>
      <x:c r="C399" t="str">
        <x:v>sold</x:v>
      </x:c>
      <x:c r="D399" t="str">
        <x:v>present</x:v>
      </x:c>
      <x:c r="E399" t="str">
        <x:v>baseline</x:v>
      </x:c>
      <x:c r="F399" s="11" t="n">
        <x:v>46252.68496519676</x:v>
      </x:c>
      <x:c r="G399" t="str">
        <x:v>flat</x:v>
      </x:c>
      <x:c r="H399" s="12" t="n">
        <x:v>2</x:v>
      </x:c>
      <x:c r="I399" s="13" t="n">
        <x:v>5</x:v>
      </x:c>
      <x:c r="J399" t="str">
        <x:v>A</x:v>
      </x:c>
      <x:c r="K399" s="14" t="n">
        <x:v>52.22</x:v>
      </x:c>
      <x:c r="L399" s="14"/>
      <x:c r="M399" s="14"/>
      <x:c r="N399" s="14"/>
      <x:c r="O399" s="14"/>
      <x:c r="P399" s="14" t="n">
        <x:v>8.67</x:v>
      </x:c>
      <x:c r="Q399" s="14" t="n">
        <x:v>60.89</x:v>
      </x:c>
      <x:c r="R399" s="15"/>
      <x:c r="S399" s="15"/>
      <x:c r="T399" s="15"/>
      <x:c r="U399" s="16"/>
      <x:c r="V399" t="str">
        <x:v>JTRE</x:v>
      </x:c>
      <x:c r="W399" t="str">
        <x:v>Ružinov</x:v>
      </x:c>
      <x:c r="X399" s="11" t="str">
        <x:v>Predaný</x:v>
      </x:c>
      <x:c r="Y399" s="11" t="str">
        <x:v>https://d-y.sk/byty/a05.02/</x:v>
      </x:c>
      <x:c r="Z399" s="11" t="n">
        <x:v>46252.68496519676</x:v>
      </x:c>
      <x:c r="AA399" s="11" t="n">
        <x:v>46254.51251577547</x:v>
      </x:c>
      <x:c r="AB399" s="11" t="n">
        <x:v>46254.51251577547</x:v>
      </x:c>
      <x:c r="AC399" t="str">
        <x:v>downtown_yards</x:v>
      </x:c>
    </x:row>
    <x:row r="400" ht="22" customHeight="1">
      <x:c r="A400" t="str">
        <x:v>Downtown Yards</x:v>
      </x:c>
      <x:c r="B400" t="str">
        <x:v>A05.03</x:v>
      </x:c>
      <x:c r="C400" t="str">
        <x:v>sold</x:v>
      </x:c>
      <x:c r="D400" t="str">
        <x:v>present</x:v>
      </x:c>
      <x:c r="E400" t="str">
        <x:v>baseline</x:v>
      </x:c>
      <x:c r="F400" s="11" t="n">
        <x:v>46252.68496519676</x:v>
      </x:c>
      <x:c r="G400" t="str">
        <x:v>flat</x:v>
      </x:c>
      <x:c r="H400" s="12" t="n">
        <x:v>2</x:v>
      </x:c>
      <x:c r="I400" s="13" t="n">
        <x:v>5</x:v>
      </x:c>
      <x:c r="J400" t="str">
        <x:v>A</x:v>
      </x:c>
      <x:c r="K400" s="14" t="n">
        <x:v>51.68</x:v>
      </x:c>
      <x:c r="L400" s="14"/>
      <x:c r="M400" s="14"/>
      <x:c r="N400" s="14"/>
      <x:c r="O400" s="14"/>
      <x:c r="P400" s="14" t="n">
        <x:v>8.67</x:v>
      </x:c>
      <x:c r="Q400" s="14" t="n">
        <x:v>60.35</x:v>
      </x:c>
      <x:c r="R400" s="15"/>
      <x:c r="S400" s="15"/>
      <x:c r="T400" s="15"/>
      <x:c r="U400" s="16"/>
      <x:c r="V400" t="str">
        <x:v>JTRE</x:v>
      </x:c>
      <x:c r="W400" t="str">
        <x:v>Ružinov</x:v>
      </x:c>
      <x:c r="X400" s="11" t="str">
        <x:v>Predaný</x:v>
      </x:c>
      <x:c r="Y400" s="11" t="str">
        <x:v>https://d-y.sk/byty/a05.03/</x:v>
      </x:c>
      <x:c r="Z400" s="11" t="n">
        <x:v>46252.68496519676</x:v>
      </x:c>
      <x:c r="AA400" s="11" t="n">
        <x:v>46254.51251577547</x:v>
      </x:c>
      <x:c r="AB400" s="11" t="n">
        <x:v>46254.51251577547</x:v>
      </x:c>
      <x:c r="AC400" t="str">
        <x:v>downtown_yards</x:v>
      </x:c>
    </x:row>
    <x:row r="401" ht="22" customHeight="1">
      <x:c r="A401" t="str">
        <x:v>Downtown Yards</x:v>
      </x:c>
      <x:c r="B401" t="str">
        <x:v>A05.04</x:v>
      </x:c>
      <x:c r="C401" t="str">
        <x:v>available</x:v>
      </x:c>
      <x:c r="D401" t="str">
        <x:v>present</x:v>
      </x:c>
      <x:c r="E401" t="str">
        <x:v>baseline</x:v>
      </x:c>
      <x:c r="F401" s="11" t="n">
        <x:v>46252.68496519676</x:v>
      </x:c>
      <x:c r="G401" t="str">
        <x:v>flat</x:v>
      </x:c>
      <x:c r="H401" s="12" t="n">
        <x:v>3</x:v>
      </x:c>
      <x:c r="I401" s="13" t="n">
        <x:v>5</x:v>
      </x:c>
      <x:c r="J401" t="str">
        <x:v>A</x:v>
      </x:c>
      <x:c r="K401" s="14" t="n">
        <x:v>87.6</x:v>
      </x:c>
      <x:c r="L401" s="14"/>
      <x:c r="M401" s="14"/>
      <x:c r="N401" s="14"/>
      <x:c r="O401" s="14"/>
      <x:c r="P401" s="14" t="n">
        <x:v>8.67</x:v>
      </x:c>
      <x:c r="Q401" s="14" t="n">
        <x:v>96.27</x:v>
      </x:c>
      <x:c r="R401" s="15" t="n">
        <x:v>514878</x:v>
      </x:c>
      <x:c r="S401" s="15" t="n">
        <x:v>598641</x:v>
      </x:c>
      <x:c r="T401" s="15" t="n">
        <x:v>514878</x:v>
      </x:c>
      <x:c r="U401" s="16" t="n">
        <x:v>5877.6</x:v>
      </x:c>
      <x:c r="V401" t="str">
        <x:v>JTRE</x:v>
      </x:c>
      <x:c r="W401" t="str">
        <x:v>Ružinov</x:v>
      </x:c>
      <x:c r="X401" s="11" t="str">
        <x:v>Voľný</x:v>
      </x:c>
      <x:c r="Y401" s="11" t="str">
        <x:v>https://d-y.sk/byty/a05.04/</x:v>
      </x:c>
      <x:c r="Z401" s="11" t="n">
        <x:v>46252.68496519676</x:v>
      </x:c>
      <x:c r="AA401" s="11" t="n">
        <x:v>46254.51251577547</x:v>
      </x:c>
      <x:c r="AB401" s="11" t="n">
        <x:v>46254.51251577547</x:v>
      </x:c>
      <x:c r="AC401" t="str">
        <x:v>downtown_yards</x:v>
      </x:c>
    </x:row>
    <x:row r="402" ht="22" customHeight="1">
      <x:c r="A402" t="str">
        <x:v>Downtown Yards</x:v>
      </x:c>
      <x:c r="B402" t="str">
        <x:v>A05.05</x:v>
      </x:c>
      <x:c r="C402" t="str">
        <x:v>sold</x:v>
      </x:c>
      <x:c r="D402" t="str">
        <x:v>present</x:v>
      </x:c>
      <x:c r="E402" t="str">
        <x:v>baseline</x:v>
      </x:c>
      <x:c r="F402" s="11" t="n">
        <x:v>46252.68496519676</x:v>
      </x:c>
      <x:c r="G402" t="str">
        <x:v>flat</x:v>
      </x:c>
      <x:c r="H402" s="12" t="n">
        <x:v>3</x:v>
      </x:c>
      <x:c r="I402" s="13" t="n">
        <x:v>5</x:v>
      </x:c>
      <x:c r="J402" t="str">
        <x:v>A</x:v>
      </x:c>
      <x:c r="K402" s="14" t="n">
        <x:v>87.3</x:v>
      </x:c>
      <x:c r="L402" s="14"/>
      <x:c r="M402" s="14"/>
      <x:c r="N402" s="14"/>
      <x:c r="O402" s="14"/>
      <x:c r="P402" s="14" t="n">
        <x:v>6.58</x:v>
      </x:c>
      <x:c r="Q402" s="14" t="n">
        <x:v>93.88</x:v>
      </x:c>
      <x:c r="R402" s="15"/>
      <x:c r="S402" s="15"/>
      <x:c r="T402" s="15"/>
      <x:c r="U402" s="16"/>
      <x:c r="V402" t="str">
        <x:v>JTRE</x:v>
      </x:c>
      <x:c r="W402" t="str">
        <x:v>Ružinov</x:v>
      </x:c>
      <x:c r="X402" s="11" t="str">
        <x:v>Predaný</x:v>
      </x:c>
      <x:c r="Y402" s="11" t="str">
        <x:v>https://d-y.sk/byty/a05.05/</x:v>
      </x:c>
      <x:c r="Z402" s="11" t="n">
        <x:v>46252.68496519676</x:v>
      </x:c>
      <x:c r="AA402" s="11" t="n">
        <x:v>46254.51251577547</x:v>
      </x:c>
      <x:c r="AB402" s="11" t="n">
        <x:v>46254.51251577547</x:v>
      </x:c>
      <x:c r="AC402" t="str">
        <x:v>downtown_yards</x:v>
      </x:c>
    </x:row>
    <x:row r="403" ht="22" customHeight="1">
      <x:c r="A403" t="str">
        <x:v>Downtown Yards</x:v>
      </x:c>
      <x:c r="B403" t="str">
        <x:v>A05.06</x:v>
      </x:c>
      <x:c r="C403" t="str">
        <x:v>sold</x:v>
      </x:c>
      <x:c r="D403" t="str">
        <x:v>present</x:v>
      </x:c>
      <x:c r="E403" t="str">
        <x:v>baseline</x:v>
      </x:c>
      <x:c r="F403" s="11" t="n">
        <x:v>46252.68496519676</x:v>
      </x:c>
      <x:c r="G403" t="str">
        <x:v>flat</x:v>
      </x:c>
      <x:c r="H403" s="12" t="n">
        <x:v>2</x:v>
      </x:c>
      <x:c r="I403" s="13" t="n">
        <x:v>5</x:v>
      </x:c>
      <x:c r="J403" t="str">
        <x:v>A</x:v>
      </x:c>
      <x:c r="K403" s="14" t="n">
        <x:v>51.97</x:v>
      </x:c>
      <x:c r="L403" s="14"/>
      <x:c r="M403" s="14"/>
      <x:c r="N403" s="14"/>
      <x:c r="O403" s="14"/>
      <x:c r="P403" s="14" t="n">
        <x:v>6.58</x:v>
      </x:c>
      <x:c r="Q403" s="14" t="n">
        <x:v>58.55</x:v>
      </x:c>
      <x:c r="R403" s="15"/>
      <x:c r="S403" s="15"/>
      <x:c r="T403" s="15"/>
      <x:c r="U403" s="16"/>
      <x:c r="V403" t="str">
        <x:v>JTRE</x:v>
      </x:c>
      <x:c r="W403" t="str">
        <x:v>Ružinov</x:v>
      </x:c>
      <x:c r="X403" s="11" t="str">
        <x:v>Predaný</x:v>
      </x:c>
      <x:c r="Y403" s="11" t="str">
        <x:v>https://d-y.sk/byty/a05.06/</x:v>
      </x:c>
      <x:c r="Z403" s="11" t="n">
        <x:v>46252.68496519676</x:v>
      </x:c>
      <x:c r="AA403" s="11" t="n">
        <x:v>46254.51251577547</x:v>
      </x:c>
      <x:c r="AB403" s="11" t="n">
        <x:v>46254.51251577547</x:v>
      </x:c>
      <x:c r="AC403" t="str">
        <x:v>downtown_yards</x:v>
      </x:c>
    </x:row>
    <x:row r="404" ht="22" customHeight="1">
      <x:c r="A404" t="str">
        <x:v>Downtown Yards</x:v>
      </x:c>
      <x:c r="B404" t="str">
        <x:v>A05.07</x:v>
      </x:c>
      <x:c r="C404" t="str">
        <x:v>sold</x:v>
      </x:c>
      <x:c r="D404" t="str">
        <x:v>present</x:v>
      </x:c>
      <x:c r="E404" t="str">
        <x:v>baseline</x:v>
      </x:c>
      <x:c r="F404" s="11" t="n">
        <x:v>46252.68496519676</x:v>
      </x:c>
      <x:c r="G404" t="str">
        <x:v>flat</x:v>
      </x:c>
      <x:c r="H404" s="12" t="n">
        <x:v>2</x:v>
      </x:c>
      <x:c r="I404" s="13" t="n">
        <x:v>5</x:v>
      </x:c>
      <x:c r="J404" t="str">
        <x:v>A</x:v>
      </x:c>
      <x:c r="K404" s="14" t="n">
        <x:v>52.09</x:v>
      </x:c>
      <x:c r="L404" s="14"/>
      <x:c r="M404" s="14"/>
      <x:c r="N404" s="14"/>
      <x:c r="O404" s="14"/>
      <x:c r="P404" s="14" t="n">
        <x:v>6.58</x:v>
      </x:c>
      <x:c r="Q404" s="14" t="n">
        <x:v>58.67</x:v>
      </x:c>
      <x:c r="R404" s="15"/>
      <x:c r="S404" s="15"/>
      <x:c r="T404" s="15"/>
      <x:c r="U404" s="16"/>
      <x:c r="V404" t="str">
        <x:v>JTRE</x:v>
      </x:c>
      <x:c r="W404" t="str">
        <x:v>Ružinov</x:v>
      </x:c>
      <x:c r="X404" s="11" t="str">
        <x:v>Predaný</x:v>
      </x:c>
      <x:c r="Y404" s="11" t="str">
        <x:v>https://d-y.sk/byty/a05.07/</x:v>
      </x:c>
      <x:c r="Z404" s="11" t="n">
        <x:v>46252.68496519676</x:v>
      </x:c>
      <x:c r="AA404" s="11" t="n">
        <x:v>46254.51251577547</x:v>
      </x:c>
      <x:c r="AB404" s="11" t="n">
        <x:v>46254.51251577547</x:v>
      </x:c>
      <x:c r="AC404" t="str">
        <x:v>downtown_yards</x:v>
      </x:c>
    </x:row>
    <x:row r="405" ht="22" customHeight="1">
      <x:c r="A405" t="str">
        <x:v>Downtown Yards</x:v>
      </x:c>
      <x:c r="B405" t="str">
        <x:v>A05.08</x:v>
      </x:c>
      <x:c r="C405" t="str">
        <x:v>available</x:v>
      </x:c>
      <x:c r="D405" t="str">
        <x:v>present</x:v>
      </x:c>
      <x:c r="E405" t="str">
        <x:v>baseline</x:v>
      </x:c>
      <x:c r="F405" s="11" t="n">
        <x:v>46252.68496519676</x:v>
      </x:c>
      <x:c r="G405" t="str">
        <x:v>flat</x:v>
      </x:c>
      <x:c r="H405" s="12" t="n">
        <x:v>3</x:v>
      </x:c>
      <x:c r="I405" s="13" t="n">
        <x:v>5</x:v>
      </x:c>
      <x:c r="J405" t="str">
        <x:v>A</x:v>
      </x:c>
      <x:c r="K405" s="14" t="n">
        <x:v>79.39</x:v>
      </x:c>
      <x:c r="L405" s="14"/>
      <x:c r="M405" s="14"/>
      <x:c r="N405" s="14"/>
      <x:c r="O405" s="14"/>
      <x:c r="P405" s="14" t="n">
        <x:v>12.1</x:v>
      </x:c>
      <x:c r="Q405" s="14" t="n">
        <x:v>91.49</x:v>
      </x:c>
      <x:c r="R405" s="15" t="n">
        <x:v>507129</x:v>
      </x:c>
      <x:c r="S405" s="15" t="n">
        <x:v>589662</x:v>
      </x:c>
      <x:c r="T405" s="15" t="n">
        <x:v>507129</x:v>
      </x:c>
      <x:c r="U405" s="16" t="n">
        <x:v>6387.82</x:v>
      </x:c>
      <x:c r="V405" t="str">
        <x:v>JTRE</x:v>
      </x:c>
      <x:c r="W405" t="str">
        <x:v>Ružinov</x:v>
      </x:c>
      <x:c r="X405" s="11" t="str">
        <x:v>Voľný</x:v>
      </x:c>
      <x:c r="Y405" s="11" t="str">
        <x:v>https://d-y.sk/byty/a05.08/</x:v>
      </x:c>
      <x:c r="Z405" s="11" t="n">
        <x:v>46252.68496519676</x:v>
      </x:c>
      <x:c r="AA405" s="11" t="n">
        <x:v>46254.51251577547</x:v>
      </x:c>
      <x:c r="AB405" s="11" t="n">
        <x:v>46254.51251577547</x:v>
      </x:c>
      <x:c r="AC405" t="str">
        <x:v>downtown_yards</x:v>
      </x:c>
    </x:row>
    <x:row r="406" ht="22" customHeight="1">
      <x:c r="A406" t="str">
        <x:v>Downtown Yards</x:v>
      </x:c>
      <x:c r="B406" t="str">
        <x:v>A06.01</x:v>
      </x:c>
      <x:c r="C406" t="str">
        <x:v>sold</x:v>
      </x:c>
      <x:c r="D406" t="str">
        <x:v>present</x:v>
      </x:c>
      <x:c r="E406" t="str">
        <x:v>baseline</x:v>
      </x:c>
      <x:c r="F406" s="11" t="n">
        <x:v>46252.68496519676</x:v>
      </x:c>
      <x:c r="G406" t="str">
        <x:v>flat</x:v>
      </x:c>
      <x:c r="H406" s="12" t="n">
        <x:v>1</x:v>
      </x:c>
      <x:c r="I406" s="13" t="n">
        <x:v>6</x:v>
      </x:c>
      <x:c r="J406" t="str">
        <x:v>A</x:v>
      </x:c>
      <x:c r="K406" s="14" t="n">
        <x:v>30.55</x:v>
      </x:c>
      <x:c r="L406" s="14"/>
      <x:c r="M406" s="14"/>
      <x:c r="N406" s="14"/>
      <x:c r="O406" s="14"/>
      <x:c r="P406" s="14"/>
      <x:c r="Q406" s="14" t="n">
        <x:v>30.55</x:v>
      </x:c>
      <x:c r="R406" s="15"/>
      <x:c r="S406" s="15"/>
      <x:c r="T406" s="15"/>
      <x:c r="U406" s="16"/>
      <x:c r="V406" t="str">
        <x:v>JTRE</x:v>
      </x:c>
      <x:c r="W406" t="str">
        <x:v>Ružinov</x:v>
      </x:c>
      <x:c r="X406" s="11" t="str">
        <x:v>Predaný</x:v>
      </x:c>
      <x:c r="Y406" s="11" t="str">
        <x:v>https://d-y.sk/byty/a06.01/</x:v>
      </x:c>
      <x:c r="Z406" s="11" t="n">
        <x:v>46252.68496519676</x:v>
      </x:c>
      <x:c r="AA406" s="11" t="n">
        <x:v>46254.51251577547</x:v>
      </x:c>
      <x:c r="AB406" s="11" t="n">
        <x:v>46254.51251577547</x:v>
      </x:c>
      <x:c r="AC406" t="str">
        <x:v>downtown_yards</x:v>
      </x:c>
    </x:row>
    <x:row r="407" ht="22" customHeight="1">
      <x:c r="A407" t="str">
        <x:v>Downtown Yards</x:v>
      </x:c>
      <x:c r="B407" t="str">
        <x:v>A06.02</x:v>
      </x:c>
      <x:c r="C407" t="str">
        <x:v>sold</x:v>
      </x:c>
      <x:c r="D407" t="str">
        <x:v>present</x:v>
      </x:c>
      <x:c r="E407" t="str">
        <x:v>baseline</x:v>
      </x:c>
      <x:c r="F407" s="11" t="n">
        <x:v>46252.68496519676</x:v>
      </x:c>
      <x:c r="G407" t="str">
        <x:v>flat</x:v>
      </x:c>
      <x:c r="H407" s="12" t="n">
        <x:v>3</x:v>
      </x:c>
      <x:c r="I407" s="13" t="n">
        <x:v>6</x:v>
      </x:c>
      <x:c r="J407" t="str">
        <x:v>A</x:v>
      </x:c>
      <x:c r="K407" s="14" t="n">
        <x:v>81.49</x:v>
      </x:c>
      <x:c r="L407" s="14"/>
      <x:c r="M407" s="14"/>
      <x:c r="N407" s="14"/>
      <x:c r="O407" s="14"/>
      <x:c r="P407" s="14" t="n">
        <x:v>13.63</x:v>
      </x:c>
      <x:c r="Q407" s="14" t="n">
        <x:v>95.12</x:v>
      </x:c>
      <x:c r="R407" s="15"/>
      <x:c r="S407" s="15"/>
      <x:c r="T407" s="15"/>
      <x:c r="U407" s="16"/>
      <x:c r="V407" t="str">
        <x:v>JTRE</x:v>
      </x:c>
      <x:c r="W407" t="str">
        <x:v>Ružinov</x:v>
      </x:c>
      <x:c r="X407" s="11" t="str">
        <x:v>Predaný</x:v>
      </x:c>
      <x:c r="Y407" s="11" t="str">
        <x:v>https://d-y.sk/byty/a06.02/</x:v>
      </x:c>
      <x:c r="Z407" s="11" t="n">
        <x:v>46252.68496519676</x:v>
      </x:c>
      <x:c r="AA407" s="11" t="n">
        <x:v>46254.51251577547</x:v>
      </x:c>
      <x:c r="AB407" s="11" t="n">
        <x:v>46254.51251577547</x:v>
      </x:c>
      <x:c r="AC407" t="str">
        <x:v>downtown_yards</x:v>
      </x:c>
    </x:row>
    <x:row r="408" ht="22" customHeight="1">
      <x:c r="A408" t="str">
        <x:v>Downtown Yards</x:v>
      </x:c>
      <x:c r="B408" t="str">
        <x:v>A06.03</x:v>
      </x:c>
      <x:c r="C408" t="str">
        <x:v>sold</x:v>
      </x:c>
      <x:c r="D408" t="str">
        <x:v>present</x:v>
      </x:c>
      <x:c r="E408" t="str">
        <x:v>baseline</x:v>
      </x:c>
      <x:c r="F408" s="11" t="n">
        <x:v>46252.68496519676</x:v>
      </x:c>
      <x:c r="G408" t="str">
        <x:v>flat</x:v>
      </x:c>
      <x:c r="H408" s="12" t="n">
        <x:v>2</x:v>
      </x:c>
      <x:c r="I408" s="13" t="n">
        <x:v>6</x:v>
      </x:c>
      <x:c r="J408" t="str">
        <x:v>A</x:v>
      </x:c>
      <x:c r="K408" s="14" t="n">
        <x:v>52.22</x:v>
      </x:c>
      <x:c r="L408" s="14"/>
      <x:c r="M408" s="14"/>
      <x:c r="N408" s="14"/>
      <x:c r="O408" s="14"/>
      <x:c r="P408" s="14" t="n">
        <x:v>8.67</x:v>
      </x:c>
      <x:c r="Q408" s="14" t="n">
        <x:v>60.89</x:v>
      </x:c>
      <x:c r="R408" s="15"/>
      <x:c r="S408" s="15"/>
      <x:c r="T408" s="15"/>
      <x:c r="U408" s="16"/>
      <x:c r="V408" t="str">
        <x:v>JTRE</x:v>
      </x:c>
      <x:c r="W408" t="str">
        <x:v>Ružinov</x:v>
      </x:c>
      <x:c r="X408" s="11" t="str">
        <x:v>Predaný</x:v>
      </x:c>
      <x:c r="Y408" s="11" t="str">
        <x:v>https://d-y.sk/byty/a06.03/</x:v>
      </x:c>
      <x:c r="Z408" s="11" t="n">
        <x:v>46252.68496519676</x:v>
      </x:c>
      <x:c r="AA408" s="11" t="n">
        <x:v>46254.51251577547</x:v>
      </x:c>
      <x:c r="AB408" s="11" t="n">
        <x:v>46254.51251577547</x:v>
      </x:c>
      <x:c r="AC408" t="str">
        <x:v>downtown_yards</x:v>
      </x:c>
    </x:row>
    <x:row r="409" ht="22" customHeight="1">
      <x:c r="A409" t="str">
        <x:v>Downtown Yards</x:v>
      </x:c>
      <x:c r="B409" t="str">
        <x:v>A06.04</x:v>
      </x:c>
      <x:c r="C409" t="str">
        <x:v>sold</x:v>
      </x:c>
      <x:c r="D409" t="str">
        <x:v>present</x:v>
      </x:c>
      <x:c r="E409" t="str">
        <x:v>baseline</x:v>
      </x:c>
      <x:c r="F409" s="11" t="n">
        <x:v>46252.68496519676</x:v>
      </x:c>
      <x:c r="G409" t="str">
        <x:v>flat</x:v>
      </x:c>
      <x:c r="H409" s="12" t="n">
        <x:v>2</x:v>
      </x:c>
      <x:c r="I409" s="13" t="n">
        <x:v>6</x:v>
      </x:c>
      <x:c r="J409" t="str">
        <x:v>A</x:v>
      </x:c>
      <x:c r="K409" s="14" t="n">
        <x:v>51.68</x:v>
      </x:c>
      <x:c r="L409" s="14"/>
      <x:c r="M409" s="14"/>
      <x:c r="N409" s="14"/>
      <x:c r="O409" s="14"/>
      <x:c r="P409" s="14" t="n">
        <x:v>8.67</x:v>
      </x:c>
      <x:c r="Q409" s="14" t="n">
        <x:v>60.35</x:v>
      </x:c>
      <x:c r="R409" s="15"/>
      <x:c r="S409" s="15"/>
      <x:c r="T409" s="15"/>
      <x:c r="U409" s="16"/>
      <x:c r="V409" t="str">
        <x:v>JTRE</x:v>
      </x:c>
      <x:c r="W409" t="str">
        <x:v>Ružinov</x:v>
      </x:c>
      <x:c r="X409" s="11" t="str">
        <x:v>Predaný</x:v>
      </x:c>
      <x:c r="Y409" s="11" t="str">
        <x:v>https://d-y.sk/byty/a06.04/</x:v>
      </x:c>
      <x:c r="Z409" s="11" t="n">
        <x:v>46252.68496519676</x:v>
      </x:c>
      <x:c r="AA409" s="11" t="n">
        <x:v>46254.51251577547</x:v>
      </x:c>
      <x:c r="AB409" s="11" t="n">
        <x:v>46254.51251577547</x:v>
      </x:c>
      <x:c r="AC409" t="str">
        <x:v>downtown_yards</x:v>
      </x:c>
    </x:row>
    <x:row r="410" ht="22" customHeight="1">
      <x:c r="A410" t="str">
        <x:v>Downtown Yards</x:v>
      </x:c>
      <x:c r="B410" t="str">
        <x:v>A06.05</x:v>
      </x:c>
      <x:c r="C410" t="str">
        <x:v>sold</x:v>
      </x:c>
      <x:c r="D410" t="str">
        <x:v>present</x:v>
      </x:c>
      <x:c r="E410" t="str">
        <x:v>baseline</x:v>
      </x:c>
      <x:c r="F410" s="11" t="n">
        <x:v>46252.68496519676</x:v>
      </x:c>
      <x:c r="G410" t="str">
        <x:v>flat</x:v>
      </x:c>
      <x:c r="H410" s="12" t="n">
        <x:v>3</x:v>
      </x:c>
      <x:c r="I410" s="13" t="n">
        <x:v>6</x:v>
      </x:c>
      <x:c r="J410" t="str">
        <x:v>A</x:v>
      </x:c>
      <x:c r="K410" s="14" t="n">
        <x:v>87.6</x:v>
      </x:c>
      <x:c r="L410" s="14"/>
      <x:c r="M410" s="14"/>
      <x:c r="N410" s="14"/>
      <x:c r="O410" s="14"/>
      <x:c r="P410" s="14" t="n">
        <x:v>8.67</x:v>
      </x:c>
      <x:c r="Q410" s="14" t="n">
        <x:v>96.27</x:v>
      </x:c>
      <x:c r="R410" s="15"/>
      <x:c r="S410" s="15"/>
      <x:c r="T410" s="15"/>
      <x:c r="U410" s="16"/>
      <x:c r="V410" t="str">
        <x:v>JTRE</x:v>
      </x:c>
      <x:c r="W410" t="str">
        <x:v>Ružinov</x:v>
      </x:c>
      <x:c r="X410" s="11" t="str">
        <x:v>Predaný</x:v>
      </x:c>
      <x:c r="Y410" s="11" t="str">
        <x:v>https://d-y.sk/byty/a06.05/</x:v>
      </x:c>
      <x:c r="Z410" s="11" t="n">
        <x:v>46252.68496519676</x:v>
      </x:c>
      <x:c r="AA410" s="11" t="n">
        <x:v>46254.51251577547</x:v>
      </x:c>
      <x:c r="AB410" s="11" t="n">
        <x:v>46254.51251577547</x:v>
      </x:c>
      <x:c r="AC410" t="str">
        <x:v>downtown_yards</x:v>
      </x:c>
    </x:row>
    <x:row r="411" ht="22" customHeight="1">
      <x:c r="A411" t="str">
        <x:v>Downtown Yards</x:v>
      </x:c>
      <x:c r="B411" t="str">
        <x:v>A06.06</x:v>
      </x:c>
      <x:c r="C411" t="str">
        <x:v>available</x:v>
      </x:c>
      <x:c r="D411" t="str">
        <x:v>present</x:v>
      </x:c>
      <x:c r="E411" t="str">
        <x:v>baseline</x:v>
      </x:c>
      <x:c r="F411" s="11" t="n">
        <x:v>46252.68496519676</x:v>
      </x:c>
      <x:c r="G411" t="str">
        <x:v>flat</x:v>
      </x:c>
      <x:c r="H411" s="12" t="n">
        <x:v>3</x:v>
      </x:c>
      <x:c r="I411" s="13" t="n">
        <x:v>6</x:v>
      </x:c>
      <x:c r="J411" t="str">
        <x:v>A</x:v>
      </x:c>
      <x:c r="K411" s="14" t="n">
        <x:v>87.3</x:v>
      </x:c>
      <x:c r="L411" s="14"/>
      <x:c r="M411" s="14"/>
      <x:c r="N411" s="14"/>
      <x:c r="O411" s="14"/>
      <x:c r="P411" s="14" t="n">
        <x:v>6.58</x:v>
      </x:c>
      <x:c r="Q411" s="14" t="n">
        <x:v>93.88</x:v>
      </x:c>
      <x:c r="R411" s="15" t="n">
        <x:v>530991</x:v>
      </x:c>
      <x:c r="S411" s="15" t="n">
        <x:v>617337</x:v>
      </x:c>
      <x:c r="T411" s="15" t="n">
        <x:v>530991</x:v>
      </x:c>
      <x:c r="U411" s="16" t="n">
        <x:v>6082.37</x:v>
      </x:c>
      <x:c r="V411" t="str">
        <x:v>JTRE</x:v>
      </x:c>
      <x:c r="W411" t="str">
        <x:v>Ružinov</x:v>
      </x:c>
      <x:c r="X411" s="11" t="str">
        <x:v>Voľný</x:v>
      </x:c>
      <x:c r="Y411" s="11" t="str">
        <x:v>https://d-y.sk/byty/a06.06/</x:v>
      </x:c>
      <x:c r="Z411" s="11" t="n">
        <x:v>46252.68496519676</x:v>
      </x:c>
      <x:c r="AA411" s="11" t="n">
        <x:v>46254.51251577547</x:v>
      </x:c>
      <x:c r="AB411" s="11" t="n">
        <x:v>46254.51251577547</x:v>
      </x:c>
      <x:c r="AC411" t="str">
        <x:v>downtown_yards</x:v>
      </x:c>
    </x:row>
    <x:row r="412" ht="22" customHeight="1">
      <x:c r="A412" t="str">
        <x:v>Downtown Yards</x:v>
      </x:c>
      <x:c r="B412" t="str">
        <x:v>A06.07</x:v>
      </x:c>
      <x:c r="C412" t="str">
        <x:v>sold</x:v>
      </x:c>
      <x:c r="D412" t="str">
        <x:v>present</x:v>
      </x:c>
      <x:c r="E412" t="str">
        <x:v>baseline</x:v>
      </x:c>
      <x:c r="F412" s="11" t="n">
        <x:v>46252.68496519676</x:v>
      </x:c>
      <x:c r="G412" t="str">
        <x:v>flat</x:v>
      </x:c>
      <x:c r="H412" s="12" t="n">
        <x:v>2</x:v>
      </x:c>
      <x:c r="I412" s="13" t="n">
        <x:v>6</x:v>
      </x:c>
      <x:c r="J412" t="str">
        <x:v>A</x:v>
      </x:c>
      <x:c r="K412" s="14" t="n">
        <x:v>51.97</x:v>
      </x:c>
      <x:c r="L412" s="14"/>
      <x:c r="M412" s="14"/>
      <x:c r="N412" s="14"/>
      <x:c r="O412" s="14"/>
      <x:c r="P412" s="14" t="n">
        <x:v>6.58</x:v>
      </x:c>
      <x:c r="Q412" s="14" t="n">
        <x:v>58.55</x:v>
      </x:c>
      <x:c r="R412" s="15"/>
      <x:c r="S412" s="15"/>
      <x:c r="T412" s="15"/>
      <x:c r="U412" s="16"/>
      <x:c r="V412" t="str">
        <x:v>JTRE</x:v>
      </x:c>
      <x:c r="W412" t="str">
        <x:v>Ružinov</x:v>
      </x:c>
      <x:c r="X412" s="11" t="str">
        <x:v>Predaný</x:v>
      </x:c>
      <x:c r="Y412" s="11" t="str">
        <x:v>https://d-y.sk/byty/a06.07/</x:v>
      </x:c>
      <x:c r="Z412" s="11" t="n">
        <x:v>46252.68496519676</x:v>
      </x:c>
      <x:c r="AA412" s="11" t="n">
        <x:v>46254.51251577547</x:v>
      </x:c>
      <x:c r="AB412" s="11" t="n">
        <x:v>46254.51251577547</x:v>
      </x:c>
      <x:c r="AC412" t="str">
        <x:v>downtown_yards</x:v>
      </x:c>
    </x:row>
    <x:row r="413" ht="22" customHeight="1">
      <x:c r="A413" t="str">
        <x:v>Downtown Yards</x:v>
      </x:c>
      <x:c r="B413" t="str">
        <x:v>A06.08</x:v>
      </x:c>
      <x:c r="C413" t="str">
        <x:v>sold</x:v>
      </x:c>
      <x:c r="D413" t="str">
        <x:v>present</x:v>
      </x:c>
      <x:c r="E413" t="str">
        <x:v>baseline</x:v>
      </x:c>
      <x:c r="F413" s="11" t="n">
        <x:v>46252.68496519676</x:v>
      </x:c>
      <x:c r="G413" t="str">
        <x:v>flat</x:v>
      </x:c>
      <x:c r="H413" s="12" t="n">
        <x:v>2</x:v>
      </x:c>
      <x:c r="I413" s="13" t="n">
        <x:v>6</x:v>
      </x:c>
      <x:c r="J413" t="str">
        <x:v>A</x:v>
      </x:c>
      <x:c r="K413" s="14" t="n">
        <x:v>52.09</x:v>
      </x:c>
      <x:c r="L413" s="14"/>
      <x:c r="M413" s="14"/>
      <x:c r="N413" s="14"/>
      <x:c r="O413" s="14"/>
      <x:c r="P413" s="14" t="n">
        <x:v>6.58</x:v>
      </x:c>
      <x:c r="Q413" s="14" t="n">
        <x:v>58.67</x:v>
      </x:c>
      <x:c r="R413" s="15"/>
      <x:c r="S413" s="15"/>
      <x:c r="T413" s="15"/>
      <x:c r="U413" s="16"/>
      <x:c r="V413" t="str">
        <x:v>JTRE</x:v>
      </x:c>
      <x:c r="W413" t="str">
        <x:v>Ružinov</x:v>
      </x:c>
      <x:c r="X413" s="11" t="str">
        <x:v>Predaný</x:v>
      </x:c>
      <x:c r="Y413" s="11" t="str">
        <x:v>https://d-y.sk/byty/a06.08/</x:v>
      </x:c>
      <x:c r="Z413" s="11" t="n">
        <x:v>46252.68496519676</x:v>
      </x:c>
      <x:c r="AA413" s="11" t="n">
        <x:v>46254.51251577547</x:v>
      </x:c>
      <x:c r="AB413" s="11" t="n">
        <x:v>46254.51251577547</x:v>
      </x:c>
      <x:c r="AC413" t="str">
        <x:v>downtown_yards</x:v>
      </x:c>
    </x:row>
    <x:row r="414" ht="22" customHeight="1">
      <x:c r="A414" t="str">
        <x:v>Downtown Yards</x:v>
      </x:c>
      <x:c r="B414" t="str">
        <x:v>A06.09</x:v>
      </x:c>
      <x:c r="C414" t="str">
        <x:v>available</x:v>
      </x:c>
      <x:c r="D414" t="str">
        <x:v>present</x:v>
      </x:c>
      <x:c r="E414" t="str">
        <x:v>baseline</x:v>
      </x:c>
      <x:c r="F414" s="11" t="n">
        <x:v>46252.68496519676</x:v>
      </x:c>
      <x:c r="G414" t="str">
        <x:v>flat</x:v>
      </x:c>
      <x:c r="H414" s="12" t="n">
        <x:v>3</x:v>
      </x:c>
      <x:c r="I414" s="13" t="n">
        <x:v>6</x:v>
      </x:c>
      <x:c r="J414" t="str">
        <x:v>A</x:v>
      </x:c>
      <x:c r="K414" s="14" t="n">
        <x:v>79.43</x:v>
      </x:c>
      <x:c r="L414" s="14"/>
      <x:c r="M414" s="14"/>
      <x:c r="N414" s="14"/>
      <x:c r="O414" s="14"/>
      <x:c r="P414" s="14" t="n">
        <x:v>12.1</x:v>
      </x:c>
      <x:c r="Q414" s="14" t="n">
        <x:v>91.53</x:v>
      </x:c>
      <x:c r="R414" s="15" t="n">
        <x:v>552393</x:v>
      </x:c>
      <x:c r="S414" s="15" t="n">
        <x:v>637509</x:v>
      </x:c>
      <x:c r="T414" s="15" t="n">
        <x:v>552393</x:v>
      </x:c>
      <x:c r="U414" s="16" t="n">
        <x:v>6954.46</x:v>
      </x:c>
      <x:c r="V414" t="str">
        <x:v>JTRE</x:v>
      </x:c>
      <x:c r="W414" t="str">
        <x:v>Ružinov</x:v>
      </x:c>
      <x:c r="X414" s="11" t="str">
        <x:v>Voľný</x:v>
      </x:c>
      <x:c r="Y414" s="11" t="str">
        <x:v>https://d-y.sk/byty/a06.09/</x:v>
      </x:c>
      <x:c r="Z414" s="11" t="n">
        <x:v>46252.68496519676</x:v>
      </x:c>
      <x:c r="AA414" s="11" t="n">
        <x:v>46254.51251577547</x:v>
      </x:c>
      <x:c r="AB414" s="11" t="n">
        <x:v>46254.51251577547</x:v>
      </x:c>
      <x:c r="AC414" t="str">
        <x:v>downtown_yards</x:v>
      </x:c>
    </x:row>
    <x:row r="415" ht="22" customHeight="1">
      <x:c r="A415" t="str">
        <x:v>Downtown Yards</x:v>
      </x:c>
      <x:c r="B415" t="str">
        <x:v>A06.10</x:v>
      </x:c>
      <x:c r="C415" t="str">
        <x:v>sold</x:v>
      </x:c>
      <x:c r="D415" t="str">
        <x:v>present</x:v>
      </x:c>
      <x:c r="E415" t="str">
        <x:v>baseline</x:v>
      </x:c>
      <x:c r="F415" s="11" t="n">
        <x:v>46252.68496519676</x:v>
      </x:c>
      <x:c r="G415" t="str">
        <x:v>flat</x:v>
      </x:c>
      <x:c r="H415" s="12" t="n">
        <x:v>1</x:v>
      </x:c>
      <x:c r="I415" s="13" t="n">
        <x:v>6</x:v>
      </x:c>
      <x:c r="J415" t="str">
        <x:v>A</x:v>
      </x:c>
      <x:c r="K415" s="14" t="n">
        <x:v>30.55</x:v>
      </x:c>
      <x:c r="L415" s="14"/>
      <x:c r="M415" s="14"/>
      <x:c r="N415" s="14"/>
      <x:c r="O415" s="14"/>
      <x:c r="P415" s="14"/>
      <x:c r="Q415" s="14" t="n">
        <x:v>30.55</x:v>
      </x:c>
      <x:c r="R415" s="15"/>
      <x:c r="S415" s="15"/>
      <x:c r="T415" s="15"/>
      <x:c r="U415" s="16"/>
      <x:c r="V415" t="str">
        <x:v>JTRE</x:v>
      </x:c>
      <x:c r="W415" t="str">
        <x:v>Ružinov</x:v>
      </x:c>
      <x:c r="X415" s="11" t="str">
        <x:v>Predaný</x:v>
      </x:c>
      <x:c r="Y415" s="11" t="str">
        <x:v>https://d-y.sk/byty/a06.10/</x:v>
      </x:c>
      <x:c r="Z415" s="11" t="n">
        <x:v>46252.68496519676</x:v>
      </x:c>
      <x:c r="AA415" s="11" t="n">
        <x:v>46254.51251577547</x:v>
      </x:c>
      <x:c r="AB415" s="11" t="n">
        <x:v>46254.51251577547</x:v>
      </x:c>
      <x:c r="AC415" t="str">
        <x:v>downtown_yards</x:v>
      </x:c>
    </x:row>
    <x:row r="416" ht="22" customHeight="1">
      <x:c r="A416" t="str">
        <x:v>Downtown Yards</x:v>
      </x:c>
      <x:c r="B416" t="str">
        <x:v>A07.01</x:v>
      </x:c>
      <x:c r="C416" t="str">
        <x:v>sold</x:v>
      </x:c>
      <x:c r="D416" t="str">
        <x:v>present</x:v>
      </x:c>
      <x:c r="E416" t="str">
        <x:v>baseline</x:v>
      </x:c>
      <x:c r="F416" s="11" t="n">
        <x:v>46252.68496519676</x:v>
      </x:c>
      <x:c r="G416" t="str">
        <x:v>flat</x:v>
      </x:c>
      <x:c r="H416" s="12" t="n">
        <x:v>1</x:v>
      </x:c>
      <x:c r="I416" s="13" t="n">
        <x:v>7</x:v>
      </x:c>
      <x:c r="J416" t="str">
        <x:v>A</x:v>
      </x:c>
      <x:c r="K416" s="14" t="n">
        <x:v>30.55</x:v>
      </x:c>
      <x:c r="L416" s="14"/>
      <x:c r="M416" s="14"/>
      <x:c r="N416" s="14"/>
      <x:c r="O416" s="14"/>
      <x:c r="P416" s="14" t="n">
        <x:v>3.13</x:v>
      </x:c>
      <x:c r="Q416" s="14" t="n">
        <x:v>33.68</x:v>
      </x:c>
      <x:c r="R416" s="15"/>
      <x:c r="S416" s="15"/>
      <x:c r="T416" s="15"/>
      <x:c r="U416" s="16"/>
      <x:c r="V416" t="str">
        <x:v>JTRE</x:v>
      </x:c>
      <x:c r="W416" t="str">
        <x:v>Ružinov</x:v>
      </x:c>
      <x:c r="X416" s="11" t="str">
        <x:v>Predaný</x:v>
      </x:c>
      <x:c r="Y416" s="11" t="str">
        <x:v>https://d-y.sk/byty/a07.01/</x:v>
      </x:c>
      <x:c r="Z416" s="11" t="n">
        <x:v>46252.68496519676</x:v>
      </x:c>
      <x:c r="AA416" s="11" t="n">
        <x:v>46254.51251577547</x:v>
      </x:c>
      <x:c r="AB416" s="11" t="n">
        <x:v>46254.51251577547</x:v>
      </x:c>
      <x:c r="AC416" t="str">
        <x:v>downtown_yards</x:v>
      </x:c>
    </x:row>
    <x:row r="417" ht="22" customHeight="1">
      <x:c r="A417" t="str">
        <x:v>Downtown Yards</x:v>
      </x:c>
      <x:c r="B417" t="str">
        <x:v>A07.02</x:v>
      </x:c>
      <x:c r="C417" t="str">
        <x:v>sold</x:v>
      </x:c>
      <x:c r="D417" t="str">
        <x:v>present</x:v>
      </x:c>
      <x:c r="E417" t="str">
        <x:v>baseline</x:v>
      </x:c>
      <x:c r="F417" s="11" t="n">
        <x:v>46252.68496519676</x:v>
      </x:c>
      <x:c r="G417" t="str">
        <x:v>flat</x:v>
      </x:c>
      <x:c r="H417" s="12" t="n">
        <x:v>3</x:v>
      </x:c>
      <x:c r="I417" s="13" t="n">
        <x:v>7</x:v>
      </x:c>
      <x:c r="J417" t="str">
        <x:v>A</x:v>
      </x:c>
      <x:c r="K417" s="14" t="n">
        <x:v>81.49</x:v>
      </x:c>
      <x:c r="L417" s="14"/>
      <x:c r="M417" s="14"/>
      <x:c r="N417" s="14"/>
      <x:c r="O417" s="14"/>
      <x:c r="P417" s="14" t="n">
        <x:v>13.63</x:v>
      </x:c>
      <x:c r="Q417" s="14" t="n">
        <x:v>95.12</x:v>
      </x:c>
      <x:c r="R417" s="15"/>
      <x:c r="S417" s="15"/>
      <x:c r="T417" s="15"/>
      <x:c r="U417" s="16"/>
      <x:c r="V417" t="str">
        <x:v>JTRE</x:v>
      </x:c>
      <x:c r="W417" t="str">
        <x:v>Ružinov</x:v>
      </x:c>
      <x:c r="X417" s="11" t="str">
        <x:v>Predaný</x:v>
      </x:c>
      <x:c r="Y417" s="11" t="str">
        <x:v>https://d-y.sk/byty/a07.02/</x:v>
      </x:c>
      <x:c r="Z417" s="11" t="n">
        <x:v>46252.68496519676</x:v>
      </x:c>
      <x:c r="AA417" s="11" t="n">
        <x:v>46254.51251577547</x:v>
      </x:c>
      <x:c r="AB417" s="11" t="n">
        <x:v>46254.51251577547</x:v>
      </x:c>
      <x:c r="AC417" t="str">
        <x:v>downtown_yards</x:v>
      </x:c>
    </x:row>
    <x:row r="418" ht="22" customHeight="1">
      <x:c r="A418" t="str">
        <x:v>Downtown Yards</x:v>
      </x:c>
      <x:c r="B418" t="str">
        <x:v>A07.03</x:v>
      </x:c>
      <x:c r="C418" t="str">
        <x:v>sold</x:v>
      </x:c>
      <x:c r="D418" t="str">
        <x:v>present</x:v>
      </x:c>
      <x:c r="E418" t="str">
        <x:v>baseline</x:v>
      </x:c>
      <x:c r="F418" s="11" t="n">
        <x:v>46252.68496519676</x:v>
      </x:c>
      <x:c r="G418" t="str">
        <x:v>flat</x:v>
      </x:c>
      <x:c r="H418" s="12" t="n">
        <x:v>2</x:v>
      </x:c>
      <x:c r="I418" s="13" t="n">
        <x:v>7</x:v>
      </x:c>
      <x:c r="J418" t="str">
        <x:v>A</x:v>
      </x:c>
      <x:c r="K418" s="14" t="n">
        <x:v>52.22</x:v>
      </x:c>
      <x:c r="L418" s="14"/>
      <x:c r="M418" s="14"/>
      <x:c r="N418" s="14"/>
      <x:c r="O418" s="14"/>
      <x:c r="P418" s="14" t="n">
        <x:v>8.67</x:v>
      </x:c>
      <x:c r="Q418" s="14" t="n">
        <x:v>60.89</x:v>
      </x:c>
      <x:c r="R418" s="15"/>
      <x:c r="S418" s="15"/>
      <x:c r="T418" s="15"/>
      <x:c r="U418" s="16"/>
      <x:c r="V418" t="str">
        <x:v>JTRE</x:v>
      </x:c>
      <x:c r="W418" t="str">
        <x:v>Ružinov</x:v>
      </x:c>
      <x:c r="X418" s="11" t="str">
        <x:v>Predaný</x:v>
      </x:c>
      <x:c r="Y418" s="11" t="str">
        <x:v>https://d-y.sk/byty/a07.03/</x:v>
      </x:c>
      <x:c r="Z418" s="11" t="n">
        <x:v>46252.68496519676</x:v>
      </x:c>
      <x:c r="AA418" s="11" t="n">
        <x:v>46254.51251577547</x:v>
      </x:c>
      <x:c r="AB418" s="11" t="n">
        <x:v>46254.51251577547</x:v>
      </x:c>
      <x:c r="AC418" t="str">
        <x:v>downtown_yards</x:v>
      </x:c>
    </x:row>
    <x:row r="419" ht="22" customHeight="1">
      <x:c r="A419" t="str">
        <x:v>Downtown Yards</x:v>
      </x:c>
      <x:c r="B419" t="str">
        <x:v>A07.04</x:v>
      </x:c>
      <x:c r="C419" t="str">
        <x:v>sold</x:v>
      </x:c>
      <x:c r="D419" t="str">
        <x:v>present</x:v>
      </x:c>
      <x:c r="E419" t="str">
        <x:v>baseline</x:v>
      </x:c>
      <x:c r="F419" s="11" t="n">
        <x:v>46252.68496519676</x:v>
      </x:c>
      <x:c r="G419" t="str">
        <x:v>flat</x:v>
      </x:c>
      <x:c r="H419" s="12" t="n">
        <x:v>2</x:v>
      </x:c>
      <x:c r="I419" s="13" t="n">
        <x:v>7</x:v>
      </x:c>
      <x:c r="J419" t="str">
        <x:v>A</x:v>
      </x:c>
      <x:c r="K419" s="14" t="n">
        <x:v>51.68</x:v>
      </x:c>
      <x:c r="L419" s="14"/>
      <x:c r="M419" s="14"/>
      <x:c r="N419" s="14"/>
      <x:c r="O419" s="14"/>
      <x:c r="P419" s="14" t="n">
        <x:v>8.67</x:v>
      </x:c>
      <x:c r="Q419" s="14" t="n">
        <x:v>60.35</x:v>
      </x:c>
      <x:c r="R419" s="15"/>
      <x:c r="S419" s="15"/>
      <x:c r="T419" s="15"/>
      <x:c r="U419" s="16"/>
      <x:c r="V419" t="str">
        <x:v>JTRE</x:v>
      </x:c>
      <x:c r="W419" t="str">
        <x:v>Ružinov</x:v>
      </x:c>
      <x:c r="X419" s="11" t="str">
        <x:v>Predaný</x:v>
      </x:c>
      <x:c r="Y419" s="11" t="str">
        <x:v>https://d-y.sk/byty/a07.04/</x:v>
      </x:c>
      <x:c r="Z419" s="11" t="n">
        <x:v>46252.68496519676</x:v>
      </x:c>
      <x:c r="AA419" s="11" t="n">
        <x:v>46254.51251577547</x:v>
      </x:c>
      <x:c r="AB419" s="11" t="n">
        <x:v>46254.51251577547</x:v>
      </x:c>
      <x:c r="AC419" t="str">
        <x:v>downtown_yards</x:v>
      </x:c>
    </x:row>
    <x:row r="420" ht="22" customHeight="1">
      <x:c r="A420" t="str">
        <x:v>Downtown Yards</x:v>
      </x:c>
      <x:c r="B420" t="str">
        <x:v>A07.05</x:v>
      </x:c>
      <x:c r="C420" t="str">
        <x:v>pre_reserved</x:v>
      </x:c>
      <x:c r="D420" t="str">
        <x:v>present</x:v>
      </x:c>
      <x:c r="E420" t="str">
        <x:v>baseline</x:v>
      </x:c>
      <x:c r="F420" s="11" t="n">
        <x:v>46252.68496519676</x:v>
      </x:c>
      <x:c r="G420" t="str">
        <x:v>flat</x:v>
      </x:c>
      <x:c r="H420" s="12" t="n">
        <x:v>3</x:v>
      </x:c>
      <x:c r="I420" s="13" t="n">
        <x:v>7</x:v>
      </x:c>
      <x:c r="J420" t="str">
        <x:v>A</x:v>
      </x:c>
      <x:c r="K420" s="14" t="n">
        <x:v>87.6</x:v>
      </x:c>
      <x:c r="L420" s="14"/>
      <x:c r="M420" s="14"/>
      <x:c r="N420" s="14"/>
      <x:c r="O420" s="14"/>
      <x:c r="P420" s="14" t="n">
        <x:v>8.67</x:v>
      </x:c>
      <x:c r="Q420" s="14" t="n">
        <x:v>96.27</x:v>
      </x:c>
      <x:c r="R420" s="15" t="n">
        <x:v>522750</x:v>
      </x:c>
      <x:c r="S420" s="15" t="n">
        <x:v>607743</x:v>
      </x:c>
      <x:c r="T420" s="15" t="n">
        <x:v>522750</x:v>
      </x:c>
      <x:c r="U420" s="16" t="n">
        <x:v>5967.47</x:v>
      </x:c>
      <x:c r="V420" t="str">
        <x:v>JTRE</x:v>
      </x:c>
      <x:c r="W420" t="str">
        <x:v>Ružinov</x:v>
      </x:c>
      <x:c r="X420" s="11" t="str">
        <x:v>Predrezervovaný</x:v>
      </x:c>
      <x:c r="Y420" s="11" t="str">
        <x:v>https://d-y.sk/byty/a07.05/</x:v>
      </x:c>
      <x:c r="Z420" s="11" t="n">
        <x:v>46252.68496519676</x:v>
      </x:c>
      <x:c r="AA420" s="11" t="n">
        <x:v>46254.51251577547</x:v>
      </x:c>
      <x:c r="AB420" s="11" t="n">
        <x:v>46254.51251577547</x:v>
      </x:c>
      <x:c r="AC420" t="str">
        <x:v>downtown_yards</x:v>
      </x:c>
    </x:row>
    <x:row r="421" ht="22" customHeight="1">
      <x:c r="A421" t="str">
        <x:v>Downtown Yards</x:v>
      </x:c>
      <x:c r="B421" t="str">
        <x:v>A07.06</x:v>
      </x:c>
      <x:c r="C421" t="str">
        <x:v>sold</x:v>
      </x:c>
      <x:c r="D421" t="str">
        <x:v>present</x:v>
      </x:c>
      <x:c r="E421" t="str">
        <x:v>baseline</x:v>
      </x:c>
      <x:c r="F421" s="11" t="n">
        <x:v>46252.68496519676</x:v>
      </x:c>
      <x:c r="G421" t="str">
        <x:v>flat</x:v>
      </x:c>
      <x:c r="H421" s="12" t="n">
        <x:v>3</x:v>
      </x:c>
      <x:c r="I421" s="13" t="n">
        <x:v>7</x:v>
      </x:c>
      <x:c r="J421" t="str">
        <x:v>A</x:v>
      </x:c>
      <x:c r="K421" s="14" t="n">
        <x:v>87.3</x:v>
      </x:c>
      <x:c r="L421" s="14"/>
      <x:c r="M421" s="14"/>
      <x:c r="N421" s="14"/>
      <x:c r="O421" s="14"/>
      <x:c r="P421" s="14" t="n">
        <x:v>6.58</x:v>
      </x:c>
      <x:c r="Q421" s="14" t="n">
        <x:v>93.88</x:v>
      </x:c>
      <x:c r="R421" s="15"/>
      <x:c r="S421" s="15"/>
      <x:c r="T421" s="15"/>
      <x:c r="U421" s="16"/>
      <x:c r="V421" t="str">
        <x:v>JTRE</x:v>
      </x:c>
      <x:c r="W421" t="str">
        <x:v>Ružinov</x:v>
      </x:c>
      <x:c r="X421" s="11" t="str">
        <x:v>Predaný</x:v>
      </x:c>
      <x:c r="Y421" s="11" t="str">
        <x:v>https://d-y.sk/byty/a07.06/</x:v>
      </x:c>
      <x:c r="Z421" s="11" t="n">
        <x:v>46252.68496519676</x:v>
      </x:c>
      <x:c r="AA421" s="11" t="n">
        <x:v>46254.51251577547</x:v>
      </x:c>
      <x:c r="AB421" s="11" t="n">
        <x:v>46254.51251577547</x:v>
      </x:c>
      <x:c r="AC421" t="str">
        <x:v>downtown_yards</x:v>
      </x:c>
    </x:row>
    <x:row r="422" ht="22" customHeight="1">
      <x:c r="A422" t="str">
        <x:v>Downtown Yards</x:v>
      </x:c>
      <x:c r="B422" t="str">
        <x:v>A07.07</x:v>
      </x:c>
      <x:c r="C422" t="str">
        <x:v>sold</x:v>
      </x:c>
      <x:c r="D422" t="str">
        <x:v>present</x:v>
      </x:c>
      <x:c r="E422" t="str">
        <x:v>baseline</x:v>
      </x:c>
      <x:c r="F422" s="11" t="n">
        <x:v>46252.68496519676</x:v>
      </x:c>
      <x:c r="G422" t="str">
        <x:v>flat</x:v>
      </x:c>
      <x:c r="H422" s="12" t="n">
        <x:v>2</x:v>
      </x:c>
      <x:c r="I422" s="13" t="n">
        <x:v>7</x:v>
      </x:c>
      <x:c r="J422" t="str">
        <x:v>A</x:v>
      </x:c>
      <x:c r="K422" s="14" t="n">
        <x:v>51.97</x:v>
      </x:c>
      <x:c r="L422" s="14"/>
      <x:c r="M422" s="14"/>
      <x:c r="N422" s="14"/>
      <x:c r="O422" s="14"/>
      <x:c r="P422" s="14" t="n">
        <x:v>6.58</x:v>
      </x:c>
      <x:c r="Q422" s="14" t="n">
        <x:v>58.55</x:v>
      </x:c>
      <x:c r="R422" s="15"/>
      <x:c r="S422" s="15"/>
      <x:c r="T422" s="15"/>
      <x:c r="U422" s="16"/>
      <x:c r="V422" t="str">
        <x:v>JTRE</x:v>
      </x:c>
      <x:c r="W422" t="str">
        <x:v>Ružinov</x:v>
      </x:c>
      <x:c r="X422" s="11" t="str">
        <x:v>Predaný</x:v>
      </x:c>
      <x:c r="Y422" s="11" t="str">
        <x:v>https://d-y.sk/byty/a07.07/</x:v>
      </x:c>
      <x:c r="Z422" s="11" t="n">
        <x:v>46252.68496519676</x:v>
      </x:c>
      <x:c r="AA422" s="11" t="n">
        <x:v>46254.51251577547</x:v>
      </x:c>
      <x:c r="AB422" s="11" t="n">
        <x:v>46254.51251577547</x:v>
      </x:c>
      <x:c r="AC422" t="str">
        <x:v>downtown_yards</x:v>
      </x:c>
    </x:row>
    <x:row r="423" ht="22" customHeight="1">
      <x:c r="A423" t="str">
        <x:v>Downtown Yards</x:v>
      </x:c>
      <x:c r="B423" t="str">
        <x:v>A07.08</x:v>
      </x:c>
      <x:c r="C423" t="str">
        <x:v>sold</x:v>
      </x:c>
      <x:c r="D423" t="str">
        <x:v>present</x:v>
      </x:c>
      <x:c r="E423" t="str">
        <x:v>baseline</x:v>
      </x:c>
      <x:c r="F423" s="11" t="n">
        <x:v>46252.68496519676</x:v>
      </x:c>
      <x:c r="G423" t="str">
        <x:v>flat</x:v>
      </x:c>
      <x:c r="H423" s="12" t="n">
        <x:v>2</x:v>
      </x:c>
      <x:c r="I423" s="13" t="n">
        <x:v>7</x:v>
      </x:c>
      <x:c r="J423" t="str">
        <x:v>A</x:v>
      </x:c>
      <x:c r="K423" s="14" t="n">
        <x:v>52.09</x:v>
      </x:c>
      <x:c r="L423" s="14"/>
      <x:c r="M423" s="14"/>
      <x:c r="N423" s="14"/>
      <x:c r="O423" s="14"/>
      <x:c r="P423" s="14" t="n">
        <x:v>6.58</x:v>
      </x:c>
      <x:c r="Q423" s="14" t="n">
        <x:v>58.67</x:v>
      </x:c>
      <x:c r="R423" s="15"/>
      <x:c r="S423" s="15"/>
      <x:c r="T423" s="15"/>
      <x:c r="U423" s="16"/>
      <x:c r="V423" t="str">
        <x:v>JTRE</x:v>
      </x:c>
      <x:c r="W423" t="str">
        <x:v>Ružinov</x:v>
      </x:c>
      <x:c r="X423" s="11" t="str">
        <x:v>Predaný</x:v>
      </x:c>
      <x:c r="Y423" s="11" t="str">
        <x:v>https://d-y.sk/byty/a07.08/</x:v>
      </x:c>
      <x:c r="Z423" s="11" t="n">
        <x:v>46252.68496519676</x:v>
      </x:c>
      <x:c r="AA423" s="11" t="n">
        <x:v>46254.51251577547</x:v>
      </x:c>
      <x:c r="AB423" s="11" t="n">
        <x:v>46254.51251577547</x:v>
      </x:c>
      <x:c r="AC423" t="str">
        <x:v>downtown_yards</x:v>
      </x:c>
    </x:row>
    <x:row r="424" ht="22" customHeight="1">
      <x:c r="A424" t="str">
        <x:v>Downtown Yards</x:v>
      </x:c>
      <x:c r="B424" t="str">
        <x:v>A07.09</x:v>
      </x:c>
      <x:c r="C424" t="str">
        <x:v>available</x:v>
      </x:c>
      <x:c r="D424" t="str">
        <x:v>present</x:v>
      </x:c>
      <x:c r="E424" t="str">
        <x:v>baseline</x:v>
      </x:c>
      <x:c r="F424" s="11" t="n">
        <x:v>46252.68496519676</x:v>
      </x:c>
      <x:c r="G424" t="str">
        <x:v>flat</x:v>
      </x:c>
      <x:c r="H424" s="12" t="n">
        <x:v>3</x:v>
      </x:c>
      <x:c r="I424" s="13" t="n">
        <x:v>7</x:v>
      </x:c>
      <x:c r="J424" t="str">
        <x:v>A</x:v>
      </x:c>
      <x:c r="K424" s="14" t="n">
        <x:v>79.43</x:v>
      </x:c>
      <x:c r="L424" s="14"/>
      <x:c r="M424" s="14"/>
      <x:c r="N424" s="14"/>
      <x:c r="O424" s="14"/>
      <x:c r="P424" s="14" t="n">
        <x:v>12.1</x:v>
      </x:c>
      <x:c r="Q424" s="14" t="n">
        <x:v>91.53</x:v>
      </x:c>
      <x:c r="R424" s="15" t="n">
        <x:v>528285</x:v>
      </x:c>
      <x:c r="S424" s="15" t="n">
        <x:v>614262</x:v>
      </x:c>
      <x:c r="T424" s="15" t="n">
        <x:v>528285</x:v>
      </x:c>
      <x:c r="U424" s="16" t="n">
        <x:v>6650.95</x:v>
      </x:c>
      <x:c r="V424" t="str">
        <x:v>JTRE</x:v>
      </x:c>
      <x:c r="W424" t="str">
        <x:v>Ružinov</x:v>
      </x:c>
      <x:c r="X424" s="11" t="str">
        <x:v>Voľný</x:v>
      </x:c>
      <x:c r="Y424" s="11" t="str">
        <x:v>https://d-y.sk/byty/a07.09/</x:v>
      </x:c>
      <x:c r="Z424" s="11" t="n">
        <x:v>46252.68496519676</x:v>
      </x:c>
      <x:c r="AA424" s="11" t="n">
        <x:v>46254.51251577547</x:v>
      </x:c>
      <x:c r="AB424" s="11" t="n">
        <x:v>46254.51251577547</x:v>
      </x:c>
      <x:c r="AC424" t="str">
        <x:v>downtown_yards</x:v>
      </x:c>
    </x:row>
    <x:row r="425" ht="22" customHeight="1">
      <x:c r="A425" t="str">
        <x:v>Downtown Yards</x:v>
      </x:c>
      <x:c r="B425" t="str">
        <x:v>A07.10</x:v>
      </x:c>
      <x:c r="C425" t="str">
        <x:v>sold</x:v>
      </x:c>
      <x:c r="D425" t="str">
        <x:v>present</x:v>
      </x:c>
      <x:c r="E425" t="str">
        <x:v>baseline</x:v>
      </x:c>
      <x:c r="F425" s="11" t="n">
        <x:v>46252.68496519676</x:v>
      </x:c>
      <x:c r="G425" t="str">
        <x:v>flat</x:v>
      </x:c>
      <x:c r="H425" s="12" t="n">
        <x:v>1</x:v>
      </x:c>
      <x:c r="I425" s="13" t="n">
        <x:v>7</x:v>
      </x:c>
      <x:c r="J425" t="str">
        <x:v>A</x:v>
      </x:c>
      <x:c r="K425" s="14" t="n">
        <x:v>30.55</x:v>
      </x:c>
      <x:c r="L425" s="14"/>
      <x:c r="M425" s="14"/>
      <x:c r="N425" s="14"/>
      <x:c r="O425" s="14"/>
      <x:c r="P425" s="14" t="n">
        <x:v>3.23</x:v>
      </x:c>
      <x:c r="Q425" s="14" t="n">
        <x:v>33.78</x:v>
      </x:c>
      <x:c r="R425" s="15"/>
      <x:c r="S425" s="15"/>
      <x:c r="T425" s="15"/>
      <x:c r="U425" s="16"/>
      <x:c r="V425" t="str">
        <x:v>JTRE</x:v>
      </x:c>
      <x:c r="W425" t="str">
        <x:v>Ružinov</x:v>
      </x:c>
      <x:c r="X425" s="11" t="str">
        <x:v>Predaný</x:v>
      </x:c>
      <x:c r="Y425" s="11" t="str">
        <x:v>https://d-y.sk/byty/a07.10/</x:v>
      </x:c>
      <x:c r="Z425" s="11" t="n">
        <x:v>46252.68496519676</x:v>
      </x:c>
      <x:c r="AA425" s="11" t="n">
        <x:v>46254.51251577547</x:v>
      </x:c>
      <x:c r="AB425" s="11" t="n">
        <x:v>46254.51251577547</x:v>
      </x:c>
      <x:c r="AC425" t="str">
        <x:v>downtown_yards</x:v>
      </x:c>
    </x:row>
    <x:row r="426" ht="22" customHeight="1">
      <x:c r="A426" t="str">
        <x:v>Downtown Yards</x:v>
      </x:c>
      <x:c r="B426" t="str">
        <x:v>A08.01</x:v>
      </x:c>
      <x:c r="C426" t="str">
        <x:v>sold</x:v>
      </x:c>
      <x:c r="D426" t="str">
        <x:v>present</x:v>
      </x:c>
      <x:c r="E426" t="str">
        <x:v>baseline</x:v>
      </x:c>
      <x:c r="F426" s="11" t="n">
        <x:v>46252.68496519676</x:v>
      </x:c>
      <x:c r="G426" t="str">
        <x:v>flat</x:v>
      </x:c>
      <x:c r="H426" s="12" t="n">
        <x:v>1</x:v>
      </x:c>
      <x:c r="I426" s="13" t="n">
        <x:v>8</x:v>
      </x:c>
      <x:c r="J426" t="str">
        <x:v>A</x:v>
      </x:c>
      <x:c r="K426" s="14" t="n">
        <x:v>30.55</x:v>
      </x:c>
      <x:c r="L426" s="14"/>
      <x:c r="M426" s="14"/>
      <x:c r="N426" s="14"/>
      <x:c r="O426" s="14"/>
      <x:c r="P426" s="14" t="n">
        <x:v>3.13</x:v>
      </x:c>
      <x:c r="Q426" s="14" t="n">
        <x:v>33.68</x:v>
      </x:c>
      <x:c r="R426" s="15"/>
      <x:c r="S426" s="15"/>
      <x:c r="T426" s="15"/>
      <x:c r="U426" s="16"/>
      <x:c r="V426" t="str">
        <x:v>JTRE</x:v>
      </x:c>
      <x:c r="W426" t="str">
        <x:v>Ružinov</x:v>
      </x:c>
      <x:c r="X426" s="11" t="str">
        <x:v>Predaný</x:v>
      </x:c>
      <x:c r="Y426" s="11" t="str">
        <x:v>https://d-y.sk/byty/a08.01/</x:v>
      </x:c>
      <x:c r="Z426" s="11" t="n">
        <x:v>46252.68496519676</x:v>
      </x:c>
      <x:c r="AA426" s="11" t="n">
        <x:v>46254.51251577547</x:v>
      </x:c>
      <x:c r="AB426" s="11" t="n">
        <x:v>46254.51251577547</x:v>
      </x:c>
      <x:c r="AC426" t="str">
        <x:v>downtown_yards</x:v>
      </x:c>
    </x:row>
    <x:row r="427" ht="22" customHeight="1">
      <x:c r="A427" t="str">
        <x:v>Downtown Yards</x:v>
      </x:c>
      <x:c r="B427" t="str">
        <x:v>A08.02</x:v>
      </x:c>
      <x:c r="C427" t="str">
        <x:v>sold</x:v>
      </x:c>
      <x:c r="D427" t="str">
        <x:v>present</x:v>
      </x:c>
      <x:c r="E427" t="str">
        <x:v>baseline</x:v>
      </x:c>
      <x:c r="F427" s="11" t="n">
        <x:v>46252.68496519676</x:v>
      </x:c>
      <x:c r="G427" t="str">
        <x:v>flat</x:v>
      </x:c>
      <x:c r="H427" s="12" t="n">
        <x:v>3</x:v>
      </x:c>
      <x:c r="I427" s="13" t="n">
        <x:v>8</x:v>
      </x:c>
      <x:c r="J427" t="str">
        <x:v>A</x:v>
      </x:c>
      <x:c r="K427" s="14" t="n">
        <x:v>82.13</x:v>
      </x:c>
      <x:c r="L427" s="14"/>
      <x:c r="M427" s="14"/>
      <x:c r="N427" s="14"/>
      <x:c r="O427" s="14"/>
      <x:c r="P427" s="14" t="n">
        <x:v>13.63</x:v>
      </x:c>
      <x:c r="Q427" s="14" t="n">
        <x:v>95.76</x:v>
      </x:c>
      <x:c r="R427" s="15"/>
      <x:c r="S427" s="15"/>
      <x:c r="T427" s="15"/>
      <x:c r="U427" s="16"/>
      <x:c r="V427" t="str">
        <x:v>JTRE</x:v>
      </x:c>
      <x:c r="W427" t="str">
        <x:v>Ružinov</x:v>
      </x:c>
      <x:c r="X427" s="11" t="str">
        <x:v>Predaný</x:v>
      </x:c>
      <x:c r="Y427" s="11" t="str">
        <x:v>https://d-y.sk/byty/a08.02/</x:v>
      </x:c>
      <x:c r="Z427" s="11" t="n">
        <x:v>46252.68496519676</x:v>
      </x:c>
      <x:c r="AA427" s="11" t="n">
        <x:v>46254.51251577547</x:v>
      </x:c>
      <x:c r="AB427" s="11" t="n">
        <x:v>46254.51251577547</x:v>
      </x:c>
      <x:c r="AC427" t="str">
        <x:v>downtown_yards</x:v>
      </x:c>
    </x:row>
    <x:row r="428" ht="22" customHeight="1">
      <x:c r="A428" t="str">
        <x:v>Downtown Yards</x:v>
      </x:c>
      <x:c r="B428" t="str">
        <x:v>A08.03</x:v>
      </x:c>
      <x:c r="C428" t="str">
        <x:v>sold</x:v>
      </x:c>
      <x:c r="D428" t="str">
        <x:v>present</x:v>
      </x:c>
      <x:c r="E428" t="str">
        <x:v>baseline</x:v>
      </x:c>
      <x:c r="F428" s="11" t="n">
        <x:v>46252.68496519676</x:v>
      </x:c>
      <x:c r="G428" t="str">
        <x:v>flat</x:v>
      </x:c>
      <x:c r="H428" s="12" t="n">
        <x:v>2</x:v>
      </x:c>
      <x:c r="I428" s="13" t="n">
        <x:v>8</x:v>
      </x:c>
      <x:c r="J428" t="str">
        <x:v>A</x:v>
      </x:c>
      <x:c r="K428" s="14" t="n">
        <x:v>52.8</x:v>
      </x:c>
      <x:c r="L428" s="14"/>
      <x:c r="M428" s="14"/>
      <x:c r="N428" s="14"/>
      <x:c r="O428" s="14"/>
      <x:c r="P428" s="14" t="n">
        <x:v>8.67</x:v>
      </x:c>
      <x:c r="Q428" s="14" t="n">
        <x:v>61.47</x:v>
      </x:c>
      <x:c r="R428" s="15"/>
      <x:c r="S428" s="15"/>
      <x:c r="T428" s="15"/>
      <x:c r="U428" s="16"/>
      <x:c r="V428" t="str">
        <x:v>JTRE</x:v>
      </x:c>
      <x:c r="W428" t="str">
        <x:v>Ružinov</x:v>
      </x:c>
      <x:c r="X428" s="11" t="str">
        <x:v>Predaný</x:v>
      </x:c>
      <x:c r="Y428" s="11" t="str">
        <x:v>https://d-y.sk/byty/a08.03/</x:v>
      </x:c>
      <x:c r="Z428" s="11" t="n">
        <x:v>46252.68496519676</x:v>
      </x:c>
      <x:c r="AA428" s="11" t="n">
        <x:v>46254.51251577547</x:v>
      </x:c>
      <x:c r="AB428" s="11" t="n">
        <x:v>46254.51251577547</x:v>
      </x:c>
      <x:c r="AC428" t="str">
        <x:v>downtown_yards</x:v>
      </x:c>
    </x:row>
    <x:row r="429" ht="22" customHeight="1">
      <x:c r="A429" t="str">
        <x:v>Downtown Yards</x:v>
      </x:c>
      <x:c r="B429" t="str">
        <x:v>A08.04</x:v>
      </x:c>
      <x:c r="C429" t="str">
        <x:v>sold</x:v>
      </x:c>
      <x:c r="D429" t="str">
        <x:v>present</x:v>
      </x:c>
      <x:c r="E429" t="str">
        <x:v>baseline</x:v>
      </x:c>
      <x:c r="F429" s="11" t="n">
        <x:v>46252.68496519676</x:v>
      </x:c>
      <x:c r="G429" t="str">
        <x:v>flat</x:v>
      </x:c>
      <x:c r="H429" s="12" t="n">
        <x:v>2</x:v>
      </x:c>
      <x:c r="I429" s="13" t="n">
        <x:v>8</x:v>
      </x:c>
      <x:c r="J429" t="str">
        <x:v>A</x:v>
      </x:c>
      <x:c r="K429" s="14" t="n">
        <x:v>52.23</x:v>
      </x:c>
      <x:c r="L429" s="14"/>
      <x:c r="M429" s="14"/>
      <x:c r="N429" s="14"/>
      <x:c r="O429" s="14"/>
      <x:c r="P429" s="14" t="n">
        <x:v>8.67</x:v>
      </x:c>
      <x:c r="Q429" s="14" t="n">
        <x:v>60.9</x:v>
      </x:c>
      <x:c r="R429" s="15"/>
      <x:c r="S429" s="15"/>
      <x:c r="T429" s="15"/>
      <x:c r="U429" s="16"/>
      <x:c r="V429" t="str">
        <x:v>JTRE</x:v>
      </x:c>
      <x:c r="W429" t="str">
        <x:v>Ružinov</x:v>
      </x:c>
      <x:c r="X429" s="11" t="str">
        <x:v>Predaný</x:v>
      </x:c>
      <x:c r="Y429" s="11" t="str">
        <x:v>https://d-y.sk/byty/a08.04/</x:v>
      </x:c>
      <x:c r="Z429" s="11" t="n">
        <x:v>46252.68496519676</x:v>
      </x:c>
      <x:c r="AA429" s="11" t="n">
        <x:v>46254.51251577547</x:v>
      </x:c>
      <x:c r="AB429" s="11" t="n">
        <x:v>46254.51251577547</x:v>
      </x:c>
      <x:c r="AC429" t="str">
        <x:v>downtown_yards</x:v>
      </x:c>
    </x:row>
    <x:row r="430" ht="22" customHeight="1">
      <x:c r="A430" t="str">
        <x:v>Downtown Yards</x:v>
      </x:c>
      <x:c r="B430" t="str">
        <x:v>A08.05</x:v>
      </x:c>
      <x:c r="C430" t="str">
        <x:v>sold</x:v>
      </x:c>
      <x:c r="D430" t="str">
        <x:v>present</x:v>
      </x:c>
      <x:c r="E430" t="str">
        <x:v>baseline</x:v>
      </x:c>
      <x:c r="F430" s="11" t="n">
        <x:v>46252.68496519676</x:v>
      </x:c>
      <x:c r="G430" t="str">
        <x:v>flat</x:v>
      </x:c>
      <x:c r="H430" s="12" t="n">
        <x:v>3</x:v>
      </x:c>
      <x:c r="I430" s="13" t="n">
        <x:v>8</x:v>
      </x:c>
      <x:c r="J430" t="str">
        <x:v>A</x:v>
      </x:c>
      <x:c r="K430" s="14" t="n">
        <x:v>88.2</x:v>
      </x:c>
      <x:c r="L430" s="14"/>
      <x:c r="M430" s="14"/>
      <x:c r="N430" s="14"/>
      <x:c r="O430" s="14"/>
      <x:c r="P430" s="14" t="n">
        <x:v>8.67</x:v>
      </x:c>
      <x:c r="Q430" s="14" t="n">
        <x:v>96.87</x:v>
      </x:c>
      <x:c r="R430" s="15"/>
      <x:c r="S430" s="15"/>
      <x:c r="T430" s="15"/>
      <x:c r="U430" s="16"/>
      <x:c r="V430" t="str">
        <x:v>JTRE</x:v>
      </x:c>
      <x:c r="W430" t="str">
        <x:v>Ružinov</x:v>
      </x:c>
      <x:c r="X430" s="11" t="str">
        <x:v>Predaný</x:v>
      </x:c>
      <x:c r="Y430" s="11" t="str">
        <x:v>https://d-y.sk/byty/a08.05/</x:v>
      </x:c>
      <x:c r="Z430" s="11" t="n">
        <x:v>46252.68496519676</x:v>
      </x:c>
      <x:c r="AA430" s="11" t="n">
        <x:v>46254.51251577547</x:v>
      </x:c>
      <x:c r="AB430" s="11" t="n">
        <x:v>46254.51251577547</x:v>
      </x:c>
      <x:c r="AC430" t="str">
        <x:v>downtown_yards</x:v>
      </x:c>
    </x:row>
    <x:row r="431" ht="22" customHeight="1">
      <x:c r="A431" t="str">
        <x:v>Downtown Yards</x:v>
      </x:c>
      <x:c r="B431" t="str">
        <x:v>A08.06</x:v>
      </x:c>
      <x:c r="C431" t="str">
        <x:v>available</x:v>
      </x:c>
      <x:c r="D431" t="str">
        <x:v>present</x:v>
      </x:c>
      <x:c r="E431" t="str">
        <x:v>baseline</x:v>
      </x:c>
      <x:c r="F431" s="11" t="n">
        <x:v>46252.68496519676</x:v>
      </x:c>
      <x:c r="G431" t="str">
        <x:v>flat</x:v>
      </x:c>
      <x:c r="H431" s="12" t="n">
        <x:v>3</x:v>
      </x:c>
      <x:c r="I431" s="13" t="n">
        <x:v>8</x:v>
      </x:c>
      <x:c r="J431" t="str">
        <x:v>A</x:v>
      </x:c>
      <x:c r="K431" s="14" t="n">
        <x:v>87.99</x:v>
      </x:c>
      <x:c r="L431" s="14"/>
      <x:c r="M431" s="14"/>
      <x:c r="N431" s="14"/>
      <x:c r="O431" s="14"/>
      <x:c r="P431" s="14" t="n">
        <x:v>6.58</x:v>
      </x:c>
      <x:c r="Q431" s="14" t="n">
        <x:v>94.57</x:v>
      </x:c>
      <x:c r="R431" s="15" t="n">
        <x:v>585603</x:v>
      </x:c>
      <x:c r="S431" s="15" t="n">
        <x:v>674532</x:v>
      </x:c>
      <x:c r="T431" s="15" t="n">
        <x:v>585603</x:v>
      </x:c>
      <x:c r="U431" s="16" t="n">
        <x:v>6655.34</x:v>
      </x:c>
      <x:c r="V431" t="str">
        <x:v>JTRE</x:v>
      </x:c>
      <x:c r="W431" t="str">
        <x:v>Ružinov</x:v>
      </x:c>
      <x:c r="X431" s="11" t="str">
        <x:v>Voľný</x:v>
      </x:c>
      <x:c r="Y431" s="11" t="str">
        <x:v>https://d-y.sk/byty/a08.06/</x:v>
      </x:c>
      <x:c r="Z431" s="11" t="n">
        <x:v>46252.68496519676</x:v>
      </x:c>
      <x:c r="AA431" s="11" t="n">
        <x:v>46254.51251577547</x:v>
      </x:c>
      <x:c r="AB431" s="11" t="n">
        <x:v>46254.51251577547</x:v>
      </x:c>
      <x:c r="AC431" t="str">
        <x:v>downtown_yards</x:v>
      </x:c>
    </x:row>
    <x:row r="432" ht="22" customHeight="1">
      <x:c r="A432" t="str">
        <x:v>Downtown Yards</x:v>
      </x:c>
      <x:c r="B432" t="str">
        <x:v>A08.07</x:v>
      </x:c>
      <x:c r="C432" t="str">
        <x:v>sold</x:v>
      </x:c>
      <x:c r="D432" t="str">
        <x:v>present</x:v>
      </x:c>
      <x:c r="E432" t="str">
        <x:v>baseline</x:v>
      </x:c>
      <x:c r="F432" s="11" t="n">
        <x:v>46252.68496519676</x:v>
      </x:c>
      <x:c r="G432" t="str">
        <x:v>flat</x:v>
      </x:c>
      <x:c r="H432" s="12" t="n">
        <x:v>2</x:v>
      </x:c>
      <x:c r="I432" s="13" t="n">
        <x:v>8</x:v>
      </x:c>
      <x:c r="J432" t="str">
        <x:v>A</x:v>
      </x:c>
      <x:c r="K432" s="14" t="n">
        <x:v>52.49</x:v>
      </x:c>
      <x:c r="L432" s="14"/>
      <x:c r="M432" s="14"/>
      <x:c r="N432" s="14"/>
      <x:c r="O432" s="14"/>
      <x:c r="P432" s="14" t="n">
        <x:v>6.58</x:v>
      </x:c>
      <x:c r="Q432" s="14" t="n">
        <x:v>59.07</x:v>
      </x:c>
      <x:c r="R432" s="15"/>
      <x:c r="S432" s="15"/>
      <x:c r="T432" s="15"/>
      <x:c r="U432" s="16"/>
      <x:c r="V432" t="str">
        <x:v>JTRE</x:v>
      </x:c>
      <x:c r="W432" t="str">
        <x:v>Ružinov</x:v>
      </x:c>
      <x:c r="X432" s="11" t="str">
        <x:v>Predaný</x:v>
      </x:c>
      <x:c r="Y432" s="11" t="str">
        <x:v>https://d-y.sk/byty/a08.07/</x:v>
      </x:c>
      <x:c r="Z432" s="11" t="n">
        <x:v>46252.68496519676</x:v>
      </x:c>
      <x:c r="AA432" s="11" t="n">
        <x:v>46254.51251577547</x:v>
      </x:c>
      <x:c r="AB432" s="11" t="n">
        <x:v>46254.51251577547</x:v>
      </x:c>
      <x:c r="AC432" t="str">
        <x:v>downtown_yards</x:v>
      </x:c>
    </x:row>
    <x:row r="433" ht="22" customHeight="1">
      <x:c r="A433" t="str">
        <x:v>Downtown Yards</x:v>
      </x:c>
      <x:c r="B433" t="str">
        <x:v>A08.08</x:v>
      </x:c>
      <x:c r="C433" t="str">
        <x:v>sold</x:v>
      </x:c>
      <x:c r="D433" t="str">
        <x:v>present</x:v>
      </x:c>
      <x:c r="E433" t="str">
        <x:v>baseline</x:v>
      </x:c>
      <x:c r="F433" s="11" t="n">
        <x:v>46252.68496519676</x:v>
      </x:c>
      <x:c r="G433" t="str">
        <x:v>flat</x:v>
      </x:c>
      <x:c r="H433" s="12" t="n">
        <x:v>2</x:v>
      </x:c>
      <x:c r="I433" s="13" t="n">
        <x:v>8</x:v>
      </x:c>
      <x:c r="J433" t="str">
        <x:v>A</x:v>
      </x:c>
      <x:c r="K433" s="14" t="n">
        <x:v>52.66</x:v>
      </x:c>
      <x:c r="L433" s="14"/>
      <x:c r="M433" s="14"/>
      <x:c r="N433" s="14"/>
      <x:c r="O433" s="14"/>
      <x:c r="P433" s="14" t="n">
        <x:v>6.58</x:v>
      </x:c>
      <x:c r="Q433" s="14" t="n">
        <x:v>59.24</x:v>
      </x:c>
      <x:c r="R433" s="15"/>
      <x:c r="S433" s="15"/>
      <x:c r="T433" s="15"/>
      <x:c r="U433" s="16"/>
      <x:c r="V433" t="str">
        <x:v>JTRE</x:v>
      </x:c>
      <x:c r="W433" t="str">
        <x:v>Ružinov</x:v>
      </x:c>
      <x:c r="X433" s="11" t="str">
        <x:v>Predaný</x:v>
      </x:c>
      <x:c r="Y433" s="11" t="str">
        <x:v>https://d-y.sk/byty/a08.08/</x:v>
      </x:c>
      <x:c r="Z433" s="11" t="n">
        <x:v>46252.68496519676</x:v>
      </x:c>
      <x:c r="AA433" s="11" t="n">
        <x:v>46254.51251577547</x:v>
      </x:c>
      <x:c r="AB433" s="11" t="n">
        <x:v>46254.51251577547</x:v>
      </x:c>
      <x:c r="AC433" t="str">
        <x:v>downtown_yards</x:v>
      </x:c>
    </x:row>
    <x:row r="434" ht="22" customHeight="1">
      <x:c r="A434" t="str">
        <x:v>Downtown Yards</x:v>
      </x:c>
      <x:c r="B434" t="str">
        <x:v>A08.09</x:v>
      </x:c>
      <x:c r="C434" t="str">
        <x:v>available</x:v>
      </x:c>
      <x:c r="D434" t="str">
        <x:v>present</x:v>
      </x:c>
      <x:c r="E434" t="str">
        <x:v>baseline</x:v>
      </x:c>
      <x:c r="F434" s="11" t="n">
        <x:v>46252.68496519676</x:v>
      </x:c>
      <x:c r="G434" t="str">
        <x:v>flat</x:v>
      </x:c>
      <x:c r="H434" s="12" t="n">
        <x:v>3</x:v>
      </x:c>
      <x:c r="I434" s="13" t="n">
        <x:v>8</x:v>
      </x:c>
      <x:c r="J434" t="str">
        <x:v>A</x:v>
      </x:c>
      <x:c r="K434" s="14" t="n">
        <x:v>80.26</x:v>
      </x:c>
      <x:c r="L434" s="14"/>
      <x:c r="M434" s="14"/>
      <x:c r="N434" s="14"/>
      <x:c r="O434" s="14"/>
      <x:c r="P434" s="14" t="n">
        <x:v>12.1</x:v>
      </x:c>
      <x:c r="Q434" s="14" t="n">
        <x:v>92.36</x:v>
      </x:c>
      <x:c r="R434" s="15" t="n">
        <x:v>568998</x:v>
      </x:c>
      <x:c r="S434" s="15" t="n">
        <x:v>656820</x:v>
      </x:c>
      <x:c r="T434" s="15" t="n">
        <x:v>568998</x:v>
      </x:c>
      <x:c r="U434" s="16" t="n">
        <x:v>7089.43</x:v>
      </x:c>
      <x:c r="V434" t="str">
        <x:v>JTRE</x:v>
      </x:c>
      <x:c r="W434" t="str">
        <x:v>Ružinov</x:v>
      </x:c>
      <x:c r="X434" s="11" t="str">
        <x:v>Voľný</x:v>
      </x:c>
      <x:c r="Y434" s="11" t="str">
        <x:v>https://d-y.sk/byty/a08.09/</x:v>
      </x:c>
      <x:c r="Z434" s="11" t="n">
        <x:v>46252.68496519676</x:v>
      </x:c>
      <x:c r="AA434" s="11" t="n">
        <x:v>46254.51251577547</x:v>
      </x:c>
      <x:c r="AB434" s="11" t="n">
        <x:v>46254.51251577547</x:v>
      </x:c>
      <x:c r="AC434" t="str">
        <x:v>downtown_yards</x:v>
      </x:c>
    </x:row>
    <x:row r="435" ht="22" customHeight="1">
      <x:c r="A435" t="str">
        <x:v>Downtown Yards</x:v>
      </x:c>
      <x:c r="B435" t="str">
        <x:v>A08.10</x:v>
      </x:c>
      <x:c r="C435" t="str">
        <x:v>sold</x:v>
      </x:c>
      <x:c r="D435" t="str">
        <x:v>present</x:v>
      </x:c>
      <x:c r="E435" t="str">
        <x:v>baseline</x:v>
      </x:c>
      <x:c r="F435" s="11" t="n">
        <x:v>46252.68496519676</x:v>
      </x:c>
      <x:c r="G435" t="str">
        <x:v>flat</x:v>
      </x:c>
      <x:c r="H435" s="12" t="n">
        <x:v>1</x:v>
      </x:c>
      <x:c r="I435" s="13" t="n">
        <x:v>8</x:v>
      </x:c>
      <x:c r="J435" t="str">
        <x:v>A</x:v>
      </x:c>
      <x:c r="K435" s="14" t="n">
        <x:v>30.55</x:v>
      </x:c>
      <x:c r="L435" s="14"/>
      <x:c r="M435" s="14"/>
      <x:c r="N435" s="14"/>
      <x:c r="O435" s="14"/>
      <x:c r="P435" s="14" t="n">
        <x:v>3.23</x:v>
      </x:c>
      <x:c r="Q435" s="14" t="n">
        <x:v>33.78</x:v>
      </x:c>
      <x:c r="R435" s="15"/>
      <x:c r="S435" s="15"/>
      <x:c r="T435" s="15"/>
      <x:c r="U435" s="16"/>
      <x:c r="V435" t="str">
        <x:v>JTRE</x:v>
      </x:c>
      <x:c r="W435" t="str">
        <x:v>Ružinov</x:v>
      </x:c>
      <x:c r="X435" s="11" t="str">
        <x:v>Predaný</x:v>
      </x:c>
      <x:c r="Y435" s="11" t="str">
        <x:v>https://d-y.sk/byty/a08.10/</x:v>
      </x:c>
      <x:c r="Z435" s="11" t="n">
        <x:v>46252.68496519676</x:v>
      </x:c>
      <x:c r="AA435" s="11" t="n">
        <x:v>46254.51251577547</x:v>
      </x:c>
      <x:c r="AB435" s="11" t="n">
        <x:v>46254.51251577547</x:v>
      </x:c>
      <x:c r="AC435" t="str">
        <x:v>downtown_yards</x:v>
      </x:c>
    </x:row>
    <x:row r="436" ht="22" customHeight="1">
      <x:c r="A436" t="str">
        <x:v>Downtown Yards</x:v>
      </x:c>
      <x:c r="B436" t="str">
        <x:v>A09.01</x:v>
      </x:c>
      <x:c r="C436" t="str">
        <x:v>sold</x:v>
      </x:c>
      <x:c r="D436" t="str">
        <x:v>present</x:v>
      </x:c>
      <x:c r="E436" t="str">
        <x:v>baseline</x:v>
      </x:c>
      <x:c r="F436" s="11" t="n">
        <x:v>46252.68496519676</x:v>
      </x:c>
      <x:c r="G436" t="str">
        <x:v>flat</x:v>
      </x:c>
      <x:c r="H436" s="12" t="n">
        <x:v>1</x:v>
      </x:c>
      <x:c r="I436" s="13" t="n">
        <x:v>9</x:v>
      </x:c>
      <x:c r="J436" t="str">
        <x:v>A</x:v>
      </x:c>
      <x:c r="K436" s="14" t="n">
        <x:v>30.55</x:v>
      </x:c>
      <x:c r="L436" s="14"/>
      <x:c r="M436" s="14"/>
      <x:c r="N436" s="14"/>
      <x:c r="O436" s="14"/>
      <x:c r="P436" s="14" t="n">
        <x:v>3.13</x:v>
      </x:c>
      <x:c r="Q436" s="14" t="n">
        <x:v>33.68</x:v>
      </x:c>
      <x:c r="R436" s="15"/>
      <x:c r="S436" s="15"/>
      <x:c r="T436" s="15"/>
      <x:c r="U436" s="16"/>
      <x:c r="V436" t="str">
        <x:v>JTRE</x:v>
      </x:c>
      <x:c r="W436" t="str">
        <x:v>Ružinov</x:v>
      </x:c>
      <x:c r="X436" s="11" t="str">
        <x:v>Predaný</x:v>
      </x:c>
      <x:c r="Y436" s="11" t="str">
        <x:v>https://d-y.sk/byty/a09.01/</x:v>
      </x:c>
      <x:c r="Z436" s="11" t="n">
        <x:v>46252.68496519676</x:v>
      </x:c>
      <x:c r="AA436" s="11" t="n">
        <x:v>46254.51251577547</x:v>
      </x:c>
      <x:c r="AB436" s="11" t="n">
        <x:v>46254.51251577547</x:v>
      </x:c>
      <x:c r="AC436" t="str">
        <x:v>downtown_yards</x:v>
      </x:c>
    </x:row>
    <x:row r="437" ht="22" customHeight="1">
      <x:c r="A437" t="str">
        <x:v>Downtown Yards</x:v>
      </x:c>
      <x:c r="B437" t="str">
        <x:v>A09.02</x:v>
      </x:c>
      <x:c r="C437" t="str">
        <x:v>sold</x:v>
      </x:c>
      <x:c r="D437" t="str">
        <x:v>present</x:v>
      </x:c>
      <x:c r="E437" t="str">
        <x:v>baseline</x:v>
      </x:c>
      <x:c r="F437" s="11" t="n">
        <x:v>46252.68496519676</x:v>
      </x:c>
      <x:c r="G437" t="str">
        <x:v>flat</x:v>
      </x:c>
      <x:c r="H437" s="12" t="n">
        <x:v>3</x:v>
      </x:c>
      <x:c r="I437" s="13" t="n">
        <x:v>9</x:v>
      </x:c>
      <x:c r="J437" t="str">
        <x:v>A</x:v>
      </x:c>
      <x:c r="K437" s="14" t="n">
        <x:v>81.49</x:v>
      </x:c>
      <x:c r="L437" s="14"/>
      <x:c r="M437" s="14"/>
      <x:c r="N437" s="14"/>
      <x:c r="O437" s="14"/>
      <x:c r="P437" s="14" t="n">
        <x:v>13.63</x:v>
      </x:c>
      <x:c r="Q437" s="14" t="n">
        <x:v>95.12</x:v>
      </x:c>
      <x:c r="R437" s="15"/>
      <x:c r="S437" s="15"/>
      <x:c r="T437" s="15"/>
      <x:c r="U437" s="16"/>
      <x:c r="V437" t="str">
        <x:v>JTRE</x:v>
      </x:c>
      <x:c r="W437" t="str">
        <x:v>Ružinov</x:v>
      </x:c>
      <x:c r="X437" s="11" t="str">
        <x:v>Predaný</x:v>
      </x:c>
      <x:c r="Y437" s="11" t="str">
        <x:v>https://d-y.sk/byty/a09.02/</x:v>
      </x:c>
      <x:c r="Z437" s="11" t="n">
        <x:v>46252.68496519676</x:v>
      </x:c>
      <x:c r="AA437" s="11" t="n">
        <x:v>46254.51251577547</x:v>
      </x:c>
      <x:c r="AB437" s="11" t="n">
        <x:v>46254.51251577547</x:v>
      </x:c>
      <x:c r="AC437" t="str">
        <x:v>downtown_yards</x:v>
      </x:c>
    </x:row>
    <x:row r="438" ht="22" customHeight="1">
      <x:c r="A438" t="str">
        <x:v>Downtown Yards</x:v>
      </x:c>
      <x:c r="B438" t="str">
        <x:v>A09.03</x:v>
      </x:c>
      <x:c r="C438" t="str">
        <x:v>sold</x:v>
      </x:c>
      <x:c r="D438" t="str">
        <x:v>present</x:v>
      </x:c>
      <x:c r="E438" t="str">
        <x:v>baseline</x:v>
      </x:c>
      <x:c r="F438" s="11" t="n">
        <x:v>46252.68496519676</x:v>
      </x:c>
      <x:c r="G438" t="str">
        <x:v>flat</x:v>
      </x:c>
      <x:c r="H438" s="12" t="n">
        <x:v>2</x:v>
      </x:c>
      <x:c r="I438" s="13" t="n">
        <x:v>9</x:v>
      </x:c>
      <x:c r="J438" t="str">
        <x:v>A</x:v>
      </x:c>
      <x:c r="K438" s="14" t="n">
        <x:v>52.22</x:v>
      </x:c>
      <x:c r="L438" s="14"/>
      <x:c r="M438" s="14"/>
      <x:c r="N438" s="14"/>
      <x:c r="O438" s="14"/>
      <x:c r="P438" s="14" t="n">
        <x:v>8.67</x:v>
      </x:c>
      <x:c r="Q438" s="14" t="n">
        <x:v>60.89</x:v>
      </x:c>
      <x:c r="R438" s="15"/>
      <x:c r="S438" s="15"/>
      <x:c r="T438" s="15"/>
      <x:c r="U438" s="16"/>
      <x:c r="V438" t="str">
        <x:v>JTRE</x:v>
      </x:c>
      <x:c r="W438" t="str">
        <x:v>Ružinov</x:v>
      </x:c>
      <x:c r="X438" s="11" t="str">
        <x:v>Predaný</x:v>
      </x:c>
      <x:c r="Y438" s="11" t="str">
        <x:v>https://d-y.sk/byty/a09.03/</x:v>
      </x:c>
      <x:c r="Z438" s="11" t="n">
        <x:v>46252.68496519676</x:v>
      </x:c>
      <x:c r="AA438" s="11" t="n">
        <x:v>46254.51251577547</x:v>
      </x:c>
      <x:c r="AB438" s="11" t="n">
        <x:v>46254.51251577547</x:v>
      </x:c>
      <x:c r="AC438" t="str">
        <x:v>downtown_yards</x:v>
      </x:c>
    </x:row>
    <x:row r="439" ht="22" customHeight="1">
      <x:c r="A439" t="str">
        <x:v>Downtown Yards</x:v>
      </x:c>
      <x:c r="B439" t="str">
        <x:v>A09.04</x:v>
      </x:c>
      <x:c r="C439" t="str">
        <x:v>sold</x:v>
      </x:c>
      <x:c r="D439" t="str">
        <x:v>present</x:v>
      </x:c>
      <x:c r="E439" t="str">
        <x:v>baseline</x:v>
      </x:c>
      <x:c r="F439" s="11" t="n">
        <x:v>46252.68496519676</x:v>
      </x:c>
      <x:c r="G439" t="str">
        <x:v>flat</x:v>
      </x:c>
      <x:c r="H439" s="12" t="n">
        <x:v>2</x:v>
      </x:c>
      <x:c r="I439" s="13" t="n">
        <x:v>9</x:v>
      </x:c>
      <x:c r="J439" t="str">
        <x:v>A</x:v>
      </x:c>
      <x:c r="K439" s="14" t="n">
        <x:v>51.68</x:v>
      </x:c>
      <x:c r="L439" s="14"/>
      <x:c r="M439" s="14"/>
      <x:c r="N439" s="14"/>
      <x:c r="O439" s="14"/>
      <x:c r="P439" s="14" t="n">
        <x:v>8.67</x:v>
      </x:c>
      <x:c r="Q439" s="14" t="n">
        <x:v>60.35</x:v>
      </x:c>
      <x:c r="R439" s="15"/>
      <x:c r="S439" s="15"/>
      <x:c r="T439" s="15"/>
      <x:c r="U439" s="16"/>
      <x:c r="V439" t="str">
        <x:v>JTRE</x:v>
      </x:c>
      <x:c r="W439" t="str">
        <x:v>Ružinov</x:v>
      </x:c>
      <x:c r="X439" s="11" t="str">
        <x:v>Predaný</x:v>
      </x:c>
      <x:c r="Y439" s="11" t="str">
        <x:v>https://d-y.sk/byty/a09.04/</x:v>
      </x:c>
      <x:c r="Z439" s="11" t="n">
        <x:v>46252.68496519676</x:v>
      </x:c>
      <x:c r="AA439" s="11" t="n">
        <x:v>46254.51251577547</x:v>
      </x:c>
      <x:c r="AB439" s="11" t="n">
        <x:v>46254.51251577547</x:v>
      </x:c>
      <x:c r="AC439" t="str">
        <x:v>downtown_yards</x:v>
      </x:c>
    </x:row>
    <x:row r="440" ht="22" customHeight="1">
      <x:c r="A440" t="str">
        <x:v>Downtown Yards</x:v>
      </x:c>
      <x:c r="B440" t="str">
        <x:v>A09.05</x:v>
      </x:c>
      <x:c r="C440" t="str">
        <x:v>sold</x:v>
      </x:c>
      <x:c r="D440" t="str">
        <x:v>present</x:v>
      </x:c>
      <x:c r="E440" t="str">
        <x:v>baseline</x:v>
      </x:c>
      <x:c r="F440" s="11" t="n">
        <x:v>46252.68496519676</x:v>
      </x:c>
      <x:c r="G440" t="str">
        <x:v>flat</x:v>
      </x:c>
      <x:c r="H440" s="12" t="n">
        <x:v>3</x:v>
      </x:c>
      <x:c r="I440" s="13" t="n">
        <x:v>9</x:v>
      </x:c>
      <x:c r="J440" t="str">
        <x:v>A</x:v>
      </x:c>
      <x:c r="K440" s="14" t="n">
        <x:v>87.4</x:v>
      </x:c>
      <x:c r="L440" s="14"/>
      <x:c r="M440" s="14"/>
      <x:c r="N440" s="14"/>
      <x:c r="O440" s="14"/>
      <x:c r="P440" s="14" t="n">
        <x:v>8.67</x:v>
      </x:c>
      <x:c r="Q440" s="14" t="n">
        <x:v>96.07</x:v>
      </x:c>
      <x:c r="R440" s="15"/>
      <x:c r="S440" s="15"/>
      <x:c r="T440" s="15"/>
      <x:c r="U440" s="16"/>
      <x:c r="V440" t="str">
        <x:v>JTRE</x:v>
      </x:c>
      <x:c r="W440" t="str">
        <x:v>Ružinov</x:v>
      </x:c>
      <x:c r="X440" s="11" t="str">
        <x:v>Predaný</x:v>
      </x:c>
      <x:c r="Y440" s="11" t="str">
        <x:v>https://d-y.sk/byty/a09.05/</x:v>
      </x:c>
      <x:c r="Z440" s="11" t="n">
        <x:v>46252.68496519676</x:v>
      </x:c>
      <x:c r="AA440" s="11" t="n">
        <x:v>46254.51251577547</x:v>
      </x:c>
      <x:c r="AB440" s="11" t="n">
        <x:v>46254.51251577547</x:v>
      </x:c>
      <x:c r="AC440" t="str">
        <x:v>downtown_yards</x:v>
      </x:c>
    </x:row>
    <x:row r="441" ht="22" customHeight="1">
      <x:c r="A441" t="str">
        <x:v>Downtown Yards</x:v>
      </x:c>
      <x:c r="B441" t="str">
        <x:v>A09.06</x:v>
      </x:c>
      <x:c r="C441" t="str">
        <x:v>available</x:v>
      </x:c>
      <x:c r="D441" t="str">
        <x:v>present</x:v>
      </x:c>
      <x:c r="E441" t="str">
        <x:v>baseline</x:v>
      </x:c>
      <x:c r="F441" s="11" t="n">
        <x:v>46252.68496519676</x:v>
      </x:c>
      <x:c r="G441" t="str">
        <x:v>flat</x:v>
      </x:c>
      <x:c r="H441" s="12" t="n">
        <x:v>3</x:v>
      </x:c>
      <x:c r="I441" s="13" t="n">
        <x:v>9</x:v>
      </x:c>
      <x:c r="J441" t="str">
        <x:v>A</x:v>
      </x:c>
      <x:c r="K441" s="14" t="n">
        <x:v>87.3</x:v>
      </x:c>
      <x:c r="L441" s="14"/>
      <x:c r="M441" s="14"/>
      <x:c r="N441" s="14"/>
      <x:c r="O441" s="14"/>
      <x:c r="P441" s="14" t="n">
        <x:v>6.58</x:v>
      </x:c>
      <x:c r="Q441" s="14" t="n">
        <x:v>93.88</x:v>
      </x:c>
      <x:c r="R441" s="15" t="n">
        <x:v>548949</x:v>
      </x:c>
      <x:c r="S441" s="15" t="n">
        <x:v>638247</x:v>
      </x:c>
      <x:c r="T441" s="15" t="n">
        <x:v>548949</x:v>
      </x:c>
      <x:c r="U441" s="16" t="n">
        <x:v>6288.08</x:v>
      </x:c>
      <x:c r="V441" t="str">
        <x:v>JTRE</x:v>
      </x:c>
      <x:c r="W441" t="str">
        <x:v>Ružinov</x:v>
      </x:c>
      <x:c r="X441" s="11" t="str">
        <x:v>Voľný</x:v>
      </x:c>
      <x:c r="Y441" s="11" t="str">
        <x:v>https://d-y.sk/byty/a09.06/</x:v>
      </x:c>
      <x:c r="Z441" s="11" t="n">
        <x:v>46252.68496519676</x:v>
      </x:c>
      <x:c r="AA441" s="11" t="n">
        <x:v>46254.51251577547</x:v>
      </x:c>
      <x:c r="AB441" s="11" t="n">
        <x:v>46254.51251577547</x:v>
      </x:c>
      <x:c r="AC441" t="str">
        <x:v>downtown_yards</x:v>
      </x:c>
    </x:row>
    <x:row r="442" ht="22" customHeight="1">
      <x:c r="A442" t="str">
        <x:v>Downtown Yards</x:v>
      </x:c>
      <x:c r="B442" t="str">
        <x:v>A09.07</x:v>
      </x:c>
      <x:c r="C442" t="str">
        <x:v>sold</x:v>
      </x:c>
      <x:c r="D442" t="str">
        <x:v>present</x:v>
      </x:c>
      <x:c r="E442" t="str">
        <x:v>baseline</x:v>
      </x:c>
      <x:c r="F442" s="11" t="n">
        <x:v>46252.68496519676</x:v>
      </x:c>
      <x:c r="G442" t="str">
        <x:v>flat</x:v>
      </x:c>
      <x:c r="H442" s="12" t="n">
        <x:v>2</x:v>
      </x:c>
      <x:c r="I442" s="13" t="n">
        <x:v>9</x:v>
      </x:c>
      <x:c r="J442" t="str">
        <x:v>A</x:v>
      </x:c>
      <x:c r="K442" s="14" t="n">
        <x:v>51.86</x:v>
      </x:c>
      <x:c r="L442" s="14"/>
      <x:c r="M442" s="14"/>
      <x:c r="N442" s="14"/>
      <x:c r="O442" s="14"/>
      <x:c r="P442" s="14" t="n">
        <x:v>6.58</x:v>
      </x:c>
      <x:c r="Q442" s="14" t="n">
        <x:v>58.44</x:v>
      </x:c>
      <x:c r="R442" s="15"/>
      <x:c r="S442" s="15"/>
      <x:c r="T442" s="15"/>
      <x:c r="U442" s="16"/>
      <x:c r="V442" t="str">
        <x:v>JTRE</x:v>
      </x:c>
      <x:c r="W442" t="str">
        <x:v>Ružinov</x:v>
      </x:c>
      <x:c r="X442" s="11" t="str">
        <x:v>Predaný</x:v>
      </x:c>
      <x:c r="Y442" s="11" t="str">
        <x:v>https://d-y.sk/byty/a09.07/</x:v>
      </x:c>
      <x:c r="Z442" s="11" t="n">
        <x:v>46252.68496519676</x:v>
      </x:c>
      <x:c r="AA442" s="11" t="n">
        <x:v>46254.51251577547</x:v>
      </x:c>
      <x:c r="AB442" s="11" t="n">
        <x:v>46254.51251577547</x:v>
      </x:c>
      <x:c r="AC442" t="str">
        <x:v>downtown_yards</x:v>
      </x:c>
    </x:row>
    <x:row r="443" ht="22" customHeight="1">
      <x:c r="A443" t="str">
        <x:v>Downtown Yards</x:v>
      </x:c>
      <x:c r="B443" t="str">
        <x:v>A09.08</x:v>
      </x:c>
      <x:c r="C443" t="str">
        <x:v>sold</x:v>
      </x:c>
      <x:c r="D443" t="str">
        <x:v>present</x:v>
      </x:c>
      <x:c r="E443" t="str">
        <x:v>baseline</x:v>
      </x:c>
      <x:c r="F443" s="11" t="n">
        <x:v>46252.68496519676</x:v>
      </x:c>
      <x:c r="G443" t="str">
        <x:v>flat</x:v>
      </x:c>
      <x:c r="H443" s="12" t="n">
        <x:v>2</x:v>
      </x:c>
      <x:c r="I443" s="13" t="n">
        <x:v>9</x:v>
      </x:c>
      <x:c r="J443" t="str">
        <x:v>A</x:v>
      </x:c>
      <x:c r="K443" s="14" t="n">
        <x:v>52.09</x:v>
      </x:c>
      <x:c r="L443" s="14"/>
      <x:c r="M443" s="14"/>
      <x:c r="N443" s="14"/>
      <x:c r="O443" s="14"/>
      <x:c r="P443" s="14" t="n">
        <x:v>6.58</x:v>
      </x:c>
      <x:c r="Q443" s="14" t="n">
        <x:v>58.67</x:v>
      </x:c>
      <x:c r="R443" s="15"/>
      <x:c r="S443" s="15"/>
      <x:c r="T443" s="15"/>
      <x:c r="U443" s="16"/>
      <x:c r="V443" t="str">
        <x:v>JTRE</x:v>
      </x:c>
      <x:c r="W443" t="str">
        <x:v>Ružinov</x:v>
      </x:c>
      <x:c r="X443" s="11" t="str">
        <x:v>Predaný</x:v>
      </x:c>
      <x:c r="Y443" s="11" t="str">
        <x:v>https://d-y.sk/byty/a09.08/</x:v>
      </x:c>
      <x:c r="Z443" s="11" t="n">
        <x:v>46252.68496519676</x:v>
      </x:c>
      <x:c r="AA443" s="11" t="n">
        <x:v>46254.51251577547</x:v>
      </x:c>
      <x:c r="AB443" s="11" t="n">
        <x:v>46254.51251577547</x:v>
      </x:c>
      <x:c r="AC443" t="str">
        <x:v>downtown_yards</x:v>
      </x:c>
    </x:row>
    <x:row r="444" ht="22" customHeight="1">
      <x:c r="A444" t="str">
        <x:v>Downtown Yards</x:v>
      </x:c>
      <x:c r="B444" t="str">
        <x:v>A09.09</x:v>
      </x:c>
      <x:c r="C444" t="str">
        <x:v>sold</x:v>
      </x:c>
      <x:c r="D444" t="str">
        <x:v>present</x:v>
      </x:c>
      <x:c r="E444" t="str">
        <x:v>baseline</x:v>
      </x:c>
      <x:c r="F444" s="11" t="n">
        <x:v>46252.68496519676</x:v>
      </x:c>
      <x:c r="G444" t="str">
        <x:v>flat</x:v>
      </x:c>
      <x:c r="H444" s="12" t="n">
        <x:v>3</x:v>
      </x:c>
      <x:c r="I444" s="13" t="n">
        <x:v>9</x:v>
      </x:c>
      <x:c r="J444" t="str">
        <x:v>A</x:v>
      </x:c>
      <x:c r="K444" s="14" t="n">
        <x:v>79.43</x:v>
      </x:c>
      <x:c r="L444" s="14"/>
      <x:c r="M444" s="14"/>
      <x:c r="N444" s="14"/>
      <x:c r="O444" s="14"/>
      <x:c r="P444" s="14" t="n">
        <x:v>12.1</x:v>
      </x:c>
      <x:c r="Q444" s="14" t="n">
        <x:v>91.53</x:v>
      </x:c>
      <x:c r="R444" s="15"/>
      <x:c r="S444" s="15"/>
      <x:c r="T444" s="15"/>
      <x:c r="U444" s="16"/>
      <x:c r="V444" t="str">
        <x:v>JTRE</x:v>
      </x:c>
      <x:c r="W444" t="str">
        <x:v>Ružinov</x:v>
      </x:c>
      <x:c r="X444" s="11" t="str">
        <x:v>Predaný</x:v>
      </x:c>
      <x:c r="Y444" s="11" t="str">
        <x:v>https://d-y.sk/byty/a09.09/</x:v>
      </x:c>
      <x:c r="Z444" s="11" t="n">
        <x:v>46252.68496519676</x:v>
      </x:c>
      <x:c r="AA444" s="11" t="n">
        <x:v>46254.51251577547</x:v>
      </x:c>
      <x:c r="AB444" s="11" t="n">
        <x:v>46254.51251577547</x:v>
      </x:c>
      <x:c r="AC444" t="str">
        <x:v>downtown_yards</x:v>
      </x:c>
    </x:row>
    <x:row r="445" ht="22" customHeight="1">
      <x:c r="A445" t="str">
        <x:v>Downtown Yards</x:v>
      </x:c>
      <x:c r="B445" t="str">
        <x:v>A09.10</x:v>
      </x:c>
      <x:c r="C445" t="str">
        <x:v>sold</x:v>
      </x:c>
      <x:c r="D445" t="str">
        <x:v>present</x:v>
      </x:c>
      <x:c r="E445" t="str">
        <x:v>baseline</x:v>
      </x:c>
      <x:c r="F445" s="11" t="n">
        <x:v>46252.68496519676</x:v>
      </x:c>
      <x:c r="G445" t="str">
        <x:v>flat</x:v>
      </x:c>
      <x:c r="H445" s="12" t="n">
        <x:v>1</x:v>
      </x:c>
      <x:c r="I445" s="13" t="n">
        <x:v>9</x:v>
      </x:c>
      <x:c r="J445" t="str">
        <x:v>A</x:v>
      </x:c>
      <x:c r="K445" s="14" t="n">
        <x:v>30.55</x:v>
      </x:c>
      <x:c r="L445" s="14"/>
      <x:c r="M445" s="14"/>
      <x:c r="N445" s="14"/>
      <x:c r="O445" s="14"/>
      <x:c r="P445" s="14" t="n">
        <x:v>3.23</x:v>
      </x:c>
      <x:c r="Q445" s="14" t="n">
        <x:v>33.78</x:v>
      </x:c>
      <x:c r="R445" s="15"/>
      <x:c r="S445" s="15"/>
      <x:c r="T445" s="15"/>
      <x:c r="U445" s="16"/>
      <x:c r="V445" t="str">
        <x:v>JTRE</x:v>
      </x:c>
      <x:c r="W445" t="str">
        <x:v>Ružinov</x:v>
      </x:c>
      <x:c r="X445" s="11" t="str">
        <x:v>Predaný</x:v>
      </x:c>
      <x:c r="Y445" s="11" t="str">
        <x:v>https://d-y.sk/byty/a09.10/</x:v>
      </x:c>
      <x:c r="Z445" s="11" t="n">
        <x:v>46252.68496519676</x:v>
      </x:c>
      <x:c r="AA445" s="11" t="n">
        <x:v>46254.51251577547</x:v>
      </x:c>
      <x:c r="AB445" s="11" t="n">
        <x:v>46254.51251577547</x:v>
      </x:c>
      <x:c r="AC445" t="str">
        <x:v>downtown_yards</x:v>
      </x:c>
    </x:row>
    <x:row r="446" ht="22" customHeight="1">
      <x:c r="A446" t="str">
        <x:v>Downtown Yards</x:v>
      </x:c>
      <x:c r="B446" t="str">
        <x:v>A10.01</x:v>
      </x:c>
      <x:c r="C446" t="str">
        <x:v>sold</x:v>
      </x:c>
      <x:c r="D446" t="str">
        <x:v>present</x:v>
      </x:c>
      <x:c r="E446" t="str">
        <x:v>baseline</x:v>
      </x:c>
      <x:c r="F446" s="11" t="n">
        <x:v>46252.68496519676</x:v>
      </x:c>
      <x:c r="G446" t="str">
        <x:v>flat</x:v>
      </x:c>
      <x:c r="H446" s="12" t="n">
        <x:v>1</x:v>
      </x:c>
      <x:c r="I446" s="13" t="n">
        <x:v>10</x:v>
      </x:c>
      <x:c r="J446" t="str">
        <x:v>A</x:v>
      </x:c>
      <x:c r="K446" s="14" t="n">
        <x:v>30.55</x:v>
      </x:c>
      <x:c r="L446" s="14"/>
      <x:c r="M446" s="14"/>
      <x:c r="N446" s="14"/>
      <x:c r="O446" s="14"/>
      <x:c r="P446" s="14" t="n">
        <x:v>3.13</x:v>
      </x:c>
      <x:c r="Q446" s="14" t="n">
        <x:v>33.68</x:v>
      </x:c>
      <x:c r="R446" s="15"/>
      <x:c r="S446" s="15"/>
      <x:c r="T446" s="15"/>
      <x:c r="U446" s="16"/>
      <x:c r="V446" t="str">
        <x:v>JTRE</x:v>
      </x:c>
      <x:c r="W446" t="str">
        <x:v>Ružinov</x:v>
      </x:c>
      <x:c r="X446" s="11" t="str">
        <x:v>Predaný</x:v>
      </x:c>
      <x:c r="Y446" s="11" t="str">
        <x:v>https://d-y.sk/byty/a10.01/</x:v>
      </x:c>
      <x:c r="Z446" s="11" t="n">
        <x:v>46252.68496519676</x:v>
      </x:c>
      <x:c r="AA446" s="11" t="n">
        <x:v>46254.51251577547</x:v>
      </x:c>
      <x:c r="AB446" s="11" t="n">
        <x:v>46254.51251577547</x:v>
      </x:c>
      <x:c r="AC446" t="str">
        <x:v>downtown_yards</x:v>
      </x:c>
    </x:row>
    <x:row r="447" ht="22" customHeight="1">
      <x:c r="A447" t="str">
        <x:v>Downtown Yards</x:v>
      </x:c>
      <x:c r="B447" t="str">
        <x:v>A10.02</x:v>
      </x:c>
      <x:c r="C447" t="str">
        <x:v>sold</x:v>
      </x:c>
      <x:c r="D447" t="str">
        <x:v>present</x:v>
      </x:c>
      <x:c r="E447" t="str">
        <x:v>baseline</x:v>
      </x:c>
      <x:c r="F447" s="11" t="n">
        <x:v>46252.68496519676</x:v>
      </x:c>
      <x:c r="G447" t="str">
        <x:v>flat</x:v>
      </x:c>
      <x:c r="H447" s="12" t="n">
        <x:v>3</x:v>
      </x:c>
      <x:c r="I447" s="13" t="n">
        <x:v>10</x:v>
      </x:c>
      <x:c r="J447" t="str">
        <x:v>A</x:v>
      </x:c>
      <x:c r="K447" s="14" t="n">
        <x:v>81.49</x:v>
      </x:c>
      <x:c r="L447" s="14"/>
      <x:c r="M447" s="14"/>
      <x:c r="N447" s="14"/>
      <x:c r="O447" s="14"/>
      <x:c r="P447" s="14" t="n">
        <x:v>13.63</x:v>
      </x:c>
      <x:c r="Q447" s="14" t="n">
        <x:v>95.12</x:v>
      </x:c>
      <x:c r="R447" s="15"/>
      <x:c r="S447" s="15"/>
      <x:c r="T447" s="15"/>
      <x:c r="U447" s="16"/>
      <x:c r="V447" t="str">
        <x:v>JTRE</x:v>
      </x:c>
      <x:c r="W447" t="str">
        <x:v>Ružinov</x:v>
      </x:c>
      <x:c r="X447" s="11" t="str">
        <x:v>Predaný</x:v>
      </x:c>
      <x:c r="Y447" s="11" t="str">
        <x:v>https://d-y.sk/byty/a10.02/</x:v>
      </x:c>
      <x:c r="Z447" s="11" t="n">
        <x:v>46252.68496519676</x:v>
      </x:c>
      <x:c r="AA447" s="11" t="n">
        <x:v>46254.51251577547</x:v>
      </x:c>
      <x:c r="AB447" s="11" t="n">
        <x:v>46254.51251577547</x:v>
      </x:c>
      <x:c r="AC447" t="str">
        <x:v>downtown_yards</x:v>
      </x:c>
    </x:row>
    <x:row r="448" ht="22" customHeight="1">
      <x:c r="A448" t="str">
        <x:v>Downtown Yards</x:v>
      </x:c>
      <x:c r="B448" t="str">
        <x:v>A10.03</x:v>
      </x:c>
      <x:c r="C448" t="str">
        <x:v>sold</x:v>
      </x:c>
      <x:c r="D448" t="str">
        <x:v>present</x:v>
      </x:c>
      <x:c r="E448" t="str">
        <x:v>baseline</x:v>
      </x:c>
      <x:c r="F448" s="11" t="n">
        <x:v>46252.68496519676</x:v>
      </x:c>
      <x:c r="G448" t="str">
        <x:v>flat</x:v>
      </x:c>
      <x:c r="H448" s="12" t="n">
        <x:v>2</x:v>
      </x:c>
      <x:c r="I448" s="13" t="n">
        <x:v>10</x:v>
      </x:c>
      <x:c r="J448" t="str">
        <x:v>A</x:v>
      </x:c>
      <x:c r="K448" s="14" t="n">
        <x:v>52.22</x:v>
      </x:c>
      <x:c r="L448" s="14"/>
      <x:c r="M448" s="14"/>
      <x:c r="N448" s="14"/>
      <x:c r="O448" s="14"/>
      <x:c r="P448" s="14" t="n">
        <x:v>8.67</x:v>
      </x:c>
      <x:c r="Q448" s="14" t="n">
        <x:v>60.89</x:v>
      </x:c>
      <x:c r="R448" s="15"/>
      <x:c r="S448" s="15"/>
      <x:c r="T448" s="15"/>
      <x:c r="U448" s="16"/>
      <x:c r="V448" t="str">
        <x:v>JTRE</x:v>
      </x:c>
      <x:c r="W448" t="str">
        <x:v>Ružinov</x:v>
      </x:c>
      <x:c r="X448" s="11" t="str">
        <x:v>Predaný</x:v>
      </x:c>
      <x:c r="Y448" s="11" t="str">
        <x:v>https://d-y.sk/byty/a10.03/</x:v>
      </x:c>
      <x:c r="Z448" s="11" t="n">
        <x:v>46252.68496519676</x:v>
      </x:c>
      <x:c r="AA448" s="11" t="n">
        <x:v>46254.51251577547</x:v>
      </x:c>
      <x:c r="AB448" s="11" t="n">
        <x:v>46254.51251577547</x:v>
      </x:c>
      <x:c r="AC448" t="str">
        <x:v>downtown_yards</x:v>
      </x:c>
    </x:row>
    <x:row r="449" ht="22" customHeight="1">
      <x:c r="A449" t="str">
        <x:v>Downtown Yards</x:v>
      </x:c>
      <x:c r="B449" t="str">
        <x:v>A10.04</x:v>
      </x:c>
      <x:c r="C449" t="str">
        <x:v>sold</x:v>
      </x:c>
      <x:c r="D449" t="str">
        <x:v>present</x:v>
      </x:c>
      <x:c r="E449" t="str">
        <x:v>baseline</x:v>
      </x:c>
      <x:c r="F449" s="11" t="n">
        <x:v>46252.68496519676</x:v>
      </x:c>
      <x:c r="G449" t="str">
        <x:v>flat</x:v>
      </x:c>
      <x:c r="H449" s="12" t="n">
        <x:v>2</x:v>
      </x:c>
      <x:c r="I449" s="13" t="n">
        <x:v>10</x:v>
      </x:c>
      <x:c r="J449" t="str">
        <x:v>A</x:v>
      </x:c>
      <x:c r="K449" s="14" t="n">
        <x:v>51.68</x:v>
      </x:c>
      <x:c r="L449" s="14"/>
      <x:c r="M449" s="14"/>
      <x:c r="N449" s="14"/>
      <x:c r="O449" s="14"/>
      <x:c r="P449" s="14" t="n">
        <x:v>8.67</x:v>
      </x:c>
      <x:c r="Q449" s="14" t="n">
        <x:v>60.35</x:v>
      </x:c>
      <x:c r="R449" s="15"/>
      <x:c r="S449" s="15"/>
      <x:c r="T449" s="15"/>
      <x:c r="U449" s="16"/>
      <x:c r="V449" t="str">
        <x:v>JTRE</x:v>
      </x:c>
      <x:c r="W449" t="str">
        <x:v>Ružinov</x:v>
      </x:c>
      <x:c r="X449" s="11" t="str">
        <x:v>Predaný</x:v>
      </x:c>
      <x:c r="Y449" s="11" t="str">
        <x:v>https://d-y.sk/byty/a10.04/</x:v>
      </x:c>
      <x:c r="Z449" s="11" t="n">
        <x:v>46252.68496519676</x:v>
      </x:c>
      <x:c r="AA449" s="11" t="n">
        <x:v>46254.51251577547</x:v>
      </x:c>
      <x:c r="AB449" s="11" t="n">
        <x:v>46254.51251577547</x:v>
      </x:c>
      <x:c r="AC449" t="str">
        <x:v>downtown_yards</x:v>
      </x:c>
    </x:row>
    <x:row r="450" ht="22" customHeight="1">
      <x:c r="A450" t="str">
        <x:v>Downtown Yards</x:v>
      </x:c>
      <x:c r="B450" t="str">
        <x:v>A10.05</x:v>
      </x:c>
      <x:c r="C450" t="str">
        <x:v>sold</x:v>
      </x:c>
      <x:c r="D450" t="str">
        <x:v>present</x:v>
      </x:c>
      <x:c r="E450" t="str">
        <x:v>baseline</x:v>
      </x:c>
      <x:c r="F450" s="11" t="n">
        <x:v>46252.68496519676</x:v>
      </x:c>
      <x:c r="G450" t="str">
        <x:v>flat</x:v>
      </x:c>
      <x:c r="H450" s="12" t="n">
        <x:v>3</x:v>
      </x:c>
      <x:c r="I450" s="13" t="n">
        <x:v>10</x:v>
      </x:c>
      <x:c r="J450" t="str">
        <x:v>A</x:v>
      </x:c>
      <x:c r="K450" s="14" t="n">
        <x:v>87.4</x:v>
      </x:c>
      <x:c r="L450" s="14"/>
      <x:c r="M450" s="14"/>
      <x:c r="N450" s="14"/>
      <x:c r="O450" s="14"/>
      <x:c r="P450" s="14" t="n">
        <x:v>8.67</x:v>
      </x:c>
      <x:c r="Q450" s="14" t="n">
        <x:v>96.07</x:v>
      </x:c>
      <x:c r="R450" s="15"/>
      <x:c r="S450" s="15"/>
      <x:c r="T450" s="15"/>
      <x:c r="U450" s="16"/>
      <x:c r="V450" t="str">
        <x:v>JTRE</x:v>
      </x:c>
      <x:c r="W450" t="str">
        <x:v>Ružinov</x:v>
      </x:c>
      <x:c r="X450" s="11" t="str">
        <x:v>Predaný</x:v>
      </x:c>
      <x:c r="Y450" s="11" t="str">
        <x:v>https://d-y.sk/byty/a10.05/</x:v>
      </x:c>
      <x:c r="Z450" s="11" t="n">
        <x:v>46252.68496519676</x:v>
      </x:c>
      <x:c r="AA450" s="11" t="n">
        <x:v>46254.51251577547</x:v>
      </x:c>
      <x:c r="AB450" s="11" t="n">
        <x:v>46254.51251577547</x:v>
      </x:c>
      <x:c r="AC450" t="str">
        <x:v>downtown_yards</x:v>
      </x:c>
    </x:row>
    <x:row r="451" ht="22" customHeight="1">
      <x:c r="A451" t="str">
        <x:v>Downtown Yards</x:v>
      </x:c>
      <x:c r="B451" t="str">
        <x:v>A10.06</x:v>
      </x:c>
      <x:c r="C451" t="str">
        <x:v>available</x:v>
      </x:c>
      <x:c r="D451" t="str">
        <x:v>present</x:v>
      </x:c>
      <x:c r="E451" t="str">
        <x:v>baseline</x:v>
      </x:c>
      <x:c r="F451" s="11" t="n">
        <x:v>46252.68496519676</x:v>
      </x:c>
      <x:c r="G451" t="str">
        <x:v>flat</x:v>
      </x:c>
      <x:c r="H451" s="12" t="n">
        <x:v>3</x:v>
      </x:c>
      <x:c r="I451" s="13" t="n">
        <x:v>10</x:v>
      </x:c>
      <x:c r="J451" t="str">
        <x:v>A</x:v>
      </x:c>
      <x:c r="K451" s="14" t="n">
        <x:v>87.3</x:v>
      </x:c>
      <x:c r="L451" s="14"/>
      <x:c r="M451" s="14"/>
      <x:c r="N451" s="14"/>
      <x:c r="O451" s="14"/>
      <x:c r="P451" s="14" t="n">
        <x:v>6.58</x:v>
      </x:c>
      <x:c r="Q451" s="14" t="n">
        <x:v>93.88</x:v>
      </x:c>
      <x:c r="R451" s="15" t="n">
        <x:v>679206</x:v>
      </x:c>
      <x:c r="S451" s="15" t="n">
        <x:v>769611</x:v>
      </x:c>
      <x:c r="T451" s="15" t="n">
        <x:v>679206</x:v>
      </x:c>
      <x:c r="U451" s="16" t="n">
        <x:v>7780.14</x:v>
      </x:c>
      <x:c r="V451" t="str">
        <x:v>JTRE</x:v>
      </x:c>
      <x:c r="W451" t="str">
        <x:v>Ružinov</x:v>
      </x:c>
      <x:c r="X451" s="11" t="str">
        <x:v>Voľný</x:v>
      </x:c>
      <x:c r="Y451" s="11" t="str">
        <x:v>https://d-y.sk/byty/a10.06/</x:v>
      </x:c>
      <x:c r="Z451" s="11" t="n">
        <x:v>46252.68496519676</x:v>
      </x:c>
      <x:c r="AA451" s="11" t="n">
        <x:v>46254.51251577547</x:v>
      </x:c>
      <x:c r="AB451" s="11" t="n">
        <x:v>46254.51251577547</x:v>
      </x:c>
      <x:c r="AC451" t="str">
        <x:v>downtown_yards</x:v>
      </x:c>
    </x:row>
    <x:row r="452" ht="22" customHeight="1">
      <x:c r="A452" t="str">
        <x:v>Downtown Yards</x:v>
      </x:c>
      <x:c r="B452" t="str">
        <x:v>A10.07</x:v>
      </x:c>
      <x:c r="C452" t="str">
        <x:v>sold</x:v>
      </x:c>
      <x:c r="D452" t="str">
        <x:v>present</x:v>
      </x:c>
      <x:c r="E452" t="str">
        <x:v>baseline</x:v>
      </x:c>
      <x:c r="F452" s="11" t="n">
        <x:v>46252.68496519676</x:v>
      </x:c>
      <x:c r="G452" t="str">
        <x:v>flat</x:v>
      </x:c>
      <x:c r="H452" s="12" t="n">
        <x:v>2</x:v>
      </x:c>
      <x:c r="I452" s="13" t="n">
        <x:v>10</x:v>
      </x:c>
      <x:c r="J452" t="str">
        <x:v>A</x:v>
      </x:c>
      <x:c r="K452" s="14" t="n">
        <x:v>51.86</x:v>
      </x:c>
      <x:c r="L452" s="14"/>
      <x:c r="M452" s="14"/>
      <x:c r="N452" s="14"/>
      <x:c r="O452" s="14"/>
      <x:c r="P452" s="14" t="n">
        <x:v>6.58</x:v>
      </x:c>
      <x:c r="Q452" s="14" t="n">
        <x:v>58.44</x:v>
      </x:c>
      <x:c r="R452" s="15"/>
      <x:c r="S452" s="15"/>
      <x:c r="T452" s="15"/>
      <x:c r="U452" s="16"/>
      <x:c r="V452" t="str">
        <x:v>JTRE</x:v>
      </x:c>
      <x:c r="W452" t="str">
        <x:v>Ružinov</x:v>
      </x:c>
      <x:c r="X452" s="11" t="str">
        <x:v>Predaný</x:v>
      </x:c>
      <x:c r="Y452" s="11" t="str">
        <x:v>https://d-y.sk/byty/a10.07/</x:v>
      </x:c>
      <x:c r="Z452" s="11" t="n">
        <x:v>46252.68496519676</x:v>
      </x:c>
      <x:c r="AA452" s="11" t="n">
        <x:v>46254.51251577547</x:v>
      </x:c>
      <x:c r="AB452" s="11" t="n">
        <x:v>46254.51251577547</x:v>
      </x:c>
      <x:c r="AC452" t="str">
        <x:v>downtown_yards</x:v>
      </x:c>
    </x:row>
    <x:row r="453" ht="22" customHeight="1">
      <x:c r="A453" t="str">
        <x:v>Downtown Yards</x:v>
      </x:c>
      <x:c r="B453" t="str">
        <x:v>A10.08</x:v>
      </x:c>
      <x:c r="C453" t="str">
        <x:v>sold</x:v>
      </x:c>
      <x:c r="D453" t="str">
        <x:v>present</x:v>
      </x:c>
      <x:c r="E453" t="str">
        <x:v>baseline</x:v>
      </x:c>
      <x:c r="F453" s="11" t="n">
        <x:v>46252.68496519676</x:v>
      </x:c>
      <x:c r="G453" t="str">
        <x:v>flat</x:v>
      </x:c>
      <x:c r="H453" s="12" t="n">
        <x:v>2</x:v>
      </x:c>
      <x:c r="I453" s="13" t="n">
        <x:v>10</x:v>
      </x:c>
      <x:c r="J453" t="str">
        <x:v>A</x:v>
      </x:c>
      <x:c r="K453" s="14" t="n">
        <x:v>52.09</x:v>
      </x:c>
      <x:c r="L453" s="14"/>
      <x:c r="M453" s="14"/>
      <x:c r="N453" s="14"/>
      <x:c r="O453" s="14"/>
      <x:c r="P453" s="14" t="n">
        <x:v>6.58</x:v>
      </x:c>
      <x:c r="Q453" s="14" t="n">
        <x:v>58.67</x:v>
      </x:c>
      <x:c r="R453" s="15"/>
      <x:c r="S453" s="15"/>
      <x:c r="T453" s="15"/>
      <x:c r="U453" s="16"/>
      <x:c r="V453" t="str">
        <x:v>JTRE</x:v>
      </x:c>
      <x:c r="W453" t="str">
        <x:v>Ružinov</x:v>
      </x:c>
      <x:c r="X453" s="11" t="str">
        <x:v>Predaný</x:v>
      </x:c>
      <x:c r="Y453" s="11" t="str">
        <x:v>https://d-y.sk/byty/a10.08/</x:v>
      </x:c>
      <x:c r="Z453" s="11" t="n">
        <x:v>46252.68496519676</x:v>
      </x:c>
      <x:c r="AA453" s="11" t="n">
        <x:v>46254.51251577547</x:v>
      </x:c>
      <x:c r="AB453" s="11" t="n">
        <x:v>46254.51251577547</x:v>
      </x:c>
      <x:c r="AC453" t="str">
        <x:v>downtown_yards</x:v>
      </x:c>
    </x:row>
    <x:row r="454" ht="22" customHeight="1">
      <x:c r="A454" t="str">
        <x:v>Downtown Yards</x:v>
      </x:c>
      <x:c r="B454" t="str">
        <x:v>A10.09</x:v>
      </x:c>
      <x:c r="C454" t="str">
        <x:v>available</x:v>
      </x:c>
      <x:c r="D454" t="str">
        <x:v>present</x:v>
      </x:c>
      <x:c r="E454" t="str">
        <x:v>baseline</x:v>
      </x:c>
      <x:c r="F454" s="11" t="n">
        <x:v>46252.68496519676</x:v>
      </x:c>
      <x:c r="G454" t="str">
        <x:v>flat</x:v>
      </x:c>
      <x:c r="H454" s="12" t="n">
        <x:v>3</x:v>
      </x:c>
      <x:c r="I454" s="13" t="n">
        <x:v>10</x:v>
      </x:c>
      <x:c r="J454" t="str">
        <x:v>A</x:v>
      </x:c>
      <x:c r="K454" s="14" t="n">
        <x:v>79.43</x:v>
      </x:c>
      <x:c r="L454" s="14"/>
      <x:c r="M454" s="14"/>
      <x:c r="N454" s="14"/>
      <x:c r="O454" s="14"/>
      <x:c r="P454" s="14" t="n">
        <x:v>12.1</x:v>
      </x:c>
      <x:c r="Q454" s="14" t="n">
        <x:v>91.53</x:v>
      </x:c>
      <x:c r="R454" s="15" t="n">
        <x:v>547473</x:v>
      </x:c>
      <x:c r="S454" s="15" t="n">
        <x:v>636525</x:v>
      </x:c>
      <x:c r="T454" s="15" t="n">
        <x:v>547473</x:v>
      </x:c>
      <x:c r="U454" s="16" t="n">
        <x:v>6892.52</x:v>
      </x:c>
      <x:c r="V454" t="str">
        <x:v>JTRE</x:v>
      </x:c>
      <x:c r="W454" t="str">
        <x:v>Ružinov</x:v>
      </x:c>
      <x:c r="X454" s="11" t="str">
        <x:v>Voľný</x:v>
      </x:c>
      <x:c r="Y454" s="11" t="str">
        <x:v>https://d-y.sk/byty/a10.09/</x:v>
      </x:c>
      <x:c r="Z454" s="11" t="n">
        <x:v>46252.68496519676</x:v>
      </x:c>
      <x:c r="AA454" s="11" t="n">
        <x:v>46254.51251577547</x:v>
      </x:c>
      <x:c r="AB454" s="11" t="n">
        <x:v>46254.51251577547</x:v>
      </x:c>
      <x:c r="AC454" t="str">
        <x:v>downtown_yards</x:v>
      </x:c>
    </x:row>
    <x:row r="455" ht="22" customHeight="1">
      <x:c r="A455" t="str">
        <x:v>Downtown Yards</x:v>
      </x:c>
      <x:c r="B455" t="str">
        <x:v>A10.10</x:v>
      </x:c>
      <x:c r="C455" t="str">
        <x:v>sold</x:v>
      </x:c>
      <x:c r="D455" t="str">
        <x:v>present</x:v>
      </x:c>
      <x:c r="E455" t="str">
        <x:v>baseline</x:v>
      </x:c>
      <x:c r="F455" s="11" t="n">
        <x:v>46252.68496519676</x:v>
      </x:c>
      <x:c r="G455" t="str">
        <x:v>flat</x:v>
      </x:c>
      <x:c r="H455" s="12" t="n">
        <x:v>1</x:v>
      </x:c>
      <x:c r="I455" s="13" t="n">
        <x:v>10</x:v>
      </x:c>
      <x:c r="J455" t="str">
        <x:v>A</x:v>
      </x:c>
      <x:c r="K455" s="14" t="n">
        <x:v>30.55</x:v>
      </x:c>
      <x:c r="L455" s="14"/>
      <x:c r="M455" s="14"/>
      <x:c r="N455" s="14"/>
      <x:c r="O455" s="14"/>
      <x:c r="P455" s="14" t="n">
        <x:v>3.23</x:v>
      </x:c>
      <x:c r="Q455" s="14" t="n">
        <x:v>33.78</x:v>
      </x:c>
      <x:c r="R455" s="15"/>
      <x:c r="S455" s="15"/>
      <x:c r="T455" s="15"/>
      <x:c r="U455" s="16"/>
      <x:c r="V455" t="str">
        <x:v>JTRE</x:v>
      </x:c>
      <x:c r="W455" t="str">
        <x:v>Ružinov</x:v>
      </x:c>
      <x:c r="X455" s="11" t="str">
        <x:v>Predaný</x:v>
      </x:c>
      <x:c r="Y455" s="11" t="str">
        <x:v>https://d-y.sk/byty/a10.10/</x:v>
      </x:c>
      <x:c r="Z455" s="11" t="n">
        <x:v>46252.68496519676</x:v>
      </x:c>
      <x:c r="AA455" s="11" t="n">
        <x:v>46254.51251577547</x:v>
      </x:c>
      <x:c r="AB455" s="11" t="n">
        <x:v>46254.51251577547</x:v>
      </x:c>
      <x:c r="AC455" t="str">
        <x:v>downtown_yards</x:v>
      </x:c>
    </x:row>
    <x:row r="456" ht="22" customHeight="1">
      <x:c r="A456" t="str">
        <x:v>Downtown Yards</x:v>
      </x:c>
      <x:c r="B456" t="str">
        <x:v>A11.01</x:v>
      </x:c>
      <x:c r="C456" t="str">
        <x:v>sold</x:v>
      </x:c>
      <x:c r="D456" t="str">
        <x:v>present</x:v>
      </x:c>
      <x:c r="E456" t="str">
        <x:v>baseline</x:v>
      </x:c>
      <x:c r="F456" s="11" t="n">
        <x:v>46252.68496519676</x:v>
      </x:c>
      <x:c r="G456" t="str">
        <x:v>flat</x:v>
      </x:c>
      <x:c r="H456" s="12" t="n">
        <x:v>4</x:v>
      </x:c>
      <x:c r="I456" s="13" t="n">
        <x:v>11</x:v>
      </x:c>
      <x:c r="J456" t="str">
        <x:v>A</x:v>
      </x:c>
      <x:c r="K456" s="14" t="n">
        <x:v>114.22</x:v>
      </x:c>
      <x:c r="L456" s="14"/>
      <x:c r="M456" s="14"/>
      <x:c r="N456" s="14"/>
      <x:c r="O456" s="14"/>
      <x:c r="P456" s="14" t="n">
        <x:v>16.76</x:v>
      </x:c>
      <x:c r="Q456" s="14" t="n">
        <x:v>130.98</x:v>
      </x:c>
      <x:c r="R456" s="15"/>
      <x:c r="S456" s="15"/>
      <x:c r="T456" s="15"/>
      <x:c r="U456" s="16"/>
      <x:c r="V456" t="str">
        <x:v>JTRE</x:v>
      </x:c>
      <x:c r="W456" t="str">
        <x:v>Ružinov</x:v>
      </x:c>
      <x:c r="X456" s="11" t="str">
        <x:v>Predaný</x:v>
      </x:c>
      <x:c r="Y456" s="11" t="str">
        <x:v>https://d-y.sk/byty/a11.01/</x:v>
      </x:c>
      <x:c r="Z456" s="11" t="n">
        <x:v>46252.68496519676</x:v>
      </x:c>
      <x:c r="AA456" s="11" t="n">
        <x:v>46254.51251577547</x:v>
      </x:c>
      <x:c r="AB456" s="11" t="n">
        <x:v>46254.51251577547</x:v>
      </x:c>
      <x:c r="AC456" t="str">
        <x:v>downtown_yards</x:v>
      </x:c>
    </x:row>
    <x:row r="457" ht="22" customHeight="1">
      <x:c r="A457" t="str">
        <x:v>Downtown Yards</x:v>
      </x:c>
      <x:c r="B457" t="str">
        <x:v>A11.02</x:v>
      </x:c>
      <x:c r="C457" t="str">
        <x:v>sold</x:v>
      </x:c>
      <x:c r="D457" t="str">
        <x:v>present</x:v>
      </x:c>
      <x:c r="E457" t="str">
        <x:v>baseline</x:v>
      </x:c>
      <x:c r="F457" s="11" t="n">
        <x:v>46252.68496519676</x:v>
      </x:c>
      <x:c r="G457" t="str">
        <x:v>flat</x:v>
      </x:c>
      <x:c r="H457" s="12" t="n">
        <x:v>2</x:v>
      </x:c>
      <x:c r="I457" s="13" t="n">
        <x:v>11</x:v>
      </x:c>
      <x:c r="J457" t="str">
        <x:v>A</x:v>
      </x:c>
      <x:c r="K457" s="14" t="n">
        <x:v>52.22</x:v>
      </x:c>
      <x:c r="L457" s="14"/>
      <x:c r="M457" s="14"/>
      <x:c r="N457" s="14"/>
      <x:c r="O457" s="14"/>
      <x:c r="P457" s="14" t="n">
        <x:v>8.67</x:v>
      </x:c>
      <x:c r="Q457" s="14" t="n">
        <x:v>60.89</x:v>
      </x:c>
      <x:c r="R457" s="15"/>
      <x:c r="S457" s="15"/>
      <x:c r="T457" s="15"/>
      <x:c r="U457" s="16"/>
      <x:c r="V457" t="str">
        <x:v>JTRE</x:v>
      </x:c>
      <x:c r="W457" t="str">
        <x:v>Ružinov</x:v>
      </x:c>
      <x:c r="X457" s="11" t="str">
        <x:v>Predaný</x:v>
      </x:c>
      <x:c r="Y457" s="11" t="str">
        <x:v>https://d-y.sk/byty/a11.02/</x:v>
      </x:c>
      <x:c r="Z457" s="11" t="n">
        <x:v>46252.68496519676</x:v>
      </x:c>
      <x:c r="AA457" s="11" t="n">
        <x:v>46254.51251577547</x:v>
      </x:c>
      <x:c r="AB457" s="11" t="n">
        <x:v>46254.51251577547</x:v>
      </x:c>
      <x:c r="AC457" t="str">
        <x:v>downtown_yards</x:v>
      </x:c>
    </x:row>
    <x:row r="458" ht="22" customHeight="1">
      <x:c r="A458" t="str">
        <x:v>Downtown Yards</x:v>
      </x:c>
      <x:c r="B458" t="str">
        <x:v>A11.03</x:v>
      </x:c>
      <x:c r="C458" t="str">
        <x:v>sold</x:v>
      </x:c>
      <x:c r="D458" t="str">
        <x:v>present</x:v>
      </x:c>
      <x:c r="E458" t="str">
        <x:v>baseline</x:v>
      </x:c>
      <x:c r="F458" s="11" t="n">
        <x:v>46252.68496519676</x:v>
      </x:c>
      <x:c r="G458" t="str">
        <x:v>flat</x:v>
      </x:c>
      <x:c r="H458" s="12" t="n">
        <x:v>2</x:v>
      </x:c>
      <x:c r="I458" s="13" t="n">
        <x:v>11</x:v>
      </x:c>
      <x:c r="J458" t="str">
        <x:v>A</x:v>
      </x:c>
      <x:c r="K458" s="14" t="n">
        <x:v>51.68</x:v>
      </x:c>
      <x:c r="L458" s="14"/>
      <x:c r="M458" s="14"/>
      <x:c r="N458" s="14"/>
      <x:c r="O458" s="14"/>
      <x:c r="P458" s="14" t="n">
        <x:v>8.67</x:v>
      </x:c>
      <x:c r="Q458" s="14" t="n">
        <x:v>60.35</x:v>
      </x:c>
      <x:c r="R458" s="15"/>
      <x:c r="S458" s="15"/>
      <x:c r="T458" s="15"/>
      <x:c r="U458" s="16"/>
      <x:c r="V458" t="str">
        <x:v>JTRE</x:v>
      </x:c>
      <x:c r="W458" t="str">
        <x:v>Ružinov</x:v>
      </x:c>
      <x:c r="X458" s="11" t="str">
        <x:v>Predaný</x:v>
      </x:c>
      <x:c r="Y458" s="11" t="str">
        <x:v>https://d-y.sk/byty/a11.03/</x:v>
      </x:c>
      <x:c r="Z458" s="11" t="n">
        <x:v>46252.68496519676</x:v>
      </x:c>
      <x:c r="AA458" s="11" t="n">
        <x:v>46254.51251577547</x:v>
      </x:c>
      <x:c r="AB458" s="11" t="n">
        <x:v>46254.51251577547</x:v>
      </x:c>
      <x:c r="AC458" t="str">
        <x:v>downtown_yards</x:v>
      </x:c>
    </x:row>
    <x:row r="459" ht="22" customHeight="1">
      <x:c r="A459" t="str">
        <x:v>Downtown Yards</x:v>
      </x:c>
      <x:c r="B459" t="str">
        <x:v>A11.04</x:v>
      </x:c>
      <x:c r="C459" t="str">
        <x:v>sold</x:v>
      </x:c>
      <x:c r="D459" t="str">
        <x:v>present</x:v>
      </x:c>
      <x:c r="E459" t="str">
        <x:v>baseline</x:v>
      </x:c>
      <x:c r="F459" s="11" t="n">
        <x:v>46252.68496519676</x:v>
      </x:c>
      <x:c r="G459" t="str">
        <x:v>flat</x:v>
      </x:c>
      <x:c r="H459" s="12" t="n">
        <x:v>3</x:v>
      </x:c>
      <x:c r="I459" s="13" t="n">
        <x:v>11</x:v>
      </x:c>
      <x:c r="J459" t="str">
        <x:v>A</x:v>
      </x:c>
      <x:c r="K459" s="14" t="n">
        <x:v>87.4</x:v>
      </x:c>
      <x:c r="L459" s="14"/>
      <x:c r="M459" s="14"/>
      <x:c r="N459" s="14"/>
      <x:c r="O459" s="14"/>
      <x:c r="P459" s="14" t="n">
        <x:v>8.67</x:v>
      </x:c>
      <x:c r="Q459" s="14" t="n">
        <x:v>96.07</x:v>
      </x:c>
      <x:c r="R459" s="15"/>
      <x:c r="S459" s="15"/>
      <x:c r="T459" s="15"/>
      <x:c r="U459" s="16"/>
      <x:c r="V459" t="str">
        <x:v>JTRE</x:v>
      </x:c>
      <x:c r="W459" t="str">
        <x:v>Ružinov</x:v>
      </x:c>
      <x:c r="X459" s="11" t="str">
        <x:v>Predaný</x:v>
      </x:c>
      <x:c r="Y459" s="11" t="str">
        <x:v>https://d-y.sk/byty/a11.04/</x:v>
      </x:c>
      <x:c r="Z459" s="11" t="n">
        <x:v>46252.68496519676</x:v>
      </x:c>
      <x:c r="AA459" s="11" t="n">
        <x:v>46254.51251577547</x:v>
      </x:c>
      <x:c r="AB459" s="11" t="n">
        <x:v>46254.51251577547</x:v>
      </x:c>
      <x:c r="AC459" t="str">
        <x:v>downtown_yards</x:v>
      </x:c>
    </x:row>
    <x:row r="460" ht="22" customHeight="1">
      <x:c r="A460" t="str">
        <x:v>Downtown Yards</x:v>
      </x:c>
      <x:c r="B460" t="str">
        <x:v>A11.05</x:v>
      </x:c>
      <x:c r="C460" t="str">
        <x:v>available</x:v>
      </x:c>
      <x:c r="D460" t="str">
        <x:v>present</x:v>
      </x:c>
      <x:c r="E460" t="str">
        <x:v>baseline</x:v>
      </x:c>
      <x:c r="F460" s="11" t="n">
        <x:v>46252.68496519676</x:v>
      </x:c>
      <x:c r="G460" t="str">
        <x:v>flat</x:v>
      </x:c>
      <x:c r="H460" s="12" t="n">
        <x:v>3</x:v>
      </x:c>
      <x:c r="I460" s="13" t="n">
        <x:v>11</x:v>
      </x:c>
      <x:c r="J460" t="str">
        <x:v>A</x:v>
      </x:c>
      <x:c r="K460" s="14" t="n">
        <x:v>87.3</x:v>
      </x:c>
      <x:c r="L460" s="14"/>
      <x:c r="M460" s="14"/>
      <x:c r="N460" s="14"/>
      <x:c r="O460" s="14"/>
      <x:c r="P460" s="14" t="n">
        <x:v>6.58</x:v>
      </x:c>
      <x:c r="Q460" s="14" t="n">
        <x:v>93.88</x:v>
      </x:c>
      <x:c r="R460" s="15" t="n">
        <x:v>565062</x:v>
      </x:c>
      <x:c r="S460" s="15" t="n">
        <x:v>656943</x:v>
      </x:c>
      <x:c r="T460" s="15" t="n">
        <x:v>565062</x:v>
      </x:c>
      <x:c r="U460" s="16" t="n">
        <x:v>6472.65</x:v>
      </x:c>
      <x:c r="V460" t="str">
        <x:v>JTRE</x:v>
      </x:c>
      <x:c r="W460" t="str">
        <x:v>Ružinov</x:v>
      </x:c>
      <x:c r="X460" s="11" t="str">
        <x:v>Voľný</x:v>
      </x:c>
      <x:c r="Y460" s="11" t="str">
        <x:v>https://d-y.sk/byty/a11.05/</x:v>
      </x:c>
      <x:c r="Z460" s="11" t="n">
        <x:v>46252.68496519676</x:v>
      </x:c>
      <x:c r="AA460" s="11" t="n">
        <x:v>46254.51251577547</x:v>
      </x:c>
      <x:c r="AB460" s="11" t="n">
        <x:v>46254.51251577547</x:v>
      </x:c>
      <x:c r="AC460" t="str">
        <x:v>downtown_yards</x:v>
      </x:c>
    </x:row>
    <x:row r="461" ht="22" customHeight="1">
      <x:c r="A461" t="str">
        <x:v>Downtown Yards</x:v>
      </x:c>
      <x:c r="B461" t="str">
        <x:v>A11.06</x:v>
      </x:c>
      <x:c r="C461" t="str">
        <x:v>sold</x:v>
      </x:c>
      <x:c r="D461" t="str">
        <x:v>present</x:v>
      </x:c>
      <x:c r="E461" t="str">
        <x:v>baseline</x:v>
      </x:c>
      <x:c r="F461" s="11" t="n">
        <x:v>46252.68496519676</x:v>
      </x:c>
      <x:c r="G461" t="str">
        <x:v>flat</x:v>
      </x:c>
      <x:c r="H461" s="12" t="n">
        <x:v>2</x:v>
      </x:c>
      <x:c r="I461" s="13" t="n">
        <x:v>11</x:v>
      </x:c>
      <x:c r="J461" t="str">
        <x:v>A</x:v>
      </x:c>
      <x:c r="K461" s="14" t="n">
        <x:v>51.86</x:v>
      </x:c>
      <x:c r="L461" s="14"/>
      <x:c r="M461" s="14"/>
      <x:c r="N461" s="14"/>
      <x:c r="O461" s="14"/>
      <x:c r="P461" s="14" t="n">
        <x:v>6.58</x:v>
      </x:c>
      <x:c r="Q461" s="14" t="n">
        <x:v>58.44</x:v>
      </x:c>
      <x:c r="R461" s="15"/>
      <x:c r="S461" s="15"/>
      <x:c r="T461" s="15"/>
      <x:c r="U461" s="16"/>
      <x:c r="V461" t="str">
        <x:v>JTRE</x:v>
      </x:c>
      <x:c r="W461" t="str">
        <x:v>Ružinov</x:v>
      </x:c>
      <x:c r="X461" s="11" t="str">
        <x:v>Predaný</x:v>
      </x:c>
      <x:c r="Y461" s="11" t="str">
        <x:v>https://d-y.sk/byty/a11.06/</x:v>
      </x:c>
      <x:c r="Z461" s="11" t="n">
        <x:v>46252.68496519676</x:v>
      </x:c>
      <x:c r="AA461" s="11" t="n">
        <x:v>46254.51251577547</x:v>
      </x:c>
      <x:c r="AB461" s="11" t="n">
        <x:v>46254.51251577547</x:v>
      </x:c>
      <x:c r="AC461" t="str">
        <x:v>downtown_yards</x:v>
      </x:c>
    </x:row>
    <x:row r="462" ht="22" customHeight="1">
      <x:c r="A462" t="str">
        <x:v>Downtown Yards</x:v>
      </x:c>
      <x:c r="B462" t="str">
        <x:v>A11.07</x:v>
      </x:c>
      <x:c r="C462" t="str">
        <x:v>sold</x:v>
      </x:c>
      <x:c r="D462" t="str">
        <x:v>present</x:v>
      </x:c>
      <x:c r="E462" t="str">
        <x:v>baseline</x:v>
      </x:c>
      <x:c r="F462" s="11" t="n">
        <x:v>46252.68496519676</x:v>
      </x:c>
      <x:c r="G462" t="str">
        <x:v>flat</x:v>
      </x:c>
      <x:c r="H462" s="12" t="n">
        <x:v>2</x:v>
      </x:c>
      <x:c r="I462" s="13" t="n">
        <x:v>11</x:v>
      </x:c>
      <x:c r="J462" t="str">
        <x:v>A</x:v>
      </x:c>
      <x:c r="K462" s="14" t="n">
        <x:v>52.09</x:v>
      </x:c>
      <x:c r="L462" s="14"/>
      <x:c r="M462" s="14"/>
      <x:c r="N462" s="14"/>
      <x:c r="O462" s="14"/>
      <x:c r="P462" s="14" t="n">
        <x:v>6.58</x:v>
      </x:c>
      <x:c r="Q462" s="14" t="n">
        <x:v>58.67</x:v>
      </x:c>
      <x:c r="R462" s="15"/>
      <x:c r="S462" s="15"/>
      <x:c r="T462" s="15"/>
      <x:c r="U462" s="16"/>
      <x:c r="V462" t="str">
        <x:v>JTRE</x:v>
      </x:c>
      <x:c r="W462" t="str">
        <x:v>Ružinov</x:v>
      </x:c>
      <x:c r="X462" s="11" t="str">
        <x:v>Predaný</x:v>
      </x:c>
      <x:c r="Y462" s="11" t="str">
        <x:v>https://d-y.sk/byty/a11.07/</x:v>
      </x:c>
      <x:c r="Z462" s="11" t="n">
        <x:v>46252.68496519676</x:v>
      </x:c>
      <x:c r="AA462" s="11" t="n">
        <x:v>46254.51251577547</x:v>
      </x:c>
      <x:c r="AB462" s="11" t="n">
        <x:v>46254.51251577547</x:v>
      </x:c>
      <x:c r="AC462" t="str">
        <x:v>downtown_yards</x:v>
      </x:c>
    </x:row>
    <x:row r="463" ht="22" customHeight="1">
      <x:c r="A463" t="str">
        <x:v>Downtown Yards</x:v>
      </x:c>
      <x:c r="B463" t="str">
        <x:v>A11.08</x:v>
      </x:c>
      <x:c r="C463" t="str">
        <x:v>sold</x:v>
      </x:c>
      <x:c r="D463" t="str">
        <x:v>present</x:v>
      </x:c>
      <x:c r="E463" t="str">
        <x:v>baseline</x:v>
      </x:c>
      <x:c r="F463" s="11" t="n">
        <x:v>46252.68496519676</x:v>
      </x:c>
      <x:c r="G463" t="str">
        <x:v>flat</x:v>
      </x:c>
      <x:c r="H463" s="12" t="n">
        <x:v>4</x:v>
      </x:c>
      <x:c r="I463" s="13" t="n">
        <x:v>11</x:v>
      </x:c>
      <x:c r="J463" t="str">
        <x:v>A</x:v>
      </x:c>
      <x:c r="K463" s="14" t="n">
        <x:v>112.03</x:v>
      </x:c>
      <x:c r="L463" s="14"/>
      <x:c r="M463" s="14"/>
      <x:c r="N463" s="14"/>
      <x:c r="O463" s="14"/>
      <x:c r="P463" s="14" t="n">
        <x:v>12.1</x:v>
      </x:c>
      <x:c r="Q463" s="14" t="n">
        <x:v>124.13</x:v>
      </x:c>
      <x:c r="R463" s="15"/>
      <x:c r="S463" s="15"/>
      <x:c r="T463" s="15"/>
      <x:c r="U463" s="16"/>
      <x:c r="V463" t="str">
        <x:v>JTRE</x:v>
      </x:c>
      <x:c r="W463" t="str">
        <x:v>Ružinov</x:v>
      </x:c>
      <x:c r="X463" s="11" t="str">
        <x:v>Predaný</x:v>
      </x:c>
      <x:c r="Y463" s="11" t="str">
        <x:v>https://d-y.sk/byty/a11.08/</x:v>
      </x:c>
      <x:c r="Z463" s="11" t="n">
        <x:v>46252.68496519676</x:v>
      </x:c>
      <x:c r="AA463" s="11" t="n">
        <x:v>46254.51251577547</x:v>
      </x:c>
      <x:c r="AB463" s="11" t="n">
        <x:v>46254.51251577547</x:v>
      </x:c>
      <x:c r="AC463" t="str">
        <x:v>downtown_yards</x:v>
      </x:c>
    </x:row>
    <x:row r="464" ht="22" customHeight="1">
      <x:c r="A464" t="str">
        <x:v>Downtown Yards</x:v>
      </x:c>
      <x:c r="B464" t="str">
        <x:v>A12.01</x:v>
      </x:c>
      <x:c r="C464" t="str">
        <x:v>available</x:v>
      </x:c>
      <x:c r="D464" t="str">
        <x:v>present</x:v>
      </x:c>
      <x:c r="E464" t="str">
        <x:v>baseline</x:v>
      </x:c>
      <x:c r="F464" s="11" t="n">
        <x:v>46252.68496519676</x:v>
      </x:c>
      <x:c r="G464" t="str">
        <x:v>flat</x:v>
      </x:c>
      <x:c r="H464" s="12" t="n">
        <x:v>4</x:v>
      </x:c>
      <x:c r="I464" s="13" t="n">
        <x:v>12</x:v>
      </x:c>
      <x:c r="J464" t="str">
        <x:v>A</x:v>
      </x:c>
      <x:c r="K464" s="14" t="n">
        <x:v>114.22</x:v>
      </x:c>
      <x:c r="L464" s="14"/>
      <x:c r="M464" s="14"/>
      <x:c r="N464" s="14"/>
      <x:c r="O464" s="14"/>
      <x:c r="P464" s="14" t="n">
        <x:v>16.76</x:v>
      </x:c>
      <x:c r="Q464" s="14" t="n">
        <x:v>130.98</x:v>
      </x:c>
      <x:c r="R464" s="15" t="n">
        <x:v>780435</x:v>
      </x:c>
      <x:c r="S464" s="15" t="n">
        <x:v>891873</x:v>
      </x:c>
      <x:c r="T464" s="15" t="n">
        <x:v>780435</x:v>
      </x:c>
      <x:c r="U464" s="16" t="n">
        <x:v>6832.74</x:v>
      </x:c>
      <x:c r="V464" t="str">
        <x:v>JTRE</x:v>
      </x:c>
      <x:c r="W464" t="str">
        <x:v>Ružinov</x:v>
      </x:c>
      <x:c r="X464" s="11" t="str">
        <x:v>Voľný</x:v>
      </x:c>
      <x:c r="Y464" s="11" t="str">
        <x:v>https://d-y.sk/byty/a12.01/</x:v>
      </x:c>
      <x:c r="Z464" s="11" t="n">
        <x:v>46252.68496519676</x:v>
      </x:c>
      <x:c r="AA464" s="11" t="n">
        <x:v>46254.51251577547</x:v>
      </x:c>
      <x:c r="AB464" s="11" t="n">
        <x:v>46254.51251577547</x:v>
      </x:c>
      <x:c r="AC464" t="str">
        <x:v>downtown_yards</x:v>
      </x:c>
    </x:row>
    <x:row r="465" ht="22" customHeight="1">
      <x:c r="A465" t="str">
        <x:v>Downtown Yards</x:v>
      </x:c>
      <x:c r="B465" t="str">
        <x:v>A12.02</x:v>
      </x:c>
      <x:c r="C465" t="str">
        <x:v>sold</x:v>
      </x:c>
      <x:c r="D465" t="str">
        <x:v>present</x:v>
      </x:c>
      <x:c r="E465" t="str">
        <x:v>baseline</x:v>
      </x:c>
      <x:c r="F465" s="11" t="n">
        <x:v>46252.68496519676</x:v>
      </x:c>
      <x:c r="G465" t="str">
        <x:v>flat</x:v>
      </x:c>
      <x:c r="H465" s="12" t="n">
        <x:v>2</x:v>
      </x:c>
      <x:c r="I465" s="13" t="n">
        <x:v>12</x:v>
      </x:c>
      <x:c r="J465" t="str">
        <x:v>A</x:v>
      </x:c>
      <x:c r="K465" s="14" t="n">
        <x:v>52.22</x:v>
      </x:c>
      <x:c r="L465" s="14"/>
      <x:c r="M465" s="14"/>
      <x:c r="N465" s="14"/>
      <x:c r="O465" s="14"/>
      <x:c r="P465" s="14" t="n">
        <x:v>8.67</x:v>
      </x:c>
      <x:c r="Q465" s="14" t="n">
        <x:v>60.89</x:v>
      </x:c>
      <x:c r="R465" s="15"/>
      <x:c r="S465" s="15"/>
      <x:c r="T465" s="15"/>
      <x:c r="U465" s="16"/>
      <x:c r="V465" t="str">
        <x:v>JTRE</x:v>
      </x:c>
      <x:c r="W465" t="str">
        <x:v>Ružinov</x:v>
      </x:c>
      <x:c r="X465" s="11" t="str">
        <x:v>Predaný</x:v>
      </x:c>
      <x:c r="Y465" s="11" t="str">
        <x:v>https://d-y.sk/byty/a12.02/</x:v>
      </x:c>
      <x:c r="Z465" s="11" t="n">
        <x:v>46252.68496519676</x:v>
      </x:c>
      <x:c r="AA465" s="11" t="n">
        <x:v>46254.51251577547</x:v>
      </x:c>
      <x:c r="AB465" s="11" t="n">
        <x:v>46254.51251577547</x:v>
      </x:c>
      <x:c r="AC465" t="str">
        <x:v>downtown_yards</x:v>
      </x:c>
    </x:row>
    <x:row r="466" ht="22" customHeight="1">
      <x:c r="A466" t="str">
        <x:v>Downtown Yards</x:v>
      </x:c>
      <x:c r="B466" t="str">
        <x:v>A12.03</x:v>
      </x:c>
      <x:c r="C466" t="str">
        <x:v>sold</x:v>
      </x:c>
      <x:c r="D466" t="str">
        <x:v>present</x:v>
      </x:c>
      <x:c r="E466" t="str">
        <x:v>baseline</x:v>
      </x:c>
      <x:c r="F466" s="11" t="n">
        <x:v>46252.68496519676</x:v>
      </x:c>
      <x:c r="G466" t="str">
        <x:v>flat</x:v>
      </x:c>
      <x:c r="H466" s="12" t="n">
        <x:v>2</x:v>
      </x:c>
      <x:c r="I466" s="13" t="n">
        <x:v>12</x:v>
      </x:c>
      <x:c r="J466" t="str">
        <x:v>A</x:v>
      </x:c>
      <x:c r="K466" s="14" t="n">
        <x:v>51.68</x:v>
      </x:c>
      <x:c r="L466" s="14"/>
      <x:c r="M466" s="14"/>
      <x:c r="N466" s="14"/>
      <x:c r="O466" s="14"/>
      <x:c r="P466" s="14" t="n">
        <x:v>8.67</x:v>
      </x:c>
      <x:c r="Q466" s="14" t="n">
        <x:v>60.35</x:v>
      </x:c>
      <x:c r="R466" s="15"/>
      <x:c r="S466" s="15"/>
      <x:c r="T466" s="15"/>
      <x:c r="U466" s="16"/>
      <x:c r="V466" t="str">
        <x:v>JTRE</x:v>
      </x:c>
      <x:c r="W466" t="str">
        <x:v>Ružinov</x:v>
      </x:c>
      <x:c r="X466" s="11" t="str">
        <x:v>Predaný</x:v>
      </x:c>
      <x:c r="Y466" s="11" t="str">
        <x:v>https://d-y.sk/byty/a12.03/</x:v>
      </x:c>
      <x:c r="Z466" s="11" t="n">
        <x:v>46252.68496519676</x:v>
      </x:c>
      <x:c r="AA466" s="11" t="n">
        <x:v>46254.51251577547</x:v>
      </x:c>
      <x:c r="AB466" s="11" t="n">
        <x:v>46254.51251577547</x:v>
      </x:c>
      <x:c r="AC466" t="str">
        <x:v>downtown_yards</x:v>
      </x:c>
    </x:row>
    <x:row r="467" ht="22" customHeight="1">
      <x:c r="A467" t="str">
        <x:v>Downtown Yards</x:v>
      </x:c>
      <x:c r="B467" t="str">
        <x:v>A12.04</x:v>
      </x:c>
      <x:c r="C467" t="str">
        <x:v>available</x:v>
      </x:c>
      <x:c r="D467" t="str">
        <x:v>present</x:v>
      </x:c>
      <x:c r="E467" t="str">
        <x:v>baseline</x:v>
      </x:c>
      <x:c r="F467" s="11" t="n">
        <x:v>46252.68496519676</x:v>
      </x:c>
      <x:c r="G467" t="str">
        <x:v>flat</x:v>
      </x:c>
      <x:c r="H467" s="12" t="n">
        <x:v>3</x:v>
      </x:c>
      <x:c r="I467" s="13" t="n">
        <x:v>12</x:v>
      </x:c>
      <x:c r="J467" t="str">
        <x:v>A</x:v>
      </x:c>
      <x:c r="K467" s="14" t="n">
        <x:v>87.4</x:v>
      </x:c>
      <x:c r="L467" s="14"/>
      <x:c r="M467" s="14"/>
      <x:c r="N467" s="14"/>
      <x:c r="O467" s="14"/>
      <x:c r="P467" s="14" t="n">
        <x:v>8.67</x:v>
      </x:c>
      <x:c r="Q467" s="14" t="n">
        <x:v>96.07</x:v>
      </x:c>
      <x:c r="R467" s="15" t="n">
        <x:v>545382</x:v>
      </x:c>
      <x:c r="S467" s="15" t="n">
        <x:v>634065</x:v>
      </x:c>
      <x:c r="T467" s="15" t="n">
        <x:v>545382</x:v>
      </x:c>
      <x:c r="U467" s="16" t="n">
        <x:v>6240.07</x:v>
      </x:c>
      <x:c r="V467" t="str">
        <x:v>JTRE</x:v>
      </x:c>
      <x:c r="W467" t="str">
        <x:v>Ružinov</x:v>
      </x:c>
      <x:c r="X467" s="11" t="str">
        <x:v>Voľný</x:v>
      </x:c>
      <x:c r="Y467" s="11" t="str">
        <x:v>https://d-y.sk/byty/a12.04/</x:v>
      </x:c>
      <x:c r="Z467" s="11" t="n">
        <x:v>46252.68496519676</x:v>
      </x:c>
      <x:c r="AA467" s="11" t="n">
        <x:v>46254.51251577547</x:v>
      </x:c>
      <x:c r="AB467" s="11" t="n">
        <x:v>46254.51251577547</x:v>
      </x:c>
      <x:c r="AC467" t="str">
        <x:v>downtown_yards</x:v>
      </x:c>
    </x:row>
    <x:row r="468" ht="22" customHeight="1">
      <x:c r="A468" t="str">
        <x:v>Downtown Yards</x:v>
      </x:c>
      <x:c r="B468" t="str">
        <x:v>A12.05</x:v>
      </x:c>
      <x:c r="C468" t="str">
        <x:v>available</x:v>
      </x:c>
      <x:c r="D468" t="str">
        <x:v>present</x:v>
      </x:c>
      <x:c r="E468" t="str">
        <x:v>baseline</x:v>
      </x:c>
      <x:c r="F468" s="11" t="n">
        <x:v>46252.68496519676</x:v>
      </x:c>
      <x:c r="G468" t="str">
        <x:v>flat</x:v>
      </x:c>
      <x:c r="H468" s="12" t="n">
        <x:v>3</x:v>
      </x:c>
      <x:c r="I468" s="13" t="n">
        <x:v>12</x:v>
      </x:c>
      <x:c r="J468" t="str">
        <x:v>A</x:v>
      </x:c>
      <x:c r="K468" s="14" t="n">
        <x:v>87.3</x:v>
      </x:c>
      <x:c r="L468" s="14"/>
      <x:c r="M468" s="14"/>
      <x:c r="N468" s="14"/>
      <x:c r="O468" s="14"/>
      <x:c r="P468" s="14" t="n">
        <x:v>6.58</x:v>
      </x:c>
      <x:c r="Q468" s="14" t="n">
        <x:v>93.88</x:v>
      </x:c>
      <x:c r="R468" s="15" t="n">
        <x:v>609588</x:v>
      </x:c>
      <x:c r="S468" s="15" t="n">
        <x:v>702453</x:v>
      </x:c>
      <x:c r="T468" s="15" t="n">
        <x:v>609588</x:v>
      </x:c>
      <x:c r="U468" s="16" t="n">
        <x:v>6982.68</x:v>
      </x:c>
      <x:c r="V468" t="str">
        <x:v>JTRE</x:v>
      </x:c>
      <x:c r="W468" t="str">
        <x:v>Ružinov</x:v>
      </x:c>
      <x:c r="X468" s="11" t="str">
        <x:v>Voľný</x:v>
      </x:c>
      <x:c r="Y468" s="11" t="str">
        <x:v>https://d-y.sk/byty/a12.05/</x:v>
      </x:c>
      <x:c r="Z468" s="11" t="n">
        <x:v>46252.68496519676</x:v>
      </x:c>
      <x:c r="AA468" s="11" t="n">
        <x:v>46254.51251577547</x:v>
      </x:c>
      <x:c r="AB468" s="11" t="n">
        <x:v>46254.51251577547</x:v>
      </x:c>
      <x:c r="AC468" t="str">
        <x:v>downtown_yards</x:v>
      </x:c>
    </x:row>
    <x:row r="469" ht="22" customHeight="1">
      <x:c r="A469" t="str">
        <x:v>Downtown Yards</x:v>
      </x:c>
      <x:c r="B469" t="str">
        <x:v>A12.06</x:v>
      </x:c>
      <x:c r="C469" t="str">
        <x:v>sold</x:v>
      </x:c>
      <x:c r="D469" t="str">
        <x:v>present</x:v>
      </x:c>
      <x:c r="E469" t="str">
        <x:v>baseline</x:v>
      </x:c>
      <x:c r="F469" s="11" t="n">
        <x:v>46252.68496519676</x:v>
      </x:c>
      <x:c r="G469" t="str">
        <x:v>flat</x:v>
      </x:c>
      <x:c r="H469" s="12" t="n">
        <x:v>2</x:v>
      </x:c>
      <x:c r="I469" s="13" t="n">
        <x:v>12</x:v>
      </x:c>
      <x:c r="J469" t="str">
        <x:v>A</x:v>
      </x:c>
      <x:c r="K469" s="14" t="n">
        <x:v>51.86</x:v>
      </x:c>
      <x:c r="L469" s="14"/>
      <x:c r="M469" s="14"/>
      <x:c r="N469" s="14"/>
      <x:c r="O469" s="14"/>
      <x:c r="P469" s="14" t="n">
        <x:v>6.58</x:v>
      </x:c>
      <x:c r="Q469" s="14" t="n">
        <x:v>58.44</x:v>
      </x:c>
      <x:c r="R469" s="15"/>
      <x:c r="S469" s="15"/>
      <x:c r="T469" s="15"/>
      <x:c r="U469" s="16"/>
      <x:c r="V469" t="str">
        <x:v>JTRE</x:v>
      </x:c>
      <x:c r="W469" t="str">
        <x:v>Ružinov</x:v>
      </x:c>
      <x:c r="X469" s="11" t="str">
        <x:v>Predaný</x:v>
      </x:c>
      <x:c r="Y469" s="11" t="str">
        <x:v>https://d-y.sk/byty/a12.06/</x:v>
      </x:c>
      <x:c r="Z469" s="11" t="n">
        <x:v>46252.68496519676</x:v>
      </x:c>
      <x:c r="AA469" s="11" t="n">
        <x:v>46254.51251577547</x:v>
      </x:c>
      <x:c r="AB469" s="11" t="n">
        <x:v>46254.51251577547</x:v>
      </x:c>
      <x:c r="AC469" t="str">
        <x:v>downtown_yards</x:v>
      </x:c>
    </x:row>
    <x:row r="470" ht="22" customHeight="1">
      <x:c r="A470" t="str">
        <x:v>Downtown Yards</x:v>
      </x:c>
      <x:c r="B470" t="str">
        <x:v>A12.07</x:v>
      </x:c>
      <x:c r="C470" t="str">
        <x:v>sold</x:v>
      </x:c>
      <x:c r="D470" t="str">
        <x:v>present</x:v>
      </x:c>
      <x:c r="E470" t="str">
        <x:v>baseline</x:v>
      </x:c>
      <x:c r="F470" s="11" t="n">
        <x:v>46252.68496519676</x:v>
      </x:c>
      <x:c r="G470" t="str">
        <x:v>flat</x:v>
      </x:c>
      <x:c r="H470" s="12" t="n">
        <x:v>2</x:v>
      </x:c>
      <x:c r="I470" s="13" t="n">
        <x:v>12</x:v>
      </x:c>
      <x:c r="J470" t="str">
        <x:v>A</x:v>
      </x:c>
      <x:c r="K470" s="14" t="n">
        <x:v>52.09</x:v>
      </x:c>
      <x:c r="L470" s="14"/>
      <x:c r="M470" s="14"/>
      <x:c r="N470" s="14"/>
      <x:c r="O470" s="14"/>
      <x:c r="P470" s="14" t="n">
        <x:v>6.58</x:v>
      </x:c>
      <x:c r="Q470" s="14" t="n">
        <x:v>58.67</x:v>
      </x:c>
      <x:c r="R470" s="15"/>
      <x:c r="S470" s="15"/>
      <x:c r="T470" s="15"/>
      <x:c r="U470" s="16"/>
      <x:c r="V470" t="str">
        <x:v>JTRE</x:v>
      </x:c>
      <x:c r="W470" t="str">
        <x:v>Ružinov</x:v>
      </x:c>
      <x:c r="X470" s="11" t="str">
        <x:v>Predaný</x:v>
      </x:c>
      <x:c r="Y470" s="11" t="str">
        <x:v>https://d-y.sk/byty/a12.07/</x:v>
      </x:c>
      <x:c r="Z470" s="11" t="n">
        <x:v>46252.68496519676</x:v>
      </x:c>
      <x:c r="AA470" s="11" t="n">
        <x:v>46254.51251577547</x:v>
      </x:c>
      <x:c r="AB470" s="11" t="n">
        <x:v>46254.51251577547</x:v>
      </x:c>
      <x:c r="AC470" t="str">
        <x:v>downtown_yards</x:v>
      </x:c>
    </x:row>
    <x:row r="471" ht="22" customHeight="1">
      <x:c r="A471" t="str">
        <x:v>Downtown Yards</x:v>
      </x:c>
      <x:c r="B471" t="str">
        <x:v>A12.08</x:v>
      </x:c>
      <x:c r="C471" t="str">
        <x:v>available</x:v>
      </x:c>
      <x:c r="D471" t="str">
        <x:v>present</x:v>
      </x:c>
      <x:c r="E471" t="str">
        <x:v>baseline</x:v>
      </x:c>
      <x:c r="F471" s="11" t="n">
        <x:v>46252.68496519676</x:v>
      </x:c>
      <x:c r="G471" t="str">
        <x:v>flat</x:v>
      </x:c>
      <x:c r="H471" s="12" t="n">
        <x:v>4</x:v>
      </x:c>
      <x:c r="I471" s="13" t="n">
        <x:v>12</x:v>
      </x:c>
      <x:c r="J471" t="str">
        <x:v>A</x:v>
      </x:c>
      <x:c r="K471" s="14" t="n">
        <x:v>112.03</x:v>
      </x:c>
      <x:c r="L471" s="14"/>
      <x:c r="M471" s="14"/>
      <x:c r="N471" s="14"/>
      <x:c r="O471" s="14"/>
      <x:c r="P471" s="14" t="n">
        <x:v>12.1</x:v>
      </x:c>
      <x:c r="Q471" s="14" t="n">
        <x:v>124.13</x:v>
      </x:c>
      <x:c r="R471" s="15" t="n">
        <x:v>815982</x:v>
      </x:c>
      <x:c r="S471" s="15" t="n">
        <x:v>932463</x:v>
      </x:c>
      <x:c r="T471" s="15" t="n">
        <x:v>815982</x:v>
      </x:c>
      <x:c r="U471" s="16" t="n">
        <x:v>7283.6</x:v>
      </x:c>
      <x:c r="V471" t="str">
        <x:v>JTRE</x:v>
      </x:c>
      <x:c r="W471" t="str">
        <x:v>Ružinov</x:v>
      </x:c>
      <x:c r="X471" s="11" t="str">
        <x:v>Voľný</x:v>
      </x:c>
      <x:c r="Y471" s="11" t="str">
        <x:v>https://d-y.sk/byty/a12.08/</x:v>
      </x:c>
      <x:c r="Z471" s="11" t="n">
        <x:v>46252.68496519676</x:v>
      </x:c>
      <x:c r="AA471" s="11" t="n">
        <x:v>46254.51251577547</x:v>
      </x:c>
      <x:c r="AB471" s="11" t="n">
        <x:v>46254.51251577547</x:v>
      </x:c>
      <x:c r="AC471" t="str">
        <x:v>downtown_yards</x:v>
      </x:c>
    </x:row>
    <x:row r="472" ht="22" customHeight="1">
      <x:c r="A472" t="str">
        <x:v>Downtown Yards</x:v>
      </x:c>
      <x:c r="B472" t="str">
        <x:v>A13.01</x:v>
      </x:c>
      <x:c r="C472" t="str">
        <x:v>available</x:v>
      </x:c>
      <x:c r="D472" t="str">
        <x:v>present</x:v>
      </x:c>
      <x:c r="E472" t="str">
        <x:v>baseline</x:v>
      </x:c>
      <x:c r="F472" s="11" t="n">
        <x:v>46252.68496519676</x:v>
      </x:c>
      <x:c r="G472" t="str">
        <x:v>flat</x:v>
      </x:c>
      <x:c r="H472" s="12" t="n">
        <x:v>4</x:v>
      </x:c>
      <x:c r="I472" s="13" t="n">
        <x:v>13</x:v>
      </x:c>
      <x:c r="J472" t="str">
        <x:v>A</x:v>
      </x:c>
      <x:c r="K472" s="14" t="n">
        <x:v>114.22</x:v>
      </x:c>
      <x:c r="L472" s="14"/>
      <x:c r="M472" s="14"/>
      <x:c r="N472" s="14"/>
      <x:c r="O472" s="14"/>
      <x:c r="P472" s="14" t="n">
        <x:v>16.76</x:v>
      </x:c>
      <x:c r="Q472" s="14" t="n">
        <x:v>130.98</x:v>
      </x:c>
      <x:c r="R472" s="15" t="n">
        <x:v>786216</x:v>
      </x:c>
      <x:c r="S472" s="15" t="n">
        <x:v>898515</x:v>
      </x:c>
      <x:c r="T472" s="15" t="n">
        <x:v>786216</x:v>
      </x:c>
      <x:c r="U472" s="16" t="n">
        <x:v>6883.35</x:v>
      </x:c>
      <x:c r="V472" t="str">
        <x:v>JTRE</x:v>
      </x:c>
      <x:c r="W472" t="str">
        <x:v>Ružinov</x:v>
      </x:c>
      <x:c r="X472" s="11" t="str">
        <x:v>Voľný</x:v>
      </x:c>
      <x:c r="Y472" s="11" t="str">
        <x:v>https://d-y.sk/byty/a13.01/</x:v>
      </x:c>
      <x:c r="Z472" s="11" t="n">
        <x:v>46252.68496519676</x:v>
      </x:c>
      <x:c r="AA472" s="11" t="n">
        <x:v>46254.51251577547</x:v>
      </x:c>
      <x:c r="AB472" s="11" t="n">
        <x:v>46254.51251577547</x:v>
      </x:c>
      <x:c r="AC472" t="str">
        <x:v>downtown_yards</x:v>
      </x:c>
    </x:row>
    <x:row r="473" ht="22" customHeight="1">
      <x:c r="A473" t="str">
        <x:v>Downtown Yards</x:v>
      </x:c>
      <x:c r="B473" t="str">
        <x:v>A13.02</x:v>
      </x:c>
      <x:c r="C473" t="str">
        <x:v>sold</x:v>
      </x:c>
      <x:c r="D473" t="str">
        <x:v>present</x:v>
      </x:c>
      <x:c r="E473" t="str">
        <x:v>baseline</x:v>
      </x:c>
      <x:c r="F473" s="11" t="n">
        <x:v>46252.68496519676</x:v>
      </x:c>
      <x:c r="G473" t="str">
        <x:v>flat</x:v>
      </x:c>
      <x:c r="H473" s="12" t="n">
        <x:v>2</x:v>
      </x:c>
      <x:c r="I473" s="13" t="n">
        <x:v>13</x:v>
      </x:c>
      <x:c r="J473" t="str">
        <x:v>A</x:v>
      </x:c>
      <x:c r="K473" s="14" t="n">
        <x:v>52.22</x:v>
      </x:c>
      <x:c r="L473" s="14"/>
      <x:c r="M473" s="14"/>
      <x:c r="N473" s="14"/>
      <x:c r="O473" s="14"/>
      <x:c r="P473" s="14" t="n">
        <x:v>8.67</x:v>
      </x:c>
      <x:c r="Q473" s="14" t="n">
        <x:v>60.89</x:v>
      </x:c>
      <x:c r="R473" s="15"/>
      <x:c r="S473" s="15"/>
      <x:c r="T473" s="15"/>
      <x:c r="U473" s="16"/>
      <x:c r="V473" t="str">
        <x:v>JTRE</x:v>
      </x:c>
      <x:c r="W473" t="str">
        <x:v>Ružinov</x:v>
      </x:c>
      <x:c r="X473" s="11" t="str">
        <x:v>Predaný</x:v>
      </x:c>
      <x:c r="Y473" s="11" t="str">
        <x:v>https://d-y.sk/byty/a13.02/</x:v>
      </x:c>
      <x:c r="Z473" s="11" t="n">
        <x:v>46252.68496519676</x:v>
      </x:c>
      <x:c r="AA473" s="11" t="n">
        <x:v>46254.51251577547</x:v>
      </x:c>
      <x:c r="AB473" s="11" t="n">
        <x:v>46254.51251577547</x:v>
      </x:c>
      <x:c r="AC473" t="str">
        <x:v>downtown_yards</x:v>
      </x:c>
    </x:row>
    <x:row r="474" ht="22" customHeight="1">
      <x:c r="A474" t="str">
        <x:v>Downtown Yards</x:v>
      </x:c>
      <x:c r="B474" t="str">
        <x:v>A13.03</x:v>
      </x:c>
      <x:c r="C474" t="str">
        <x:v>sold</x:v>
      </x:c>
      <x:c r="D474" t="str">
        <x:v>present</x:v>
      </x:c>
      <x:c r="E474" t="str">
        <x:v>baseline</x:v>
      </x:c>
      <x:c r="F474" s="11" t="n">
        <x:v>46252.68496519676</x:v>
      </x:c>
      <x:c r="G474" t="str">
        <x:v>flat</x:v>
      </x:c>
      <x:c r="H474" s="12" t="n">
        <x:v>2</x:v>
      </x:c>
      <x:c r="I474" s="13" t="n">
        <x:v>13</x:v>
      </x:c>
      <x:c r="J474" t="str">
        <x:v>A</x:v>
      </x:c>
      <x:c r="K474" s="14" t="n">
        <x:v>51.68</x:v>
      </x:c>
      <x:c r="L474" s="14"/>
      <x:c r="M474" s="14"/>
      <x:c r="N474" s="14"/>
      <x:c r="O474" s="14"/>
      <x:c r="P474" s="14" t="n">
        <x:v>8.67</x:v>
      </x:c>
      <x:c r="Q474" s="14" t="n">
        <x:v>60.35</x:v>
      </x:c>
      <x:c r="R474" s="15"/>
      <x:c r="S474" s="15"/>
      <x:c r="T474" s="15"/>
      <x:c r="U474" s="16"/>
      <x:c r="V474" t="str">
        <x:v>JTRE</x:v>
      </x:c>
      <x:c r="W474" t="str">
        <x:v>Ružinov</x:v>
      </x:c>
      <x:c r="X474" s="11" t="str">
        <x:v>Predaný</x:v>
      </x:c>
      <x:c r="Y474" s="11" t="str">
        <x:v>https://d-y.sk/byty/a13.03/</x:v>
      </x:c>
      <x:c r="Z474" s="11" t="n">
        <x:v>46252.68496519676</x:v>
      </x:c>
      <x:c r="AA474" s="11" t="n">
        <x:v>46254.51251577547</x:v>
      </x:c>
      <x:c r="AB474" s="11" t="n">
        <x:v>46254.51251577547</x:v>
      </x:c>
      <x:c r="AC474" t="str">
        <x:v>downtown_yards</x:v>
      </x:c>
    </x:row>
    <x:row r="475" ht="22" customHeight="1">
      <x:c r="A475" t="str">
        <x:v>Downtown Yards</x:v>
      </x:c>
      <x:c r="B475" t="str">
        <x:v>A13.04</x:v>
      </x:c>
      <x:c r="C475" t="str">
        <x:v>sold</x:v>
      </x:c>
      <x:c r="D475" t="str">
        <x:v>present</x:v>
      </x:c>
      <x:c r="E475" t="str">
        <x:v>baseline</x:v>
      </x:c>
      <x:c r="F475" s="11" t="n">
        <x:v>46252.68496519676</x:v>
      </x:c>
      <x:c r="G475" t="str">
        <x:v>flat</x:v>
      </x:c>
      <x:c r="H475" s="12" t="n">
        <x:v>3</x:v>
      </x:c>
      <x:c r="I475" s="13" t="n">
        <x:v>13</x:v>
      </x:c>
      <x:c r="J475" t="str">
        <x:v>A</x:v>
      </x:c>
      <x:c r="K475" s="14" t="n">
        <x:v>87.4</x:v>
      </x:c>
      <x:c r="L475" s="14"/>
      <x:c r="M475" s="14"/>
      <x:c r="N475" s="14"/>
      <x:c r="O475" s="14"/>
      <x:c r="P475" s="14" t="n">
        <x:v>8.67</x:v>
      </x:c>
      <x:c r="Q475" s="14" t="n">
        <x:v>96.07</x:v>
      </x:c>
      <x:c r="R475" s="15"/>
      <x:c r="S475" s="15"/>
      <x:c r="T475" s="15"/>
      <x:c r="U475" s="16"/>
      <x:c r="V475" t="str">
        <x:v>JTRE</x:v>
      </x:c>
      <x:c r="W475" t="str">
        <x:v>Ružinov</x:v>
      </x:c>
      <x:c r="X475" s="11" t="str">
        <x:v>Predaný</x:v>
      </x:c>
      <x:c r="Y475" s="11" t="str">
        <x:v>https://d-y.sk/byty/a13.04/</x:v>
      </x:c>
      <x:c r="Z475" s="11" t="n">
        <x:v>46252.68496519676</x:v>
      </x:c>
      <x:c r="AA475" s="11" t="n">
        <x:v>46254.51251577547</x:v>
      </x:c>
      <x:c r="AB475" s="11" t="n">
        <x:v>46254.51251577547</x:v>
      </x:c>
      <x:c r="AC475" t="str">
        <x:v>downtown_yards</x:v>
      </x:c>
    </x:row>
    <x:row r="476" ht="22" customHeight="1">
      <x:c r="A476" t="str">
        <x:v>Downtown Yards</x:v>
      </x:c>
      <x:c r="B476" t="str">
        <x:v>A13.05</x:v>
      </x:c>
      <x:c r="C476" t="str">
        <x:v>available</x:v>
      </x:c>
      <x:c r="D476" t="str">
        <x:v>present</x:v>
      </x:c>
      <x:c r="E476" t="str">
        <x:v>baseline</x:v>
      </x:c>
      <x:c r="F476" s="11" t="n">
        <x:v>46252.68496519676</x:v>
      </x:c>
      <x:c r="G476" t="str">
        <x:v>flat</x:v>
      </x:c>
      <x:c r="H476" s="12" t="n">
        <x:v>3</x:v>
      </x:c>
      <x:c r="I476" s="13" t="n">
        <x:v>13</x:v>
      </x:c>
      <x:c r="J476" t="str">
        <x:v>A</x:v>
      </x:c>
      <x:c r="K476" s="14" t="n">
        <x:v>87.3</x:v>
      </x:c>
      <x:c r="L476" s="14"/>
      <x:c r="M476" s="14"/>
      <x:c r="N476" s="14"/>
      <x:c r="O476" s="14"/>
      <x:c r="P476" s="14" t="n">
        <x:v>6.58</x:v>
      </x:c>
      <x:c r="Q476" s="14" t="n">
        <x:v>93.88</x:v>
      </x:c>
      <x:c r="R476" s="15" t="n">
        <x:v>615492</x:v>
      </x:c>
      <x:c r="S476" s="15" t="n">
        <x:v>709341</x:v>
      </x:c>
      <x:c r="T476" s="15" t="n">
        <x:v>615492</x:v>
      </x:c>
      <x:c r="U476" s="16" t="n">
        <x:v>7050.31</x:v>
      </x:c>
      <x:c r="V476" t="str">
        <x:v>JTRE</x:v>
      </x:c>
      <x:c r="W476" t="str">
        <x:v>Ružinov</x:v>
      </x:c>
      <x:c r="X476" s="11" t="str">
        <x:v>Voľný</x:v>
      </x:c>
      <x:c r="Y476" s="11" t="str">
        <x:v>https://d-y.sk/byty/a13.05/</x:v>
      </x:c>
      <x:c r="Z476" s="11" t="n">
        <x:v>46252.68496519676</x:v>
      </x:c>
      <x:c r="AA476" s="11" t="n">
        <x:v>46254.51251577547</x:v>
      </x:c>
      <x:c r="AB476" s="11" t="n">
        <x:v>46254.51251577547</x:v>
      </x:c>
      <x:c r="AC476" t="str">
        <x:v>downtown_yards</x:v>
      </x:c>
    </x:row>
    <x:row r="477" ht="22" customHeight="1">
      <x:c r="A477" t="str">
        <x:v>Downtown Yards</x:v>
      </x:c>
      <x:c r="B477" t="str">
        <x:v>A13.06</x:v>
      </x:c>
      <x:c r="C477" t="str">
        <x:v>sold</x:v>
      </x:c>
      <x:c r="D477" t="str">
        <x:v>present</x:v>
      </x:c>
      <x:c r="E477" t="str">
        <x:v>baseline</x:v>
      </x:c>
      <x:c r="F477" s="11" t="n">
        <x:v>46252.68496519676</x:v>
      </x:c>
      <x:c r="G477" t="str">
        <x:v>flat</x:v>
      </x:c>
      <x:c r="H477" s="12" t="n">
        <x:v>2</x:v>
      </x:c>
      <x:c r="I477" s="13" t="n">
        <x:v>13</x:v>
      </x:c>
      <x:c r="J477" t="str">
        <x:v>A</x:v>
      </x:c>
      <x:c r="K477" s="14" t="n">
        <x:v>51.86</x:v>
      </x:c>
      <x:c r="L477" s="14"/>
      <x:c r="M477" s="14"/>
      <x:c r="N477" s="14"/>
      <x:c r="O477" s="14"/>
      <x:c r="P477" s="14" t="n">
        <x:v>6.58</x:v>
      </x:c>
      <x:c r="Q477" s="14" t="n">
        <x:v>58.44</x:v>
      </x:c>
      <x:c r="R477" s="15"/>
      <x:c r="S477" s="15"/>
      <x:c r="T477" s="15"/>
      <x:c r="U477" s="16"/>
      <x:c r="V477" t="str">
        <x:v>JTRE</x:v>
      </x:c>
      <x:c r="W477" t="str">
        <x:v>Ružinov</x:v>
      </x:c>
      <x:c r="X477" s="11" t="str">
        <x:v>Predaný</x:v>
      </x:c>
      <x:c r="Y477" s="11" t="str">
        <x:v>https://d-y.sk/byty/a13.06/</x:v>
      </x:c>
      <x:c r="Z477" s="11" t="n">
        <x:v>46252.68496519676</x:v>
      </x:c>
      <x:c r="AA477" s="11" t="n">
        <x:v>46254.51251577547</x:v>
      </x:c>
      <x:c r="AB477" s="11" t="n">
        <x:v>46254.51251577547</x:v>
      </x:c>
      <x:c r="AC477" t="str">
        <x:v>downtown_yards</x:v>
      </x:c>
    </x:row>
    <x:row r="478" ht="22" customHeight="1">
      <x:c r="A478" t="str">
        <x:v>Downtown Yards</x:v>
      </x:c>
      <x:c r="B478" t="str">
        <x:v>A13.07</x:v>
      </x:c>
      <x:c r="C478" t="str">
        <x:v>sold</x:v>
      </x:c>
      <x:c r="D478" t="str">
        <x:v>present</x:v>
      </x:c>
      <x:c r="E478" t="str">
        <x:v>baseline</x:v>
      </x:c>
      <x:c r="F478" s="11" t="n">
        <x:v>46252.68496519676</x:v>
      </x:c>
      <x:c r="G478" t="str">
        <x:v>flat</x:v>
      </x:c>
      <x:c r="H478" s="12" t="n">
        <x:v>2</x:v>
      </x:c>
      <x:c r="I478" s="13" t="n">
        <x:v>13</x:v>
      </x:c>
      <x:c r="J478" t="str">
        <x:v>A</x:v>
      </x:c>
      <x:c r="K478" s="14" t="n">
        <x:v>52.09</x:v>
      </x:c>
      <x:c r="L478" s="14"/>
      <x:c r="M478" s="14"/>
      <x:c r="N478" s="14"/>
      <x:c r="O478" s="14"/>
      <x:c r="P478" s="14" t="n">
        <x:v>6.58</x:v>
      </x:c>
      <x:c r="Q478" s="14" t="n">
        <x:v>58.67</x:v>
      </x:c>
      <x:c r="R478" s="15"/>
      <x:c r="S478" s="15"/>
      <x:c r="T478" s="15"/>
      <x:c r="U478" s="16"/>
      <x:c r="V478" t="str">
        <x:v>JTRE</x:v>
      </x:c>
      <x:c r="W478" t="str">
        <x:v>Ružinov</x:v>
      </x:c>
      <x:c r="X478" s="11" t="str">
        <x:v>Predaný</x:v>
      </x:c>
      <x:c r="Y478" s="11" t="str">
        <x:v>https://d-y.sk/byty/a13.07/</x:v>
      </x:c>
      <x:c r="Z478" s="11" t="n">
        <x:v>46252.68496519676</x:v>
      </x:c>
      <x:c r="AA478" s="11" t="n">
        <x:v>46254.51251577547</x:v>
      </x:c>
      <x:c r="AB478" s="11" t="n">
        <x:v>46254.51251577547</x:v>
      </x:c>
      <x:c r="AC478" t="str">
        <x:v>downtown_yards</x:v>
      </x:c>
    </x:row>
    <x:row r="479" ht="22" customHeight="1">
      <x:c r="A479" t="str">
        <x:v>Downtown Yards</x:v>
      </x:c>
      <x:c r="B479" t="str">
        <x:v>A13.08</x:v>
      </x:c>
      <x:c r="C479" t="str">
        <x:v>available</x:v>
      </x:c>
      <x:c r="D479" t="str">
        <x:v>present</x:v>
      </x:c>
      <x:c r="E479" t="str">
        <x:v>baseline</x:v>
      </x:c>
      <x:c r="F479" s="11" t="n">
        <x:v>46252.68496519676</x:v>
      </x:c>
      <x:c r="G479" t="str">
        <x:v>flat</x:v>
      </x:c>
      <x:c r="H479" s="12" t="n">
        <x:v>4</x:v>
      </x:c>
      <x:c r="I479" s="13" t="n">
        <x:v>13</x:v>
      </x:c>
      <x:c r="J479" t="str">
        <x:v>A</x:v>
      </x:c>
      <x:c r="K479" s="14" t="n">
        <x:v>112.03</x:v>
      </x:c>
      <x:c r="L479" s="14"/>
      <x:c r="M479" s="14"/>
      <x:c r="N479" s="14"/>
      <x:c r="O479" s="14"/>
      <x:c r="P479" s="14" t="n">
        <x:v>12.1</x:v>
      </x:c>
      <x:c r="Q479" s="14" t="n">
        <x:v>124.13</x:v>
      </x:c>
      <x:c r="R479" s="15" t="n">
        <x:v>824223</x:v>
      </x:c>
      <x:c r="S479" s="15" t="n">
        <x:v>941934</x:v>
      </x:c>
      <x:c r="T479" s="15" t="n">
        <x:v>824223</x:v>
      </x:c>
      <x:c r="U479" s="16" t="n">
        <x:v>7357.16</x:v>
      </x:c>
      <x:c r="V479" t="str">
        <x:v>JTRE</x:v>
      </x:c>
      <x:c r="W479" t="str">
        <x:v>Ružinov</x:v>
      </x:c>
      <x:c r="X479" s="11" t="str">
        <x:v>Voľný</x:v>
      </x:c>
      <x:c r="Y479" s="11" t="str">
        <x:v>https://d-y.sk/byty/a13.08/</x:v>
      </x:c>
      <x:c r="Z479" s="11" t="n">
        <x:v>46252.68496519676</x:v>
      </x:c>
      <x:c r="AA479" s="11" t="n">
        <x:v>46254.51251577547</x:v>
      </x:c>
      <x:c r="AB479" s="11" t="n">
        <x:v>46254.51251577547</x:v>
      </x:c>
      <x:c r="AC479" t="str">
        <x:v>downtown_yards</x:v>
      </x:c>
    </x:row>
    <x:row r="480" ht="22" customHeight="1">
      <x:c r="A480" t="str">
        <x:v>Downtown Yards</x:v>
      </x:c>
      <x:c r="B480" t="str">
        <x:v>A14.01</x:v>
      </x:c>
      <x:c r="C480" t="str">
        <x:v>available</x:v>
      </x:c>
      <x:c r="D480" t="str">
        <x:v>present</x:v>
      </x:c>
      <x:c r="E480" t="str">
        <x:v>baseline</x:v>
      </x:c>
      <x:c r="F480" s="11" t="n">
        <x:v>46252.68496519676</x:v>
      </x:c>
      <x:c r="G480" t="str">
        <x:v>flat</x:v>
      </x:c>
      <x:c r="H480" s="12" t="n">
        <x:v>4</x:v>
      </x:c>
      <x:c r="I480" s="13" t="n">
        <x:v>14</x:v>
      </x:c>
      <x:c r="J480" t="str">
        <x:v>A</x:v>
      </x:c>
      <x:c r="K480" s="14" t="n">
        <x:v>114.22</x:v>
      </x:c>
      <x:c r="L480" s="14"/>
      <x:c r="M480" s="14"/>
      <x:c r="N480" s="14"/>
      <x:c r="O480" s="14"/>
      <x:c r="P480" s="14" t="n">
        <x:v>16.76</x:v>
      </x:c>
      <x:c r="Q480" s="14" t="n">
        <x:v>130.98</x:v>
      </x:c>
      <x:c r="R480" s="15"/>
      <x:c r="S480" s="15"/>
      <x:c r="T480" s="15"/>
      <x:c r="U480" s="16"/>
      <x:c r="V480" t="str">
        <x:v>JTRE</x:v>
      </x:c>
      <x:c r="W480" t="str">
        <x:v>Ružinov</x:v>
      </x:c>
      <x:c r="X480" s="11" t="str">
        <x:v>Voľný</x:v>
      </x:c>
      <x:c r="Y480" s="11" t="str">
        <x:v>https://d-y.sk/byty/a14.01/</x:v>
      </x:c>
      <x:c r="Z480" s="11" t="n">
        <x:v>46252.68496519676</x:v>
      </x:c>
      <x:c r="AA480" s="11" t="n">
        <x:v>46254.51251577547</x:v>
      </x:c>
      <x:c r="AB480" s="11" t="n">
        <x:v>46254.51251577547</x:v>
      </x:c>
      <x:c r="AC480" t="str">
        <x:v>downtown_yards</x:v>
      </x:c>
    </x:row>
    <x:row r="481" ht="22" customHeight="1">
      <x:c r="A481" t="str">
        <x:v>Downtown Yards</x:v>
      </x:c>
      <x:c r="B481" t="str">
        <x:v>A14.02</x:v>
      </x:c>
      <x:c r="C481" t="str">
        <x:v>pre_reserved</x:v>
      </x:c>
      <x:c r="D481" t="str">
        <x:v>present</x:v>
      </x:c>
      <x:c r="E481" t="str">
        <x:v>baseline</x:v>
      </x:c>
      <x:c r="F481" s="11" t="n">
        <x:v>46252.68496519676</x:v>
      </x:c>
      <x:c r="G481" t="str">
        <x:v>flat</x:v>
      </x:c>
      <x:c r="H481" s="12" t="n">
        <x:v>3</x:v>
      </x:c>
      <x:c r="I481" s="13" t="n">
        <x:v>14</x:v>
      </x:c>
      <x:c r="J481" t="str">
        <x:v>A</x:v>
      </x:c>
      <x:c r="K481" s="14" t="n">
        <x:v>73.56</x:v>
      </x:c>
      <x:c r="L481" s="14"/>
      <x:c r="M481" s="14"/>
      <x:c r="N481" s="14"/>
      <x:c r="O481" s="14"/>
      <x:c r="P481" s="14" t="n">
        <x:v>12.46</x:v>
      </x:c>
      <x:c r="Q481" s="14" t="n">
        <x:v>86.02</x:v>
      </x:c>
      <x:c r="R481" s="15"/>
      <x:c r="S481" s="15"/>
      <x:c r="T481" s="15"/>
      <x:c r="U481" s="16"/>
      <x:c r="V481" t="str">
        <x:v>JTRE</x:v>
      </x:c>
      <x:c r="W481" t="str">
        <x:v>Ružinov</x:v>
      </x:c>
      <x:c r="X481" s="11" t="str">
        <x:v>Predrezervovaný</x:v>
      </x:c>
      <x:c r="Y481" s="11" t="str">
        <x:v>https://d-y.sk/byty/a14.02/</x:v>
      </x:c>
      <x:c r="Z481" s="11" t="n">
        <x:v>46252.68496519676</x:v>
      </x:c>
      <x:c r="AA481" s="11" t="n">
        <x:v>46254.51251577547</x:v>
      </x:c>
      <x:c r="AB481" s="11" t="n">
        <x:v>46254.51251577547</x:v>
      </x:c>
      <x:c r="AC481" t="str">
        <x:v>downtown_yards</x:v>
      </x:c>
    </x:row>
    <x:row r="482" ht="22" customHeight="1">
      <x:c r="A482" t="str">
        <x:v>Downtown Yards</x:v>
      </x:c>
      <x:c r="B482" t="str">
        <x:v>A14.03</x:v>
      </x:c>
      <x:c r="C482" t="str">
        <x:v>available</x:v>
      </x:c>
      <x:c r="D482" t="str">
        <x:v>present</x:v>
      </x:c>
      <x:c r="E482" t="str">
        <x:v>baseline</x:v>
      </x:c>
      <x:c r="F482" s="11" t="n">
        <x:v>46252.68496519676</x:v>
      </x:c>
      <x:c r="G482" t="str">
        <x:v>flat</x:v>
      </x:c>
      <x:c r="H482" s="12" t="n">
        <x:v>4</x:v>
      </x:c>
      <x:c r="I482" s="13" t="n">
        <x:v>14</x:v>
      </x:c>
      <x:c r="J482" t="str">
        <x:v>A</x:v>
      </x:c>
      <x:c r="K482" s="14" t="n">
        <x:v>114.27</x:v>
      </x:c>
      <x:c r="L482" s="14"/>
      <x:c r="M482" s="14"/>
      <x:c r="N482" s="14"/>
      <x:c r="O482" s="14"/>
      <x:c r="P482" s="14" t="n">
        <x:v>13.74</x:v>
      </x:c>
      <x:c r="Q482" s="14" t="n">
        <x:v>128.01</x:v>
      </x:c>
      <x:c r="R482" s="15"/>
      <x:c r="S482" s="15"/>
      <x:c r="T482" s="15"/>
      <x:c r="U482" s="16"/>
      <x:c r="V482" t="str">
        <x:v>JTRE</x:v>
      </x:c>
      <x:c r="W482" t="str">
        <x:v>Ružinov</x:v>
      </x:c>
      <x:c r="X482" s="11" t="str">
        <x:v>Voľný</x:v>
      </x:c>
      <x:c r="Y482" s="11" t="str">
        <x:v>https://d-y.sk/byty/a14.03/</x:v>
      </x:c>
      <x:c r="Z482" s="11" t="n">
        <x:v>46252.68496519676</x:v>
      </x:c>
      <x:c r="AA482" s="11" t="n">
        <x:v>46254.51251577547</x:v>
      </x:c>
      <x:c r="AB482" s="11" t="n">
        <x:v>46254.51251577547</x:v>
      </x:c>
      <x:c r="AC482" t="str">
        <x:v>downtown_yards</x:v>
      </x:c>
    </x:row>
    <x:row r="483" ht="22" customHeight="1">
      <x:c r="A483" t="str">
        <x:v>Downtown Yards</x:v>
      </x:c>
      <x:c r="B483" t="str">
        <x:v>A14.04</x:v>
      </x:c>
      <x:c r="C483" t="str">
        <x:v>available</x:v>
      </x:c>
      <x:c r="D483" t="str">
        <x:v>present</x:v>
      </x:c>
      <x:c r="E483" t="str">
        <x:v>baseline</x:v>
      </x:c>
      <x:c r="F483" s="11" t="n">
        <x:v>46252.68496519676</x:v>
      </x:c>
      <x:c r="G483" t="str">
        <x:v>flat</x:v>
      </x:c>
      <x:c r="H483" s="12" t="n">
        <x:v>4</x:v>
      </x:c>
      <x:c r="I483" s="13" t="n">
        <x:v>14</x:v>
      </x:c>
      <x:c r="J483" t="str">
        <x:v>A</x:v>
      </x:c>
      <x:c r="K483" s="14" t="n">
        <x:v>179.44</x:v>
      </x:c>
      <x:c r="L483" s="14"/>
      <x:c r="M483" s="14"/>
      <x:c r="N483" s="14"/>
      <x:c r="O483" s="14"/>
      <x:c r="P483" s="14" t="n">
        <x:v>31.7</x:v>
      </x:c>
      <x:c r="Q483" s="14" t="n">
        <x:v>211.14</x:v>
      </x:c>
      <x:c r="R483" s="15"/>
      <x:c r="S483" s="15"/>
      <x:c r="T483" s="15"/>
      <x:c r="U483" s="16"/>
      <x:c r="V483" t="str">
        <x:v>JTRE</x:v>
      </x:c>
      <x:c r="W483" t="str">
        <x:v>Ružinov</x:v>
      </x:c>
      <x:c r="X483" s="11" t="str">
        <x:v>Voľný</x:v>
      </x:c>
      <x:c r="Y483" s="11" t="str">
        <x:v>https://d-y.sk/byty/a14.04/</x:v>
      </x:c>
      <x:c r="Z483" s="11" t="n">
        <x:v>46252.68496519676</x:v>
      </x:c>
      <x:c r="AA483" s="11" t="n">
        <x:v>46254.51251577547</x:v>
      </x:c>
      <x:c r="AB483" s="11" t="n">
        <x:v>46254.51251577547</x:v>
      </x:c>
      <x:c r="AC483" t="str">
        <x:v>downtown_yards</x:v>
      </x:c>
    </x:row>
    <x:row r="484" ht="22" customHeight="1">
      <x:c r="A484" t="str">
        <x:v>Downtown Yards</x:v>
      </x:c>
      <x:c r="B484" t="str">
        <x:v>A14.05</x:v>
      </x:c>
      <x:c r="C484" t="str">
        <x:v>sold</x:v>
      </x:c>
      <x:c r="D484" t="str">
        <x:v>present</x:v>
      </x:c>
      <x:c r="E484" t="str">
        <x:v>baseline</x:v>
      </x:c>
      <x:c r="F484" s="11" t="n">
        <x:v>46252.68496519676</x:v>
      </x:c>
      <x:c r="G484" t="str">
        <x:v>flat</x:v>
      </x:c>
      <x:c r="H484" s="12" t="n">
        <x:v>4</x:v>
      </x:c>
      <x:c r="I484" s="13" t="n">
        <x:v>14</x:v>
      </x:c>
      <x:c r="J484" t="str">
        <x:v>A</x:v>
      </x:c>
      <x:c r="K484" s="14" t="n">
        <x:v>179.71</x:v>
      </x:c>
      <x:c r="L484" s="14"/>
      <x:c r="M484" s="14"/>
      <x:c r="N484" s="14"/>
      <x:c r="O484" s="14"/>
      <x:c r="P484" s="14" t="n">
        <x:v>23.16</x:v>
      </x:c>
      <x:c r="Q484" s="14" t="n">
        <x:v>202.87</x:v>
      </x:c>
      <x:c r="R484" s="15"/>
      <x:c r="S484" s="15"/>
      <x:c r="T484" s="15"/>
      <x:c r="U484" s="16"/>
      <x:c r="V484" t="str">
        <x:v>JTRE</x:v>
      </x:c>
      <x:c r="W484" t="str">
        <x:v>Ružinov</x:v>
      </x:c>
      <x:c r="X484" s="11" t="str">
        <x:v>Predaný</x:v>
      </x:c>
      <x:c r="Y484" s="11" t="str">
        <x:v>https://d-y.sk/byty/a14.05/</x:v>
      </x:c>
      <x:c r="Z484" s="11" t="n">
        <x:v>46252.68496519676</x:v>
      </x:c>
      <x:c r="AA484" s="11" t="n">
        <x:v>46254.51251577547</x:v>
      </x:c>
      <x:c r="AB484" s="11" t="n">
        <x:v>46254.51251577547</x:v>
      </x:c>
      <x:c r="AC484" t="str">
        <x:v>downtown_yards</x:v>
      </x:c>
    </x:row>
    <x:row r="485" ht="22" customHeight="1">
      <x:c r="A485" t="str">
        <x:v>Downtown Yards</x:v>
      </x:c>
      <x:c r="B485" t="str">
        <x:v>A15.01</x:v>
      </x:c>
      <x:c r="C485" t="str">
        <x:v>available</x:v>
      </x:c>
      <x:c r="D485" t="str">
        <x:v>present</x:v>
      </x:c>
      <x:c r="E485" t="str">
        <x:v>baseline</x:v>
      </x:c>
      <x:c r="F485" s="11" t="n">
        <x:v>46252.68496519676</x:v>
      </x:c>
      <x:c r="G485" t="str">
        <x:v>flat</x:v>
      </x:c>
      <x:c r="H485" s="12" t="n">
        <x:v>4</x:v>
      </x:c>
      <x:c r="I485" s="13" t="n">
        <x:v>15</x:v>
      </x:c>
      <x:c r="J485" t="str">
        <x:v>A</x:v>
      </x:c>
      <x:c r="K485" s="14" t="n">
        <x:v>114.22</x:v>
      </x:c>
      <x:c r="L485" s="14"/>
      <x:c r="M485" s="14"/>
      <x:c r="N485" s="14"/>
      <x:c r="O485" s="14"/>
      <x:c r="P485" s="14" t="n">
        <x:v>16.76</x:v>
      </x:c>
      <x:c r="Q485" s="14" t="n">
        <x:v>130.98</x:v>
      </x:c>
      <x:c r="R485" s="15"/>
      <x:c r="S485" s="15"/>
      <x:c r="T485" s="15"/>
      <x:c r="U485" s="16"/>
      <x:c r="V485" t="str">
        <x:v>JTRE</x:v>
      </x:c>
      <x:c r="W485" t="str">
        <x:v>Ružinov</x:v>
      </x:c>
      <x:c r="X485" s="11" t="str">
        <x:v>Voľný</x:v>
      </x:c>
      <x:c r="Y485" s="11" t="str">
        <x:v>https://d-y.sk/byty/a15.01/</x:v>
      </x:c>
      <x:c r="Z485" s="11" t="n">
        <x:v>46252.68496519676</x:v>
      </x:c>
      <x:c r="AA485" s="11" t="n">
        <x:v>46254.51251577547</x:v>
      </x:c>
      <x:c r="AB485" s="11" t="n">
        <x:v>46254.51251577547</x:v>
      </x:c>
      <x:c r="AC485" t="str">
        <x:v>downtown_yards</x:v>
      </x:c>
    </x:row>
    <x:row r="486" ht="22" customHeight="1">
      <x:c r="A486" t="str">
        <x:v>Downtown Yards</x:v>
      </x:c>
      <x:c r="B486" t="str">
        <x:v>A15.02</x:v>
      </x:c>
      <x:c r="C486" t="str">
        <x:v>available</x:v>
      </x:c>
      <x:c r="D486" t="str">
        <x:v>present</x:v>
      </x:c>
      <x:c r="E486" t="str">
        <x:v>baseline</x:v>
      </x:c>
      <x:c r="F486" s="11" t="n">
        <x:v>46252.68496519676</x:v>
      </x:c>
      <x:c r="G486" t="str">
        <x:v>flat</x:v>
      </x:c>
      <x:c r="H486" s="12" t="n">
        <x:v>3</x:v>
      </x:c>
      <x:c r="I486" s="13" t="n">
        <x:v>15</x:v>
      </x:c>
      <x:c r="J486" t="str">
        <x:v>A</x:v>
      </x:c>
      <x:c r="K486" s="14" t="n">
        <x:v>73.56</x:v>
      </x:c>
      <x:c r="L486" s="14"/>
      <x:c r="M486" s="14"/>
      <x:c r="N486" s="14"/>
      <x:c r="O486" s="14"/>
      <x:c r="P486" s="14" t="n">
        <x:v>12.46</x:v>
      </x:c>
      <x:c r="Q486" s="14" t="n">
        <x:v>86.02</x:v>
      </x:c>
      <x:c r="R486" s="15"/>
      <x:c r="S486" s="15"/>
      <x:c r="T486" s="15"/>
      <x:c r="U486" s="16"/>
      <x:c r="V486" t="str">
        <x:v>JTRE</x:v>
      </x:c>
      <x:c r="W486" t="str">
        <x:v>Ružinov</x:v>
      </x:c>
      <x:c r="X486" s="11" t="str">
        <x:v>Voľný</x:v>
      </x:c>
      <x:c r="Y486" s="11" t="str">
        <x:v>https://d-y.sk/byty/a15.02/</x:v>
      </x:c>
      <x:c r="Z486" s="11" t="n">
        <x:v>46252.68496519676</x:v>
      </x:c>
      <x:c r="AA486" s="11" t="n">
        <x:v>46254.51251577547</x:v>
      </x:c>
      <x:c r="AB486" s="11" t="n">
        <x:v>46254.51251577547</x:v>
      </x:c>
      <x:c r="AC486" t="str">
        <x:v>downtown_yards</x:v>
      </x:c>
    </x:row>
    <x:row r="487" ht="22" customHeight="1">
      <x:c r="A487" t="str">
        <x:v>Downtown Yards</x:v>
      </x:c>
      <x:c r="B487" t="str">
        <x:v>A15.03</x:v>
      </x:c>
      <x:c r="C487" t="str">
        <x:v>available</x:v>
      </x:c>
      <x:c r="D487" t="str">
        <x:v>present</x:v>
      </x:c>
      <x:c r="E487" t="str">
        <x:v>baseline</x:v>
      </x:c>
      <x:c r="F487" s="11" t="n">
        <x:v>46252.68496519676</x:v>
      </x:c>
      <x:c r="G487" t="str">
        <x:v>flat</x:v>
      </x:c>
      <x:c r="H487" s="12" t="n">
        <x:v>4</x:v>
      </x:c>
      <x:c r="I487" s="13" t="n">
        <x:v>15</x:v>
      </x:c>
      <x:c r="J487" t="str">
        <x:v>A</x:v>
      </x:c>
      <x:c r="K487" s="14" t="n">
        <x:v>115.88</x:v>
      </x:c>
      <x:c r="L487" s="14"/>
      <x:c r="M487" s="14"/>
      <x:c r="N487" s="14"/>
      <x:c r="O487" s="14"/>
      <x:c r="P487" s="14" t="n">
        <x:v>13.74</x:v>
      </x:c>
      <x:c r="Q487" s="14" t="n">
        <x:v>129.62</x:v>
      </x:c>
      <x:c r="R487" s="15"/>
      <x:c r="S487" s="15"/>
      <x:c r="T487" s="15"/>
      <x:c r="U487" s="16"/>
      <x:c r="V487" t="str">
        <x:v>JTRE</x:v>
      </x:c>
      <x:c r="W487" t="str">
        <x:v>Ružinov</x:v>
      </x:c>
      <x:c r="X487" s="11" t="str">
        <x:v>Voľný</x:v>
      </x:c>
      <x:c r="Y487" s="11" t="str">
        <x:v>https://d-y.sk/byty/a15.03/</x:v>
      </x:c>
      <x:c r="Z487" s="11" t="n">
        <x:v>46252.68496519676</x:v>
      </x:c>
      <x:c r="AA487" s="11" t="n">
        <x:v>46254.51251577547</x:v>
      </x:c>
      <x:c r="AB487" s="11" t="n">
        <x:v>46254.51251577547</x:v>
      </x:c>
      <x:c r="AC487" t="str">
        <x:v>downtown_yards</x:v>
      </x:c>
    </x:row>
    <x:row r="488" ht="22" customHeight="1">
      <x:c r="A488" t="str">
        <x:v>Downtown Yards</x:v>
      </x:c>
      <x:c r="B488" t="str">
        <x:v>A15.04</x:v>
      </x:c>
      <x:c r="C488" t="str">
        <x:v>available</x:v>
      </x:c>
      <x:c r="D488" t="str">
        <x:v>present</x:v>
      </x:c>
      <x:c r="E488" t="str">
        <x:v>baseline</x:v>
      </x:c>
      <x:c r="F488" s="11" t="n">
        <x:v>46252.68496519676</x:v>
      </x:c>
      <x:c r="G488" t="str">
        <x:v>flat</x:v>
      </x:c>
      <x:c r="H488" s="12" t="n">
        <x:v>4</x:v>
      </x:c>
      <x:c r="I488" s="13" t="n">
        <x:v>15</x:v>
      </x:c>
      <x:c r="J488" t="str">
        <x:v>A</x:v>
      </x:c>
      <x:c r="K488" s="14" t="n">
        <x:v>179.44</x:v>
      </x:c>
      <x:c r="L488" s="14"/>
      <x:c r="M488" s="14"/>
      <x:c r="N488" s="14"/>
      <x:c r="O488" s="14"/>
      <x:c r="P488" s="14" t="n">
        <x:v>18.75</x:v>
      </x:c>
      <x:c r="Q488" s="14" t="n">
        <x:v>198.19</x:v>
      </x:c>
      <x:c r="R488" s="15"/>
      <x:c r="S488" s="15"/>
      <x:c r="T488" s="15"/>
      <x:c r="U488" s="16"/>
      <x:c r="V488" t="str">
        <x:v>JTRE</x:v>
      </x:c>
      <x:c r="W488" t="str">
        <x:v>Ružinov</x:v>
      </x:c>
      <x:c r="X488" s="11" t="str">
        <x:v>Voľný</x:v>
      </x:c>
      <x:c r="Y488" s="11" t="str">
        <x:v>https://d-y.sk/byty/a15.04/</x:v>
      </x:c>
      <x:c r="Z488" s="11" t="n">
        <x:v>46252.68496519676</x:v>
      </x:c>
      <x:c r="AA488" s="11" t="n">
        <x:v>46254.51251577547</x:v>
      </x:c>
      <x:c r="AB488" s="11" t="n">
        <x:v>46254.51251577547</x:v>
      </x:c>
      <x:c r="AC488" t="str">
        <x:v>downtown_yards</x:v>
      </x:c>
    </x:row>
    <x:row r="489" ht="22" customHeight="1">
      <x:c r="A489" t="str">
        <x:v>Downtown Yards</x:v>
      </x:c>
      <x:c r="B489" t="str">
        <x:v>B02.01</x:v>
      </x:c>
      <x:c r="C489" t="str">
        <x:v>sold</x:v>
      </x:c>
      <x:c r="D489" t="str">
        <x:v>present</x:v>
      </x:c>
      <x:c r="E489" t="str">
        <x:v>baseline</x:v>
      </x:c>
      <x:c r="F489" s="11" t="n">
        <x:v>46252.68496519676</x:v>
      </x:c>
      <x:c r="G489" t="str">
        <x:v>apartment</x:v>
      </x:c>
      <x:c r="H489" s="12" t="n">
        <x:v>1</x:v>
      </x:c>
      <x:c r="I489" s="13" t="n">
        <x:v>2</x:v>
      </x:c>
      <x:c r="J489" t="str">
        <x:v>B</x:v>
      </x:c>
      <x:c r="K489" s="14" t="n">
        <x:v>42.32</x:v>
      </x:c>
      <x:c r="L489" s="14"/>
      <x:c r="M489" s="14"/>
      <x:c r="N489" s="14"/>
      <x:c r="O489" s="14"/>
      <x:c r="P489" s="14" t="n">
        <x:v>26.85</x:v>
      </x:c>
      <x:c r="Q489" s="14" t="n">
        <x:v>69.17</x:v>
      </x:c>
      <x:c r="R489" s="15"/>
      <x:c r="S489" s="15"/>
      <x:c r="T489" s="15"/>
      <x:c r="U489" s="16"/>
      <x:c r="V489" t="str">
        <x:v>JTRE</x:v>
      </x:c>
      <x:c r="W489" t="str">
        <x:v>Ružinov</x:v>
      </x:c>
      <x:c r="X489" s="11" t="str">
        <x:v>Predaný</x:v>
      </x:c>
      <x:c r="Y489" s="11" t="str">
        <x:v>https://d-y.sk/byty/b02.01/</x:v>
      </x:c>
      <x:c r="Z489" s="11" t="n">
        <x:v>46252.68496519676</x:v>
      </x:c>
      <x:c r="AA489" s="11" t="n">
        <x:v>46254.51251577547</x:v>
      </x:c>
      <x:c r="AB489" s="11" t="n">
        <x:v>46254.51251577547</x:v>
      </x:c>
      <x:c r="AC489" t="str">
        <x:v>downtown_yards</x:v>
      </x:c>
    </x:row>
    <x:row r="490" ht="22" customHeight="1">
      <x:c r="A490" t="str">
        <x:v>Downtown Yards</x:v>
      </x:c>
      <x:c r="B490" t="str">
        <x:v>B02.02</x:v>
      </x:c>
      <x:c r="C490" t="str">
        <x:v>sold</x:v>
      </x:c>
      <x:c r="D490" t="str">
        <x:v>present</x:v>
      </x:c>
      <x:c r="E490" t="str">
        <x:v>baseline</x:v>
      </x:c>
      <x:c r="F490" s="11" t="n">
        <x:v>46252.68496519676</x:v>
      </x:c>
      <x:c r="G490" t="str">
        <x:v>apartment</x:v>
      </x:c>
      <x:c r="H490" s="12" t="n">
        <x:v>2</x:v>
      </x:c>
      <x:c r="I490" s="13" t="n">
        <x:v>2</x:v>
      </x:c>
      <x:c r="J490" t="str">
        <x:v>B</x:v>
      </x:c>
      <x:c r="K490" s="14" t="n">
        <x:v>58.94</x:v>
      </x:c>
      <x:c r="L490" s="14"/>
      <x:c r="M490" s="14"/>
      <x:c r="N490" s="14"/>
      <x:c r="O490" s="14"/>
      <x:c r="P490" s="14" t="n">
        <x:v>32.82</x:v>
      </x:c>
      <x:c r="Q490" s="14" t="n">
        <x:v>91.76</x:v>
      </x:c>
      <x:c r="R490" s="15"/>
      <x:c r="S490" s="15"/>
      <x:c r="T490" s="15"/>
      <x:c r="U490" s="16"/>
      <x:c r="V490" t="str">
        <x:v>JTRE</x:v>
      </x:c>
      <x:c r="W490" t="str">
        <x:v>Ružinov</x:v>
      </x:c>
      <x:c r="X490" s="11" t="str">
        <x:v>Predaný</x:v>
      </x:c>
      <x:c r="Y490" s="11" t="str">
        <x:v>https://d-y.sk/byty/b02.02/</x:v>
      </x:c>
      <x:c r="Z490" s="11" t="n">
        <x:v>46252.68496519676</x:v>
      </x:c>
      <x:c r="AA490" s="11" t="n">
        <x:v>46254.51251577547</x:v>
      </x:c>
      <x:c r="AB490" s="11" t="n">
        <x:v>46254.51251577547</x:v>
      </x:c>
      <x:c r="AC490" t="str">
        <x:v>downtown_yards</x:v>
      </x:c>
    </x:row>
    <x:row r="491" ht="22" customHeight="1">
      <x:c r="A491" t="str">
        <x:v>Downtown Yards</x:v>
      </x:c>
      <x:c r="B491" t="str">
        <x:v>B02.03</x:v>
      </x:c>
      <x:c r="C491" t="str">
        <x:v>sold</x:v>
      </x:c>
      <x:c r="D491" t="str">
        <x:v>present</x:v>
      </x:c>
      <x:c r="E491" t="str">
        <x:v>baseline</x:v>
      </x:c>
      <x:c r="F491" s="11" t="n">
        <x:v>46252.68496519676</x:v>
      </x:c>
      <x:c r="G491" t="str">
        <x:v>apartment</x:v>
      </x:c>
      <x:c r="H491" s="12" t="n">
        <x:v>1</x:v>
      </x:c>
      <x:c r="I491" s="13" t="n">
        <x:v>2</x:v>
      </x:c>
      <x:c r="J491" t="str">
        <x:v>B</x:v>
      </x:c>
      <x:c r="K491" s="14" t="n">
        <x:v>32.9</x:v>
      </x:c>
      <x:c r="L491" s="14"/>
      <x:c r="M491" s="14"/>
      <x:c r="N491" s="14"/>
      <x:c r="O491" s="14"/>
      <x:c r="P491" s="14" t="n">
        <x:v>4.58</x:v>
      </x:c>
      <x:c r="Q491" s="14" t="n">
        <x:v>37.48</x:v>
      </x:c>
      <x:c r="R491" s="15"/>
      <x:c r="S491" s="15"/>
      <x:c r="T491" s="15"/>
      <x:c r="U491" s="16"/>
      <x:c r="V491" t="str">
        <x:v>JTRE</x:v>
      </x:c>
      <x:c r="W491" t="str">
        <x:v>Ružinov</x:v>
      </x:c>
      <x:c r="X491" s="11" t="str">
        <x:v>Predaný</x:v>
      </x:c>
      <x:c r="Y491" s="11" t="str">
        <x:v>https://d-y.sk/byty/b02.03/</x:v>
      </x:c>
      <x:c r="Z491" s="11" t="n">
        <x:v>46252.68496519676</x:v>
      </x:c>
      <x:c r="AA491" s="11" t="n">
        <x:v>46254.51251577547</x:v>
      </x:c>
      <x:c r="AB491" s="11" t="n">
        <x:v>46254.51251577547</x:v>
      </x:c>
      <x:c r="AC491" t="str">
        <x:v>downtown_yards</x:v>
      </x:c>
    </x:row>
    <x:row r="492" ht="22" customHeight="1">
      <x:c r="A492" t="str">
        <x:v>Downtown Yards</x:v>
      </x:c>
      <x:c r="B492" t="str">
        <x:v>B02.04</x:v>
      </x:c>
      <x:c r="C492" t="str">
        <x:v>sold</x:v>
      </x:c>
      <x:c r="D492" t="str">
        <x:v>present</x:v>
      </x:c>
      <x:c r="E492" t="str">
        <x:v>baseline</x:v>
      </x:c>
      <x:c r="F492" s="11" t="n">
        <x:v>46252.68496519676</x:v>
      </x:c>
      <x:c r="G492" t="str">
        <x:v>apartment</x:v>
      </x:c>
      <x:c r="H492" s="12" t="n">
        <x:v>2</x:v>
      </x:c>
      <x:c r="I492" s="13" t="n">
        <x:v>2</x:v>
      </x:c>
      <x:c r="J492" t="str">
        <x:v>B</x:v>
      </x:c>
      <x:c r="K492" s="14" t="n">
        <x:v>49.39</x:v>
      </x:c>
      <x:c r="L492" s="14"/>
      <x:c r="M492" s="14"/>
      <x:c r="N492" s="14"/>
      <x:c r="O492" s="14"/>
      <x:c r="P492" s="14" t="n">
        <x:v>6.15</x:v>
      </x:c>
      <x:c r="Q492" s="14" t="n">
        <x:v>55.54</x:v>
      </x:c>
      <x:c r="R492" s="15"/>
      <x:c r="S492" s="15"/>
      <x:c r="T492" s="15"/>
      <x:c r="U492" s="16"/>
      <x:c r="V492" t="str">
        <x:v>JTRE</x:v>
      </x:c>
      <x:c r="W492" t="str">
        <x:v>Ružinov</x:v>
      </x:c>
      <x:c r="X492" s="11" t="str">
        <x:v>Predaný</x:v>
      </x:c>
      <x:c r="Y492" s="11" t="str">
        <x:v>https://d-y.sk/byty/b02.04/</x:v>
      </x:c>
      <x:c r="Z492" s="11" t="n">
        <x:v>46252.68496519676</x:v>
      </x:c>
      <x:c r="AA492" s="11" t="n">
        <x:v>46254.51251577547</x:v>
      </x:c>
      <x:c r="AB492" s="11" t="n">
        <x:v>46254.51251577547</x:v>
      </x:c>
      <x:c r="AC492" t="str">
        <x:v>downtown_yards</x:v>
      </x:c>
    </x:row>
    <x:row r="493" ht="22" customHeight="1">
      <x:c r="A493" t="str">
        <x:v>Downtown Yards</x:v>
      </x:c>
      <x:c r="B493" t="str">
        <x:v>B02.05</x:v>
      </x:c>
      <x:c r="C493" t="str">
        <x:v>sold</x:v>
      </x:c>
      <x:c r="D493" t="str">
        <x:v>present</x:v>
      </x:c>
      <x:c r="E493" t="str">
        <x:v>baseline</x:v>
      </x:c>
      <x:c r="F493" s="11" t="n">
        <x:v>46252.68496519676</x:v>
      </x:c>
      <x:c r="G493" t="str">
        <x:v>apartment</x:v>
      </x:c>
      <x:c r="H493" s="12" t="n">
        <x:v>2</x:v>
      </x:c>
      <x:c r="I493" s="13" t="n">
        <x:v>2</x:v>
      </x:c>
      <x:c r="J493" t="str">
        <x:v>B</x:v>
      </x:c>
      <x:c r="K493" s="14" t="n">
        <x:v>51.03</x:v>
      </x:c>
      <x:c r="L493" s="14"/>
      <x:c r="M493" s="14"/>
      <x:c r="N493" s="14"/>
      <x:c r="O493" s="14"/>
      <x:c r="P493" s="14" t="n">
        <x:v>6.15</x:v>
      </x:c>
      <x:c r="Q493" s="14" t="n">
        <x:v>57.18</x:v>
      </x:c>
      <x:c r="R493" s="15"/>
      <x:c r="S493" s="15"/>
      <x:c r="T493" s="15"/>
      <x:c r="U493" s="16"/>
      <x:c r="V493" t="str">
        <x:v>JTRE</x:v>
      </x:c>
      <x:c r="W493" t="str">
        <x:v>Ružinov</x:v>
      </x:c>
      <x:c r="X493" s="11" t="str">
        <x:v>Predaný</x:v>
      </x:c>
      <x:c r="Y493" s="11" t="str">
        <x:v>https://d-y.sk/byty/b02.05/</x:v>
      </x:c>
      <x:c r="Z493" s="11" t="n">
        <x:v>46252.68496519676</x:v>
      </x:c>
      <x:c r="AA493" s="11" t="n">
        <x:v>46254.51251577547</x:v>
      </x:c>
      <x:c r="AB493" s="11" t="n">
        <x:v>46254.51251577547</x:v>
      </x:c>
      <x:c r="AC493" t="str">
        <x:v>downtown_yards</x:v>
      </x:c>
    </x:row>
    <x:row r="494" ht="22" customHeight="1">
      <x:c r="A494" t="str">
        <x:v>Downtown Yards</x:v>
      </x:c>
      <x:c r="B494" t="str">
        <x:v>B03.01</x:v>
      </x:c>
      <x:c r="C494" t="str">
        <x:v>sold</x:v>
      </x:c>
      <x:c r="D494" t="str">
        <x:v>present</x:v>
      </x:c>
      <x:c r="E494" t="str">
        <x:v>baseline</x:v>
      </x:c>
      <x:c r="F494" s="11" t="n">
        <x:v>46252.68496519676</x:v>
      </x:c>
      <x:c r="G494" t="str">
        <x:v>apartment</x:v>
      </x:c>
      <x:c r="H494" s="12" t="n">
        <x:v>1</x:v>
      </x:c>
      <x:c r="I494" s="13" t="n">
        <x:v>3</x:v>
      </x:c>
      <x:c r="J494" t="str">
        <x:v>B</x:v>
      </x:c>
      <x:c r="K494" s="14" t="n">
        <x:v>42.75</x:v>
      </x:c>
      <x:c r="L494" s="14"/>
      <x:c r="M494" s="14"/>
      <x:c r="N494" s="14"/>
      <x:c r="O494" s="14"/>
      <x:c r="P494" s="14" t="n">
        <x:v>5.13</x:v>
      </x:c>
      <x:c r="Q494" s="14" t="n">
        <x:v>47.88</x:v>
      </x:c>
      <x:c r="R494" s="15"/>
      <x:c r="S494" s="15"/>
      <x:c r="T494" s="15"/>
      <x:c r="U494" s="16"/>
      <x:c r="V494" t="str">
        <x:v>JTRE</x:v>
      </x:c>
      <x:c r="W494" t="str">
        <x:v>Ružinov</x:v>
      </x:c>
      <x:c r="X494" s="11" t="str">
        <x:v>Predaný</x:v>
      </x:c>
      <x:c r="Y494" s="11" t="str">
        <x:v>https://d-y.sk/byty/b03.01/</x:v>
      </x:c>
      <x:c r="Z494" s="11" t="n">
        <x:v>46252.68496519676</x:v>
      </x:c>
      <x:c r="AA494" s="11" t="n">
        <x:v>46254.51251577547</x:v>
      </x:c>
      <x:c r="AB494" s="11" t="n">
        <x:v>46254.51251577547</x:v>
      </x:c>
      <x:c r="AC494" t="str">
        <x:v>downtown_yards</x:v>
      </x:c>
    </x:row>
    <x:row r="495" ht="22" customHeight="1">
      <x:c r="A495" t="str">
        <x:v>Downtown Yards</x:v>
      </x:c>
      <x:c r="B495" t="str">
        <x:v>B03.02</x:v>
      </x:c>
      <x:c r="C495" t="str">
        <x:v>sold</x:v>
      </x:c>
      <x:c r="D495" t="str">
        <x:v>present</x:v>
      </x:c>
      <x:c r="E495" t="str">
        <x:v>baseline</x:v>
      </x:c>
      <x:c r="F495" s="11" t="n">
        <x:v>46252.68496519676</x:v>
      </x:c>
      <x:c r="G495" t="str">
        <x:v>apartment</x:v>
      </x:c>
      <x:c r="H495" s="12" t="n">
        <x:v>2</x:v>
      </x:c>
      <x:c r="I495" s="13" t="n">
        <x:v>3</x:v>
      </x:c>
      <x:c r="J495" t="str">
        <x:v>B</x:v>
      </x:c>
      <x:c r="K495" s="14" t="n">
        <x:v>58.94</x:v>
      </x:c>
      <x:c r="L495" s="14"/>
      <x:c r="M495" s="14"/>
      <x:c r="N495" s="14"/>
      <x:c r="O495" s="14"/>
      <x:c r="P495" s="14" t="n">
        <x:v>4.48</x:v>
      </x:c>
      <x:c r="Q495" s="14" t="n">
        <x:v>63.42</x:v>
      </x:c>
      <x:c r="R495" s="15"/>
      <x:c r="S495" s="15"/>
      <x:c r="T495" s="15"/>
      <x:c r="U495" s="16"/>
      <x:c r="V495" t="str">
        <x:v>JTRE</x:v>
      </x:c>
      <x:c r="W495" t="str">
        <x:v>Ružinov</x:v>
      </x:c>
      <x:c r="X495" s="11" t="str">
        <x:v>Predaný</x:v>
      </x:c>
      <x:c r="Y495" s="11" t="str">
        <x:v>https://d-y.sk/byty/b03.02/</x:v>
      </x:c>
      <x:c r="Z495" s="11" t="n">
        <x:v>46252.68496519676</x:v>
      </x:c>
      <x:c r="AA495" s="11" t="n">
        <x:v>46254.51251577547</x:v>
      </x:c>
      <x:c r="AB495" s="11" t="n">
        <x:v>46254.51251577547</x:v>
      </x:c>
      <x:c r="AC495" t="str">
        <x:v>downtown_yards</x:v>
      </x:c>
    </x:row>
    <x:row r="496" ht="22" customHeight="1">
      <x:c r="A496" t="str">
        <x:v>Downtown Yards</x:v>
      </x:c>
      <x:c r="B496" t="str">
        <x:v>B03.03</x:v>
      </x:c>
      <x:c r="C496" t="str">
        <x:v>sold</x:v>
      </x:c>
      <x:c r="D496" t="str">
        <x:v>present</x:v>
      </x:c>
      <x:c r="E496" t="str">
        <x:v>baseline</x:v>
      </x:c>
      <x:c r="F496" s="11" t="n">
        <x:v>46252.68496519676</x:v>
      </x:c>
      <x:c r="G496" t="str">
        <x:v>apartment</x:v>
      </x:c>
      <x:c r="H496" s="12" t="n">
        <x:v>1</x:v>
      </x:c>
      <x:c r="I496" s="13" t="n">
        <x:v>3</x:v>
      </x:c>
      <x:c r="J496" t="str">
        <x:v>B</x:v>
      </x:c>
      <x:c r="K496" s="14" t="n">
        <x:v>32.9</x:v>
      </x:c>
      <x:c r="L496" s="14"/>
      <x:c r="M496" s="14"/>
      <x:c r="N496" s="14"/>
      <x:c r="O496" s="14"/>
      <x:c r="P496" s="14" t="n">
        <x:v>4.58</x:v>
      </x:c>
      <x:c r="Q496" s="14" t="n">
        <x:v>37.48</x:v>
      </x:c>
      <x:c r="R496" s="15"/>
      <x:c r="S496" s="15"/>
      <x:c r="T496" s="15"/>
      <x:c r="U496" s="16"/>
      <x:c r="V496" t="str">
        <x:v>JTRE</x:v>
      </x:c>
      <x:c r="W496" t="str">
        <x:v>Ružinov</x:v>
      </x:c>
      <x:c r="X496" s="11" t="str">
        <x:v>Predaný</x:v>
      </x:c>
      <x:c r="Y496" s="11" t="str">
        <x:v>https://d-y.sk/byty/b03.03/</x:v>
      </x:c>
      <x:c r="Z496" s="11" t="n">
        <x:v>46252.68496519676</x:v>
      </x:c>
      <x:c r="AA496" s="11" t="n">
        <x:v>46254.51251577547</x:v>
      </x:c>
      <x:c r="AB496" s="11" t="n">
        <x:v>46254.51251577547</x:v>
      </x:c>
      <x:c r="AC496" t="str">
        <x:v>downtown_yards</x:v>
      </x:c>
    </x:row>
    <x:row r="497" ht="22" customHeight="1">
      <x:c r="A497" t="str">
        <x:v>Downtown Yards</x:v>
      </x:c>
      <x:c r="B497" t="str">
        <x:v>B03.04</x:v>
      </x:c>
      <x:c r="C497" t="str">
        <x:v>sold</x:v>
      </x:c>
      <x:c r="D497" t="str">
        <x:v>present</x:v>
      </x:c>
      <x:c r="E497" t="str">
        <x:v>baseline</x:v>
      </x:c>
      <x:c r="F497" s="11" t="n">
        <x:v>46252.68496519676</x:v>
      </x:c>
      <x:c r="G497" t="str">
        <x:v>apartment</x:v>
      </x:c>
      <x:c r="H497" s="12" t="n">
        <x:v>2</x:v>
      </x:c>
      <x:c r="I497" s="13" t="n">
        <x:v>3</x:v>
      </x:c>
      <x:c r="J497" t="str">
        <x:v>B</x:v>
      </x:c>
      <x:c r="K497" s="14" t="n">
        <x:v>49.39</x:v>
      </x:c>
      <x:c r="L497" s="14"/>
      <x:c r="M497" s="14"/>
      <x:c r="N497" s="14"/>
      <x:c r="O497" s="14"/>
      <x:c r="P497" s="14" t="n">
        <x:v>6.15</x:v>
      </x:c>
      <x:c r="Q497" s="14" t="n">
        <x:v>55.54</x:v>
      </x:c>
      <x:c r="R497" s="15"/>
      <x:c r="S497" s="15"/>
      <x:c r="T497" s="15"/>
      <x:c r="U497" s="16"/>
      <x:c r="V497" t="str">
        <x:v>JTRE</x:v>
      </x:c>
      <x:c r="W497" t="str">
        <x:v>Ružinov</x:v>
      </x:c>
      <x:c r="X497" s="11" t="str">
        <x:v>Predaný</x:v>
      </x:c>
      <x:c r="Y497" s="11" t="str">
        <x:v>https://d-y.sk/byty/b03.04/</x:v>
      </x:c>
      <x:c r="Z497" s="11" t="n">
        <x:v>46252.68496519676</x:v>
      </x:c>
      <x:c r="AA497" s="11" t="n">
        <x:v>46254.51251577547</x:v>
      </x:c>
      <x:c r="AB497" s="11" t="n">
        <x:v>46254.51251577547</x:v>
      </x:c>
      <x:c r="AC497" t="str">
        <x:v>downtown_yards</x:v>
      </x:c>
    </x:row>
    <x:row r="498" ht="22" customHeight="1">
      <x:c r="A498" t="str">
        <x:v>Downtown Yards</x:v>
      </x:c>
      <x:c r="B498" t="str">
        <x:v>B03.05</x:v>
      </x:c>
      <x:c r="C498" t="str">
        <x:v>sold</x:v>
      </x:c>
      <x:c r="D498" t="str">
        <x:v>present</x:v>
      </x:c>
      <x:c r="E498" t="str">
        <x:v>baseline</x:v>
      </x:c>
      <x:c r="F498" s="11" t="n">
        <x:v>46252.68496519676</x:v>
      </x:c>
      <x:c r="G498" t="str">
        <x:v>apartment</x:v>
      </x:c>
      <x:c r="H498" s="12" t="n">
        <x:v>2</x:v>
      </x:c>
      <x:c r="I498" s="13" t="n">
        <x:v>3</x:v>
      </x:c>
      <x:c r="J498" t="str">
        <x:v>B</x:v>
      </x:c>
      <x:c r="K498" s="14" t="n">
        <x:v>51.4</x:v>
      </x:c>
      <x:c r="L498" s="14"/>
      <x:c r="M498" s="14"/>
      <x:c r="N498" s="14"/>
      <x:c r="O498" s="14"/>
      <x:c r="P498" s="14" t="n">
        <x:v>6.15</x:v>
      </x:c>
      <x:c r="Q498" s="14" t="n">
        <x:v>57.55</x:v>
      </x:c>
      <x:c r="R498" s="15"/>
      <x:c r="S498" s="15"/>
      <x:c r="T498" s="15"/>
      <x:c r="U498" s="16"/>
      <x:c r="V498" t="str">
        <x:v>JTRE</x:v>
      </x:c>
      <x:c r="W498" t="str">
        <x:v>Ružinov</x:v>
      </x:c>
      <x:c r="X498" s="11" t="str">
        <x:v>Predaný</x:v>
      </x:c>
      <x:c r="Y498" s="11" t="str">
        <x:v>https://d-y.sk/byty/b03.05/</x:v>
      </x:c>
      <x:c r="Z498" s="11" t="n">
        <x:v>46252.68496519676</x:v>
      </x:c>
      <x:c r="AA498" s="11" t="n">
        <x:v>46254.51251577547</x:v>
      </x:c>
      <x:c r="AB498" s="11" t="n">
        <x:v>46254.51251577547</x:v>
      </x:c>
      <x:c r="AC498" t="str">
        <x:v>downtown_yards</x:v>
      </x:c>
    </x:row>
    <x:row r="499" ht="22" customHeight="1">
      <x:c r="A499" t="str">
        <x:v>Downtown Yards</x:v>
      </x:c>
      <x:c r="B499" t="str">
        <x:v>B04.01</x:v>
      </x:c>
      <x:c r="C499" t="str">
        <x:v>sold</x:v>
      </x:c>
      <x:c r="D499" t="str">
        <x:v>present</x:v>
      </x:c>
      <x:c r="E499" t="str">
        <x:v>baseline</x:v>
      </x:c>
      <x:c r="F499" s="11" t="n">
        <x:v>46252.68496519676</x:v>
      </x:c>
      <x:c r="G499" t="str">
        <x:v>apartment</x:v>
      </x:c>
      <x:c r="H499" s="12" t="n">
        <x:v>1</x:v>
      </x:c>
      <x:c r="I499" s="13" t="n">
        <x:v>4</x:v>
      </x:c>
      <x:c r="J499" t="str">
        <x:v>B</x:v>
      </x:c>
      <x:c r="K499" s="14" t="n">
        <x:v>42.75</x:v>
      </x:c>
      <x:c r="L499" s="14"/>
      <x:c r="M499" s="14"/>
      <x:c r="N499" s="14"/>
      <x:c r="O499" s="14"/>
      <x:c r="P499" s="14" t="n">
        <x:v>5.13</x:v>
      </x:c>
      <x:c r="Q499" s="14" t="n">
        <x:v>47.88</x:v>
      </x:c>
      <x:c r="R499" s="15"/>
      <x:c r="S499" s="15"/>
      <x:c r="T499" s="15"/>
      <x:c r="U499" s="16"/>
      <x:c r="V499" t="str">
        <x:v>JTRE</x:v>
      </x:c>
      <x:c r="W499" t="str">
        <x:v>Ružinov</x:v>
      </x:c>
      <x:c r="X499" s="11" t="str">
        <x:v>Predaný</x:v>
      </x:c>
      <x:c r="Y499" s="11" t="str">
        <x:v>https://d-y.sk/byty/b04.01/</x:v>
      </x:c>
      <x:c r="Z499" s="11" t="n">
        <x:v>46252.68496519676</x:v>
      </x:c>
      <x:c r="AA499" s="11" t="n">
        <x:v>46254.51251577547</x:v>
      </x:c>
      <x:c r="AB499" s="11" t="n">
        <x:v>46254.51251577547</x:v>
      </x:c>
      <x:c r="AC499" t="str">
        <x:v>downtown_yards</x:v>
      </x:c>
    </x:row>
    <x:row r="500" ht="22" customHeight="1">
      <x:c r="A500" t="str">
        <x:v>Downtown Yards</x:v>
      </x:c>
      <x:c r="B500" t="str">
        <x:v>B04.02</x:v>
      </x:c>
      <x:c r="C500" t="str">
        <x:v>sold</x:v>
      </x:c>
      <x:c r="D500" t="str">
        <x:v>present</x:v>
      </x:c>
      <x:c r="E500" t="str">
        <x:v>baseline</x:v>
      </x:c>
      <x:c r="F500" s="11" t="n">
        <x:v>46252.68496519676</x:v>
      </x:c>
      <x:c r="G500" t="str">
        <x:v>apartment</x:v>
      </x:c>
      <x:c r="H500" s="12" t="n">
        <x:v>2</x:v>
      </x:c>
      <x:c r="I500" s="13" t="n">
        <x:v>4</x:v>
      </x:c>
      <x:c r="J500" t="str">
        <x:v>B</x:v>
      </x:c>
      <x:c r="K500" s="14" t="n">
        <x:v>58.94</x:v>
      </x:c>
      <x:c r="L500" s="14"/>
      <x:c r="M500" s="14"/>
      <x:c r="N500" s="14"/>
      <x:c r="O500" s="14"/>
      <x:c r="P500" s="14" t="n">
        <x:v>4.48</x:v>
      </x:c>
      <x:c r="Q500" s="14" t="n">
        <x:v>63.42</x:v>
      </x:c>
      <x:c r="R500" s="15"/>
      <x:c r="S500" s="15"/>
      <x:c r="T500" s="15"/>
      <x:c r="U500" s="16"/>
      <x:c r="V500" t="str">
        <x:v>JTRE</x:v>
      </x:c>
      <x:c r="W500" t="str">
        <x:v>Ružinov</x:v>
      </x:c>
      <x:c r="X500" s="11" t="str">
        <x:v>Predaný</x:v>
      </x:c>
      <x:c r="Y500" s="11" t="str">
        <x:v>https://d-y.sk/byty/b04.02/</x:v>
      </x:c>
      <x:c r="Z500" s="11" t="n">
        <x:v>46252.68496519676</x:v>
      </x:c>
      <x:c r="AA500" s="11" t="n">
        <x:v>46254.51251577547</x:v>
      </x:c>
      <x:c r="AB500" s="11" t="n">
        <x:v>46254.51251577547</x:v>
      </x:c>
      <x:c r="AC500" t="str">
        <x:v>downtown_yards</x:v>
      </x:c>
    </x:row>
    <x:row r="501" ht="22" customHeight="1">
      <x:c r="A501" t="str">
        <x:v>Downtown Yards</x:v>
      </x:c>
      <x:c r="B501" t="str">
        <x:v>B04.03</x:v>
      </x:c>
      <x:c r="C501" t="str">
        <x:v>available</x:v>
      </x:c>
      <x:c r="D501" t="str">
        <x:v>present</x:v>
      </x:c>
      <x:c r="E501" t="str">
        <x:v>baseline</x:v>
      </x:c>
      <x:c r="F501" s="11" t="n">
        <x:v>46252.68496519676</x:v>
      </x:c>
      <x:c r="G501" t="str">
        <x:v>apartment</x:v>
      </x:c>
      <x:c r="H501" s="12" t="n">
        <x:v>1</x:v>
      </x:c>
      <x:c r="I501" s="13" t="n">
        <x:v>4</x:v>
      </x:c>
      <x:c r="J501" t="str">
        <x:v>B</x:v>
      </x:c>
      <x:c r="K501" s="14" t="n">
        <x:v>33.49</x:v>
      </x:c>
      <x:c r="L501" s="14"/>
      <x:c r="M501" s="14"/>
      <x:c r="N501" s="14"/>
      <x:c r="O501" s="14"/>
      <x:c r="P501" s="14" t="n">
        <x:v>4.58</x:v>
      </x:c>
      <x:c r="Q501" s="14" t="n">
        <x:v>38.07</x:v>
      </x:c>
      <x:c r="R501" s="15" t="n">
        <x:v>249936</x:v>
      </x:c>
      <x:c r="S501" s="15" t="n">
        <x:v>284745</x:v>
      </x:c>
      <x:c r="T501" s="15" t="n">
        <x:v>249936</x:v>
      </x:c>
      <x:c r="U501" s="16" t="n">
        <x:v>7463</x:v>
      </x:c>
      <x:c r="V501" t="str">
        <x:v>JTRE</x:v>
      </x:c>
      <x:c r="W501" t="str">
        <x:v>Ružinov</x:v>
      </x:c>
      <x:c r="X501" s="11" t="str">
        <x:v>Voľný</x:v>
      </x:c>
      <x:c r="Y501" s="11" t="str">
        <x:v>https://d-y.sk/byty/b04.03/</x:v>
      </x:c>
      <x:c r="Z501" s="11" t="n">
        <x:v>46252.68496519676</x:v>
      </x:c>
      <x:c r="AA501" s="11" t="n">
        <x:v>46254.51251577547</x:v>
      </x:c>
      <x:c r="AB501" s="11" t="n">
        <x:v>46254.51251577547</x:v>
      </x:c>
      <x:c r="AC501" t="str">
        <x:v>downtown_yards</x:v>
      </x:c>
    </x:row>
    <x:row r="502" ht="22" customHeight="1">
      <x:c r="A502" t="str">
        <x:v>Downtown Yards</x:v>
      </x:c>
      <x:c r="B502" t="str">
        <x:v>B04.04</x:v>
      </x:c>
      <x:c r="C502" t="str">
        <x:v>sold</x:v>
      </x:c>
      <x:c r="D502" t="str">
        <x:v>present</x:v>
      </x:c>
      <x:c r="E502" t="str">
        <x:v>baseline</x:v>
      </x:c>
      <x:c r="F502" s="11" t="n">
        <x:v>46252.68496519676</x:v>
      </x:c>
      <x:c r="G502" t="str">
        <x:v>apartment</x:v>
      </x:c>
      <x:c r="H502" s="12" t="n">
        <x:v>2</x:v>
      </x:c>
      <x:c r="I502" s="13" t="n">
        <x:v>4</x:v>
      </x:c>
      <x:c r="J502" t="str">
        <x:v>B</x:v>
      </x:c>
      <x:c r="K502" s="14" t="n">
        <x:v>50.14</x:v>
      </x:c>
      <x:c r="L502" s="14"/>
      <x:c r="M502" s="14"/>
      <x:c r="N502" s="14"/>
      <x:c r="O502" s="14"/>
      <x:c r="P502" s="14" t="n">
        <x:v>6.15</x:v>
      </x:c>
      <x:c r="Q502" s="14" t="n">
        <x:v>56.29</x:v>
      </x:c>
      <x:c r="R502" s="15"/>
      <x:c r="S502" s="15"/>
      <x:c r="T502" s="15"/>
      <x:c r="U502" s="16"/>
      <x:c r="V502" t="str">
        <x:v>JTRE</x:v>
      </x:c>
      <x:c r="W502" t="str">
        <x:v>Ružinov</x:v>
      </x:c>
      <x:c r="X502" s="11" t="str">
        <x:v>Predaný</x:v>
      </x:c>
      <x:c r="Y502" s="11" t="str">
        <x:v>https://d-y.sk/byty/b04.04/</x:v>
      </x:c>
      <x:c r="Z502" s="11" t="n">
        <x:v>46252.68496519676</x:v>
      </x:c>
      <x:c r="AA502" s="11" t="n">
        <x:v>46254.51251577547</x:v>
      </x:c>
      <x:c r="AB502" s="11" t="n">
        <x:v>46254.51251577547</x:v>
      </x:c>
      <x:c r="AC502" t="str">
        <x:v>downtown_yards</x:v>
      </x:c>
    </x:row>
    <x:row r="503" ht="22" customHeight="1">
      <x:c r="A503" t="str">
        <x:v>Downtown Yards</x:v>
      </x:c>
      <x:c r="B503" t="str">
        <x:v>B04.05</x:v>
      </x:c>
      <x:c r="C503" t="str">
        <x:v>sold</x:v>
      </x:c>
      <x:c r="D503" t="str">
        <x:v>present</x:v>
      </x:c>
      <x:c r="E503" t="str">
        <x:v>baseline</x:v>
      </x:c>
      <x:c r="F503" s="11" t="n">
        <x:v>46252.68496519676</x:v>
      </x:c>
      <x:c r="G503" t="str">
        <x:v>apartment</x:v>
      </x:c>
      <x:c r="H503" s="12" t="n">
        <x:v>2</x:v>
      </x:c>
      <x:c r="I503" s="13" t="n">
        <x:v>4</x:v>
      </x:c>
      <x:c r="J503" t="str">
        <x:v>B</x:v>
      </x:c>
      <x:c r="K503" s="14" t="n">
        <x:v>52.11</x:v>
      </x:c>
      <x:c r="L503" s="14"/>
      <x:c r="M503" s="14"/>
      <x:c r="N503" s="14"/>
      <x:c r="O503" s="14"/>
      <x:c r="P503" s="14" t="n">
        <x:v>6.15</x:v>
      </x:c>
      <x:c r="Q503" s="14" t="n">
        <x:v>58.26</x:v>
      </x:c>
      <x:c r="R503" s="15"/>
      <x:c r="S503" s="15"/>
      <x:c r="T503" s="15"/>
      <x:c r="U503" s="16"/>
      <x:c r="V503" t="str">
        <x:v>JTRE</x:v>
      </x:c>
      <x:c r="W503" t="str">
        <x:v>Ružinov</x:v>
      </x:c>
      <x:c r="X503" s="11" t="str">
        <x:v>Predaný</x:v>
      </x:c>
      <x:c r="Y503" s="11" t="str">
        <x:v>https://d-y.sk/byty/b04.05/</x:v>
      </x:c>
      <x:c r="Z503" s="11" t="n">
        <x:v>46252.68496519676</x:v>
      </x:c>
      <x:c r="AA503" s="11" t="n">
        <x:v>46254.51251577547</x:v>
      </x:c>
      <x:c r="AB503" s="11" t="n">
        <x:v>46254.51251577547</x:v>
      </x:c>
      <x:c r="AC503" t="str">
        <x:v>downtown_yards</x:v>
      </x:c>
    </x:row>
    <x:row r="504" ht="22" customHeight="1">
      <x:c r="A504" t="str">
        <x:v>Downtown Yards</x:v>
      </x:c>
      <x:c r="B504" t="str">
        <x:v>B05.01</x:v>
      </x:c>
      <x:c r="C504" t="str">
        <x:v>sold</x:v>
      </x:c>
      <x:c r="D504" t="str">
        <x:v>present</x:v>
      </x:c>
      <x:c r="E504" t="str">
        <x:v>baseline</x:v>
      </x:c>
      <x:c r="F504" s="11" t="n">
        <x:v>46252.68496519676</x:v>
      </x:c>
      <x:c r="G504" t="str">
        <x:v>apartment</x:v>
      </x:c>
      <x:c r="H504" s="12" t="n">
        <x:v>1</x:v>
      </x:c>
      <x:c r="I504" s="13" t="n">
        <x:v>5</x:v>
      </x:c>
      <x:c r="J504" t="str">
        <x:v>B</x:v>
      </x:c>
      <x:c r="K504" s="14" t="n">
        <x:v>42.75</x:v>
      </x:c>
      <x:c r="L504" s="14"/>
      <x:c r="M504" s="14"/>
      <x:c r="N504" s="14"/>
      <x:c r="O504" s="14"/>
      <x:c r="P504" s="14" t="n">
        <x:v>5.13</x:v>
      </x:c>
      <x:c r="Q504" s="14" t="n">
        <x:v>47.88</x:v>
      </x:c>
      <x:c r="R504" s="15"/>
      <x:c r="S504" s="15"/>
      <x:c r="T504" s="15"/>
      <x:c r="U504" s="16"/>
      <x:c r="V504" t="str">
        <x:v>JTRE</x:v>
      </x:c>
      <x:c r="W504" t="str">
        <x:v>Ružinov</x:v>
      </x:c>
      <x:c r="X504" s="11" t="str">
        <x:v>Predaný</x:v>
      </x:c>
      <x:c r="Y504" s="11" t="str">
        <x:v>https://d-y.sk/byty/b05.01/</x:v>
      </x:c>
      <x:c r="Z504" s="11" t="n">
        <x:v>46252.68496519676</x:v>
      </x:c>
      <x:c r="AA504" s="11" t="n">
        <x:v>46254.51251577547</x:v>
      </x:c>
      <x:c r="AB504" s="11" t="n">
        <x:v>46254.51251577547</x:v>
      </x:c>
      <x:c r="AC504" t="str">
        <x:v>downtown_yards</x:v>
      </x:c>
    </x:row>
    <x:row r="505" ht="22" customHeight="1">
      <x:c r="A505" t="str">
        <x:v>Downtown Yards</x:v>
      </x:c>
      <x:c r="B505" t="str">
        <x:v>B05.02</x:v>
      </x:c>
      <x:c r="C505" t="str">
        <x:v>sold</x:v>
      </x:c>
      <x:c r="D505" t="str">
        <x:v>present</x:v>
      </x:c>
      <x:c r="E505" t="str">
        <x:v>baseline</x:v>
      </x:c>
      <x:c r="F505" s="11" t="n">
        <x:v>46252.68496519676</x:v>
      </x:c>
      <x:c r="G505" t="str">
        <x:v>apartment</x:v>
      </x:c>
      <x:c r="H505" s="12" t="n">
        <x:v>2</x:v>
      </x:c>
      <x:c r="I505" s="13" t="n">
        <x:v>5</x:v>
      </x:c>
      <x:c r="J505" t="str">
        <x:v>B</x:v>
      </x:c>
      <x:c r="K505" s="14" t="n">
        <x:v>58.94</x:v>
      </x:c>
      <x:c r="L505" s="14"/>
      <x:c r="M505" s="14"/>
      <x:c r="N505" s="14"/>
      <x:c r="O505" s="14"/>
      <x:c r="P505" s="14" t="n">
        <x:v>4.48</x:v>
      </x:c>
      <x:c r="Q505" s="14" t="n">
        <x:v>63.42</x:v>
      </x:c>
      <x:c r="R505" s="15"/>
      <x:c r="S505" s="15"/>
      <x:c r="T505" s="15"/>
      <x:c r="U505" s="16"/>
      <x:c r="V505" t="str">
        <x:v>JTRE</x:v>
      </x:c>
      <x:c r="W505" t="str">
        <x:v>Ružinov</x:v>
      </x:c>
      <x:c r="X505" s="11" t="str">
        <x:v>Predaný</x:v>
      </x:c>
      <x:c r="Y505" s="11" t="str">
        <x:v>https://d-y.sk/byty/b05.02/</x:v>
      </x:c>
      <x:c r="Z505" s="11" t="n">
        <x:v>46252.68496519676</x:v>
      </x:c>
      <x:c r="AA505" s="11" t="n">
        <x:v>46254.51251577547</x:v>
      </x:c>
      <x:c r="AB505" s="11" t="n">
        <x:v>46254.51251577547</x:v>
      </x:c>
      <x:c r="AC505" t="str">
        <x:v>downtown_yards</x:v>
      </x:c>
    </x:row>
    <x:row r="506" ht="22" customHeight="1">
      <x:c r="A506" t="str">
        <x:v>Downtown Yards</x:v>
      </x:c>
      <x:c r="B506" t="str">
        <x:v>B05.03</x:v>
      </x:c>
      <x:c r="C506" t="str">
        <x:v>available</x:v>
      </x:c>
      <x:c r="D506" t="str">
        <x:v>present</x:v>
      </x:c>
      <x:c r="E506" t="str">
        <x:v>baseline</x:v>
      </x:c>
      <x:c r="F506" s="11" t="n">
        <x:v>46252.68496519676</x:v>
      </x:c>
      <x:c r="G506" t="str">
        <x:v>apartment</x:v>
      </x:c>
      <x:c r="H506" s="12" t="n">
        <x:v>1</x:v>
      </x:c>
      <x:c r="I506" s="13" t="n">
        <x:v>5</x:v>
      </x:c>
      <x:c r="J506" t="str">
        <x:v>B</x:v>
      </x:c>
      <x:c r="K506" s="14" t="n">
        <x:v>33.49</x:v>
      </x:c>
      <x:c r="L506" s="14"/>
      <x:c r="M506" s="14"/>
      <x:c r="N506" s="14"/>
      <x:c r="O506" s="14"/>
      <x:c r="P506" s="14" t="n">
        <x:v>4.58</x:v>
      </x:c>
      <x:c r="Q506" s="14" t="n">
        <x:v>38.07</x:v>
      </x:c>
      <x:c r="R506" s="15" t="n">
        <x:v>252888</x:v>
      </x:c>
      <x:c r="S506" s="15" t="n">
        <x:v>288066</x:v>
      </x:c>
      <x:c r="T506" s="15" t="n">
        <x:v>252888</x:v>
      </x:c>
      <x:c r="U506" s="16" t="n">
        <x:v>7551.15</x:v>
      </x:c>
      <x:c r="V506" t="str">
        <x:v>JTRE</x:v>
      </x:c>
      <x:c r="W506" t="str">
        <x:v>Ružinov</x:v>
      </x:c>
      <x:c r="X506" s="11" t="str">
        <x:v>Voľný</x:v>
      </x:c>
      <x:c r="Y506" s="11" t="str">
        <x:v>https://d-y.sk/byty/b05.03/</x:v>
      </x:c>
      <x:c r="Z506" s="11" t="n">
        <x:v>46252.68496519676</x:v>
      </x:c>
      <x:c r="AA506" s="11" t="n">
        <x:v>46254.51251577547</x:v>
      </x:c>
      <x:c r="AB506" s="11" t="n">
        <x:v>46254.51251577547</x:v>
      </x:c>
      <x:c r="AC506" t="str">
        <x:v>downtown_yards</x:v>
      </x:c>
    </x:row>
    <x:row r="507" ht="22" customHeight="1">
      <x:c r="A507" t="str">
        <x:v>Downtown Yards</x:v>
      </x:c>
      <x:c r="B507" t="str">
        <x:v>B05.04</x:v>
      </x:c>
      <x:c r="C507" t="str">
        <x:v>sold</x:v>
      </x:c>
      <x:c r="D507" t="str">
        <x:v>present</x:v>
      </x:c>
      <x:c r="E507" t="str">
        <x:v>baseline</x:v>
      </x:c>
      <x:c r="F507" s="11" t="n">
        <x:v>46252.68496519676</x:v>
      </x:c>
      <x:c r="G507" t="str">
        <x:v>apartment</x:v>
      </x:c>
      <x:c r="H507" s="12" t="n">
        <x:v>2</x:v>
      </x:c>
      <x:c r="I507" s="13" t="n">
        <x:v>5</x:v>
      </x:c>
      <x:c r="J507" t="str">
        <x:v>B</x:v>
      </x:c>
      <x:c r="K507" s="14" t="n">
        <x:v>50.14</x:v>
      </x:c>
      <x:c r="L507" s="14"/>
      <x:c r="M507" s="14"/>
      <x:c r="N507" s="14"/>
      <x:c r="O507" s="14"/>
      <x:c r="P507" s="14" t="n">
        <x:v>6.15</x:v>
      </x:c>
      <x:c r="Q507" s="14" t="n">
        <x:v>56.29</x:v>
      </x:c>
      <x:c r="R507" s="15"/>
      <x:c r="S507" s="15"/>
      <x:c r="T507" s="15"/>
      <x:c r="U507" s="16"/>
      <x:c r="V507" t="str">
        <x:v>JTRE</x:v>
      </x:c>
      <x:c r="W507" t="str">
        <x:v>Ružinov</x:v>
      </x:c>
      <x:c r="X507" s="11" t="str">
        <x:v>Predaný</x:v>
      </x:c>
      <x:c r="Y507" s="11" t="str">
        <x:v>https://d-y.sk/byty/b05.04/</x:v>
      </x:c>
      <x:c r="Z507" s="11" t="n">
        <x:v>46252.68496519676</x:v>
      </x:c>
      <x:c r="AA507" s="11" t="n">
        <x:v>46254.51251577547</x:v>
      </x:c>
      <x:c r="AB507" s="11" t="n">
        <x:v>46254.51251577547</x:v>
      </x:c>
      <x:c r="AC507" t="str">
        <x:v>downtown_yards</x:v>
      </x:c>
    </x:row>
    <x:row r="508" ht="22" customHeight="1">
      <x:c r="A508" t="str">
        <x:v>Downtown Yards</x:v>
      </x:c>
      <x:c r="B508" t="str">
        <x:v>B05.05</x:v>
      </x:c>
      <x:c r="C508" t="str">
        <x:v>sold</x:v>
      </x:c>
      <x:c r="D508" t="str">
        <x:v>present</x:v>
      </x:c>
      <x:c r="E508" t="str">
        <x:v>baseline</x:v>
      </x:c>
      <x:c r="F508" s="11" t="n">
        <x:v>46252.68496519676</x:v>
      </x:c>
      <x:c r="G508" t="str">
        <x:v>apartment</x:v>
      </x:c>
      <x:c r="H508" s="12" t="n">
        <x:v>2</x:v>
      </x:c>
      <x:c r="I508" s="13" t="n">
        <x:v>5</x:v>
      </x:c>
      <x:c r="J508" t="str">
        <x:v>B</x:v>
      </x:c>
      <x:c r="K508" s="14" t="n">
        <x:v>52.11</x:v>
      </x:c>
      <x:c r="L508" s="14"/>
      <x:c r="M508" s="14"/>
      <x:c r="N508" s="14"/>
      <x:c r="O508" s="14"/>
      <x:c r="P508" s="14" t="n">
        <x:v>6.15</x:v>
      </x:c>
      <x:c r="Q508" s="14" t="n">
        <x:v>58.26</x:v>
      </x:c>
      <x:c r="R508" s="15"/>
      <x:c r="S508" s="15"/>
      <x:c r="T508" s="15"/>
      <x:c r="U508" s="16"/>
      <x:c r="V508" t="str">
        <x:v>JTRE</x:v>
      </x:c>
      <x:c r="W508" t="str">
        <x:v>Ružinov</x:v>
      </x:c>
      <x:c r="X508" s="11" t="str">
        <x:v>Predaný</x:v>
      </x:c>
      <x:c r="Y508" s="11" t="str">
        <x:v>https://d-y.sk/byty/b05.05/</x:v>
      </x:c>
      <x:c r="Z508" s="11" t="n">
        <x:v>46252.68496519676</x:v>
      </x:c>
      <x:c r="AA508" s="11" t="n">
        <x:v>46254.51251577547</x:v>
      </x:c>
      <x:c r="AB508" s="11" t="n">
        <x:v>46254.51251577547</x:v>
      </x:c>
      <x:c r="AC508" t="str">
        <x:v>downtown_yards</x:v>
      </x:c>
    </x:row>
    <x:row r="509" ht="22" customHeight="1">
      <x:c r="A509" t="str">
        <x:v>Downtown Yards</x:v>
      </x:c>
      <x:c r="B509" t="str">
        <x:v>C02.01</x:v>
      </x:c>
      <x:c r="C509" t="str">
        <x:v>sold</x:v>
      </x:c>
      <x:c r="D509" t="str">
        <x:v>present</x:v>
      </x:c>
      <x:c r="E509" t="str">
        <x:v>baseline</x:v>
      </x:c>
      <x:c r="F509" s="11" t="n">
        <x:v>46252.68496519676</x:v>
      </x:c>
      <x:c r="G509" t="str">
        <x:v>flat</x:v>
      </x:c>
      <x:c r="H509" s="12" t="n">
        <x:v>3</x:v>
      </x:c>
      <x:c r="I509" s="13" t="n">
        <x:v>2</x:v>
      </x:c>
      <x:c r="J509" t="str">
        <x:v>C</x:v>
      </x:c>
      <x:c r="K509" s="14" t="n">
        <x:v>74.88</x:v>
      </x:c>
      <x:c r="L509" s="14"/>
      <x:c r="M509" s="14"/>
      <x:c r="N509" s="14"/>
      <x:c r="O509" s="14"/>
      <x:c r="P509" s="14" t="n">
        <x:v>34.6</x:v>
      </x:c>
      <x:c r="Q509" s="14" t="n">
        <x:v>109.48</x:v>
      </x:c>
      <x:c r="R509" s="15"/>
      <x:c r="S509" s="15"/>
      <x:c r="T509" s="15"/>
      <x:c r="U509" s="16"/>
      <x:c r="V509" t="str">
        <x:v>JTRE</x:v>
      </x:c>
      <x:c r="W509" t="str">
        <x:v>Ružinov</x:v>
      </x:c>
      <x:c r="X509" s="11" t="str">
        <x:v>Predaný</x:v>
      </x:c>
      <x:c r="Y509" s="11" t="str">
        <x:v>https://d-y.sk/byty/c02.01/</x:v>
      </x:c>
      <x:c r="Z509" s="11" t="n">
        <x:v>46252.68496519676</x:v>
      </x:c>
      <x:c r="AA509" s="11" t="n">
        <x:v>46254.51251577547</x:v>
      </x:c>
      <x:c r="AB509" s="11" t="n">
        <x:v>46254.51251577547</x:v>
      </x:c>
      <x:c r="AC509" t="str">
        <x:v>downtown_yards</x:v>
      </x:c>
    </x:row>
    <x:row r="510" ht="22" customHeight="1">
      <x:c r="A510" t="str">
        <x:v>Downtown Yards</x:v>
      </x:c>
      <x:c r="B510" t="str">
        <x:v>C02.02</x:v>
      </x:c>
      <x:c r="C510" t="str">
        <x:v>sold</x:v>
      </x:c>
      <x:c r="D510" t="str">
        <x:v>present</x:v>
      </x:c>
      <x:c r="E510" t="str">
        <x:v>baseline</x:v>
      </x:c>
      <x:c r="F510" s="11" t="n">
        <x:v>46252.68496519676</x:v>
      </x:c>
      <x:c r="G510" t="str">
        <x:v>flat</x:v>
      </x:c>
      <x:c r="H510" s="12" t="n">
        <x:v>3</x:v>
      </x:c>
      <x:c r="I510" s="13" t="n">
        <x:v>2</x:v>
      </x:c>
      <x:c r="J510" t="str">
        <x:v>C</x:v>
      </x:c>
      <x:c r="K510" s="14" t="n">
        <x:v>74.98</x:v>
      </x:c>
      <x:c r="L510" s="14"/>
      <x:c r="M510" s="14"/>
      <x:c r="N510" s="14"/>
      <x:c r="O510" s="14"/>
      <x:c r="P510" s="14" t="n">
        <x:v>34.53</x:v>
      </x:c>
      <x:c r="Q510" s="14" t="n">
        <x:v>109.51</x:v>
      </x:c>
      <x:c r="R510" s="15"/>
      <x:c r="S510" s="15"/>
      <x:c r="T510" s="15"/>
      <x:c r="U510" s="16"/>
      <x:c r="V510" t="str">
        <x:v>JTRE</x:v>
      </x:c>
      <x:c r="W510" t="str">
        <x:v>Ružinov</x:v>
      </x:c>
      <x:c r="X510" s="11" t="str">
        <x:v>Predaný</x:v>
      </x:c>
      <x:c r="Y510" s="11" t="str">
        <x:v>https://d-y.sk/byty/c02.02/</x:v>
      </x:c>
      <x:c r="Z510" s="11" t="n">
        <x:v>46252.68496519676</x:v>
      </x:c>
      <x:c r="AA510" s="11" t="n">
        <x:v>46254.51251577547</x:v>
      </x:c>
      <x:c r="AB510" s="11" t="n">
        <x:v>46254.51251577547</x:v>
      </x:c>
      <x:c r="AC510" t="str">
        <x:v>downtown_yards</x:v>
      </x:c>
    </x:row>
    <x:row r="511" ht="22" customHeight="1">
      <x:c r="A511" t="str">
        <x:v>Downtown Yards</x:v>
      </x:c>
      <x:c r="B511" t="str">
        <x:v>C02.03</x:v>
      </x:c>
      <x:c r="C511" t="str">
        <x:v>sold</x:v>
      </x:c>
      <x:c r="D511" t="str">
        <x:v>present</x:v>
      </x:c>
      <x:c r="E511" t="str">
        <x:v>baseline</x:v>
      </x:c>
      <x:c r="F511" s="11" t="n">
        <x:v>46252.68496519676</x:v>
      </x:c>
      <x:c r="G511" t="str">
        <x:v>flat</x:v>
      </x:c>
      <x:c r="H511" s="12" t="n">
        <x:v>2</x:v>
      </x:c>
      <x:c r="I511" s="13" t="n">
        <x:v>2</x:v>
      </x:c>
      <x:c r="J511" t="str">
        <x:v>C</x:v>
      </x:c>
      <x:c r="K511" s="14" t="n">
        <x:v>56.2</x:v>
      </x:c>
      <x:c r="L511" s="14"/>
      <x:c r="M511" s="14"/>
      <x:c r="N511" s="14"/>
      <x:c r="O511" s="14"/>
      <x:c r="P511" s="14" t="n">
        <x:v>6.55</x:v>
      </x:c>
      <x:c r="Q511" s="14" t="n">
        <x:v>62.75</x:v>
      </x:c>
      <x:c r="R511" s="15"/>
      <x:c r="S511" s="15"/>
      <x:c r="T511" s="15"/>
      <x:c r="U511" s="16"/>
      <x:c r="V511" t="str">
        <x:v>JTRE</x:v>
      </x:c>
      <x:c r="W511" t="str">
        <x:v>Ružinov</x:v>
      </x:c>
      <x:c r="X511" s="11" t="str">
        <x:v>Predaný</x:v>
      </x:c>
      <x:c r="Y511" s="11" t="str">
        <x:v>https://d-y.sk/byty/c02.03/</x:v>
      </x:c>
      <x:c r="Z511" s="11" t="n">
        <x:v>46252.68496519676</x:v>
      </x:c>
      <x:c r="AA511" s="11" t="n">
        <x:v>46254.51251577547</x:v>
      </x:c>
      <x:c r="AB511" s="11" t="n">
        <x:v>46254.51251577547</x:v>
      </x:c>
      <x:c r="AC511" t="str">
        <x:v>downtown_yards</x:v>
      </x:c>
    </x:row>
    <x:row r="512" ht="22" customHeight="1">
      <x:c r="A512" t="str">
        <x:v>Downtown Yards</x:v>
      </x:c>
      <x:c r="B512" t="str">
        <x:v>C02.04</x:v>
      </x:c>
      <x:c r="C512" t="str">
        <x:v>sold</x:v>
      </x:c>
      <x:c r="D512" t="str">
        <x:v>present</x:v>
      </x:c>
      <x:c r="E512" t="str">
        <x:v>baseline</x:v>
      </x:c>
      <x:c r="F512" s="11" t="n">
        <x:v>46252.68496519676</x:v>
      </x:c>
      <x:c r="G512" t="str">
        <x:v>flat</x:v>
      </x:c>
      <x:c r="H512" s="12" t="n">
        <x:v>2</x:v>
      </x:c>
      <x:c r="I512" s="13" t="n">
        <x:v>2</x:v>
      </x:c>
      <x:c r="J512" t="str">
        <x:v>C</x:v>
      </x:c>
      <x:c r="K512" s="14" t="n">
        <x:v>50.26</x:v>
      </x:c>
      <x:c r="L512" s="14"/>
      <x:c r="M512" s="14"/>
      <x:c r="N512" s="14"/>
      <x:c r="O512" s="14"/>
      <x:c r="P512" s="14" t="n">
        <x:v>6.58</x:v>
      </x:c>
      <x:c r="Q512" s="14" t="n">
        <x:v>56.84</x:v>
      </x:c>
      <x:c r="R512" s="15"/>
      <x:c r="S512" s="15"/>
      <x:c r="T512" s="15"/>
      <x:c r="U512" s="16"/>
      <x:c r="V512" t="str">
        <x:v>JTRE</x:v>
      </x:c>
      <x:c r="W512" t="str">
        <x:v>Ružinov</x:v>
      </x:c>
      <x:c r="X512" s="11" t="str">
        <x:v>Predaný</x:v>
      </x:c>
      <x:c r="Y512" s="11" t="str">
        <x:v>https://d-y.sk/byty/c02.04/</x:v>
      </x:c>
      <x:c r="Z512" s="11" t="n">
        <x:v>46252.68496519676</x:v>
      </x:c>
      <x:c r="AA512" s="11" t="n">
        <x:v>46254.51251577547</x:v>
      </x:c>
      <x:c r="AB512" s="11" t="n">
        <x:v>46254.51251577547</x:v>
      </x:c>
      <x:c r="AC512" t="str">
        <x:v>downtown_yards</x:v>
      </x:c>
    </x:row>
    <x:row r="513" ht="22" customHeight="1">
      <x:c r="A513" t="str">
        <x:v>Downtown Yards</x:v>
      </x:c>
      <x:c r="B513" t="str">
        <x:v>C02.05</x:v>
      </x:c>
      <x:c r="C513" t="str">
        <x:v>sold</x:v>
      </x:c>
      <x:c r="D513" t="str">
        <x:v>present</x:v>
      </x:c>
      <x:c r="E513" t="str">
        <x:v>baseline</x:v>
      </x:c>
      <x:c r="F513" s="11" t="n">
        <x:v>46252.68496519676</x:v>
      </x:c>
      <x:c r="G513" t="str">
        <x:v>flat</x:v>
      </x:c>
      <x:c r="H513" s="12" t="n">
        <x:v>2</x:v>
      </x:c>
      <x:c r="I513" s="13" t="n">
        <x:v>2</x:v>
      </x:c>
      <x:c r="J513" t="str">
        <x:v>C</x:v>
      </x:c>
      <x:c r="K513" s="14" t="n">
        <x:v>61.76</x:v>
      </x:c>
      <x:c r="L513" s="14"/>
      <x:c r="M513" s="14"/>
      <x:c r="N513" s="14"/>
      <x:c r="O513" s="14"/>
      <x:c r="P513" s="14" t="n">
        <x:v>6.93</x:v>
      </x:c>
      <x:c r="Q513" s="14" t="n">
        <x:v>68.69</x:v>
      </x:c>
      <x:c r="R513" s="15"/>
      <x:c r="S513" s="15"/>
      <x:c r="T513" s="15"/>
      <x:c r="U513" s="16"/>
      <x:c r="V513" t="str">
        <x:v>JTRE</x:v>
      </x:c>
      <x:c r="W513" t="str">
        <x:v>Ružinov</x:v>
      </x:c>
      <x:c r="X513" s="11" t="str">
        <x:v>Predaný</x:v>
      </x:c>
      <x:c r="Y513" s="11" t="str">
        <x:v>https://d-y.sk/byty/c02.05/</x:v>
      </x:c>
      <x:c r="Z513" s="11" t="n">
        <x:v>46252.68496519676</x:v>
      </x:c>
      <x:c r="AA513" s="11" t="n">
        <x:v>46254.51251577547</x:v>
      </x:c>
      <x:c r="AB513" s="11" t="n">
        <x:v>46254.51251577547</x:v>
      </x:c>
      <x:c r="AC513" t="str">
        <x:v>downtown_yards</x:v>
      </x:c>
    </x:row>
    <x:row r="514" ht="22" customHeight="1">
      <x:c r="A514" t="str">
        <x:v>Downtown Yards</x:v>
      </x:c>
      <x:c r="B514" t="str">
        <x:v>C03.01</x:v>
      </x:c>
      <x:c r="C514" t="str">
        <x:v>sold</x:v>
      </x:c>
      <x:c r="D514" t="str">
        <x:v>present</x:v>
      </x:c>
      <x:c r="E514" t="str">
        <x:v>baseline</x:v>
      </x:c>
      <x:c r="F514" s="11" t="n">
        <x:v>46252.68496519676</x:v>
      </x:c>
      <x:c r="G514" t="str">
        <x:v>flat</x:v>
      </x:c>
      <x:c r="H514" s="12" t="n">
        <x:v>3</x:v>
      </x:c>
      <x:c r="I514" s="13" t="n">
        <x:v>3</x:v>
      </x:c>
      <x:c r="J514" t="str">
        <x:v>C</x:v>
      </x:c>
      <x:c r="K514" s="14" t="n">
        <x:v>74.88</x:v>
      </x:c>
      <x:c r="L514" s="14"/>
      <x:c r="M514" s="14"/>
      <x:c r="N514" s="14"/>
      <x:c r="O514" s="14"/>
      <x:c r="P514" s="14" t="n">
        <x:v>12.98</x:v>
      </x:c>
      <x:c r="Q514" s="14" t="n">
        <x:v>87.86</x:v>
      </x:c>
      <x:c r="R514" s="15"/>
      <x:c r="S514" s="15"/>
      <x:c r="T514" s="15"/>
      <x:c r="U514" s="16"/>
      <x:c r="V514" t="str">
        <x:v>JTRE</x:v>
      </x:c>
      <x:c r="W514" t="str">
        <x:v>Ružinov</x:v>
      </x:c>
      <x:c r="X514" s="11" t="str">
        <x:v>Predaný</x:v>
      </x:c>
      <x:c r="Y514" s="11" t="str">
        <x:v>https://d-y.sk/byty/c03.01/</x:v>
      </x:c>
      <x:c r="Z514" s="11" t="n">
        <x:v>46252.68496519676</x:v>
      </x:c>
      <x:c r="AA514" s="11" t="n">
        <x:v>46254.51251577547</x:v>
      </x:c>
      <x:c r="AB514" s="11" t="n">
        <x:v>46254.51251577547</x:v>
      </x:c>
      <x:c r="AC514" t="str">
        <x:v>downtown_yards</x:v>
      </x:c>
    </x:row>
    <x:row r="515" ht="22" customHeight="1">
      <x:c r="A515" t="str">
        <x:v>Downtown Yards</x:v>
      </x:c>
      <x:c r="B515" t="str">
        <x:v>C03.02</x:v>
      </x:c>
      <x:c r="C515" t="str">
        <x:v>sold</x:v>
      </x:c>
      <x:c r="D515" t="str">
        <x:v>present</x:v>
      </x:c>
      <x:c r="E515" t="str">
        <x:v>baseline</x:v>
      </x:c>
      <x:c r="F515" s="11" t="n">
        <x:v>46252.68496519676</x:v>
      </x:c>
      <x:c r="G515" t="str">
        <x:v>flat</x:v>
      </x:c>
      <x:c r="H515" s="12" t="n">
        <x:v>3</x:v>
      </x:c>
      <x:c r="I515" s="13" t="n">
        <x:v>3</x:v>
      </x:c>
      <x:c r="J515" t="str">
        <x:v>C</x:v>
      </x:c>
      <x:c r="K515" s="14" t="n">
        <x:v>74.97</x:v>
      </x:c>
      <x:c r="L515" s="14"/>
      <x:c r="M515" s="14"/>
      <x:c r="N515" s="14"/>
      <x:c r="O515" s="14"/>
      <x:c r="P515" s="14" t="n">
        <x:v>12.98</x:v>
      </x:c>
      <x:c r="Q515" s="14" t="n">
        <x:v>87.95</x:v>
      </x:c>
      <x:c r="R515" s="15"/>
      <x:c r="S515" s="15"/>
      <x:c r="T515" s="15"/>
      <x:c r="U515" s="16"/>
      <x:c r="V515" t="str">
        <x:v>JTRE</x:v>
      </x:c>
      <x:c r="W515" t="str">
        <x:v>Ružinov</x:v>
      </x:c>
      <x:c r="X515" s="11" t="str">
        <x:v>Predaný</x:v>
      </x:c>
      <x:c r="Y515" s="11" t="str">
        <x:v>https://d-y.sk/byty/c03.02/</x:v>
      </x:c>
      <x:c r="Z515" s="11" t="n">
        <x:v>46252.68496519676</x:v>
      </x:c>
      <x:c r="AA515" s="11" t="n">
        <x:v>46254.51251577547</x:v>
      </x:c>
      <x:c r="AB515" s="11" t="n">
        <x:v>46254.51251577547</x:v>
      </x:c>
      <x:c r="AC515" t="str">
        <x:v>downtown_yards</x:v>
      </x:c>
    </x:row>
    <x:row r="516" ht="22" customHeight="1">
      <x:c r="A516" t="str">
        <x:v>Downtown Yards</x:v>
      </x:c>
      <x:c r="B516" t="str">
        <x:v>C03.03</x:v>
      </x:c>
      <x:c r="C516" t="str">
        <x:v>sold</x:v>
      </x:c>
      <x:c r="D516" t="str">
        <x:v>present</x:v>
      </x:c>
      <x:c r="E516" t="str">
        <x:v>baseline</x:v>
      </x:c>
      <x:c r="F516" s="11" t="n">
        <x:v>46252.68496519676</x:v>
      </x:c>
      <x:c r="G516" t="str">
        <x:v>flat</x:v>
      </x:c>
      <x:c r="H516" s="12" t="n">
        <x:v>2</x:v>
      </x:c>
      <x:c r="I516" s="13" t="n">
        <x:v>3</x:v>
      </x:c>
      <x:c r="J516" t="str">
        <x:v>C</x:v>
      </x:c>
      <x:c r="K516" s="14" t="n">
        <x:v>56.19</x:v>
      </x:c>
      <x:c r="L516" s="14"/>
      <x:c r="M516" s="14"/>
      <x:c r="N516" s="14"/>
      <x:c r="O516" s="14"/>
      <x:c r="P516" s="14" t="n">
        <x:v>6.55</x:v>
      </x:c>
      <x:c r="Q516" s="14" t="n">
        <x:v>62.74</x:v>
      </x:c>
      <x:c r="R516" s="15"/>
      <x:c r="S516" s="15"/>
      <x:c r="T516" s="15"/>
      <x:c r="U516" s="16"/>
      <x:c r="V516" t="str">
        <x:v>JTRE</x:v>
      </x:c>
      <x:c r="W516" t="str">
        <x:v>Ružinov</x:v>
      </x:c>
      <x:c r="X516" s="11" t="str">
        <x:v>Predaný</x:v>
      </x:c>
      <x:c r="Y516" s="11" t="str">
        <x:v>https://d-y.sk/byty/c03.03/</x:v>
      </x:c>
      <x:c r="Z516" s="11" t="n">
        <x:v>46252.68496519676</x:v>
      </x:c>
      <x:c r="AA516" s="11" t="n">
        <x:v>46254.51251577547</x:v>
      </x:c>
      <x:c r="AB516" s="11" t="n">
        <x:v>46254.51251577547</x:v>
      </x:c>
      <x:c r="AC516" t="str">
        <x:v>downtown_yards</x:v>
      </x:c>
    </x:row>
    <x:row r="517" ht="22" customHeight="1">
      <x:c r="A517" t="str">
        <x:v>Downtown Yards</x:v>
      </x:c>
      <x:c r="B517" t="str">
        <x:v>C03.04</x:v>
      </x:c>
      <x:c r="C517" t="str">
        <x:v>sold</x:v>
      </x:c>
      <x:c r="D517" t="str">
        <x:v>present</x:v>
      </x:c>
      <x:c r="E517" t="str">
        <x:v>baseline</x:v>
      </x:c>
      <x:c r="F517" s="11" t="n">
        <x:v>46252.68496519676</x:v>
      </x:c>
      <x:c r="G517" t="str">
        <x:v>flat</x:v>
      </x:c>
      <x:c r="H517" s="12" t="n">
        <x:v>2</x:v>
      </x:c>
      <x:c r="I517" s="13" t="n">
        <x:v>3</x:v>
      </x:c>
      <x:c r="J517" t="str">
        <x:v>C</x:v>
      </x:c>
      <x:c r="K517" s="14" t="n">
        <x:v>50.5</x:v>
      </x:c>
      <x:c r="L517" s="14"/>
      <x:c r="M517" s="14"/>
      <x:c r="N517" s="14"/>
      <x:c r="O517" s="14"/>
      <x:c r="P517" s="14" t="n">
        <x:v>6.58</x:v>
      </x:c>
      <x:c r="Q517" s="14" t="n">
        <x:v>57.08</x:v>
      </x:c>
      <x:c r="R517" s="15"/>
      <x:c r="S517" s="15"/>
      <x:c r="T517" s="15"/>
      <x:c r="U517" s="16"/>
      <x:c r="V517" t="str">
        <x:v>JTRE</x:v>
      </x:c>
      <x:c r="W517" t="str">
        <x:v>Ružinov</x:v>
      </x:c>
      <x:c r="X517" s="11" t="str">
        <x:v>Predaný</x:v>
      </x:c>
      <x:c r="Y517" s="11" t="str">
        <x:v>https://d-y.sk/byty/c03.04/</x:v>
      </x:c>
      <x:c r="Z517" s="11" t="n">
        <x:v>46252.68496519676</x:v>
      </x:c>
      <x:c r="AA517" s="11" t="n">
        <x:v>46254.51251577547</x:v>
      </x:c>
      <x:c r="AB517" s="11" t="n">
        <x:v>46254.51251577547</x:v>
      </x:c>
      <x:c r="AC517" t="str">
        <x:v>downtown_yards</x:v>
      </x:c>
    </x:row>
    <x:row r="518" ht="22" customHeight="1">
      <x:c r="A518" t="str">
        <x:v>Downtown Yards</x:v>
      </x:c>
      <x:c r="B518" t="str">
        <x:v>C03.05</x:v>
      </x:c>
      <x:c r="C518" t="str">
        <x:v>sold</x:v>
      </x:c>
      <x:c r="D518" t="str">
        <x:v>present</x:v>
      </x:c>
      <x:c r="E518" t="str">
        <x:v>baseline</x:v>
      </x:c>
      <x:c r="F518" s="11" t="n">
        <x:v>46252.68496519676</x:v>
      </x:c>
      <x:c r="G518" t="str">
        <x:v>flat</x:v>
      </x:c>
      <x:c r="H518" s="12" t="n">
        <x:v>2</x:v>
      </x:c>
      <x:c r="I518" s="13" t="n">
        <x:v>3</x:v>
      </x:c>
      <x:c r="J518" t="str">
        <x:v>C</x:v>
      </x:c>
      <x:c r="K518" s="14" t="n">
        <x:v>62.17</x:v>
      </x:c>
      <x:c r="L518" s="14"/>
      <x:c r="M518" s="14"/>
      <x:c r="N518" s="14"/>
      <x:c r="O518" s="14"/>
      <x:c r="P518" s="14" t="n">
        <x:v>6.93</x:v>
      </x:c>
      <x:c r="Q518" s="14" t="n">
        <x:v>69.1</x:v>
      </x:c>
      <x:c r="R518" s="15"/>
      <x:c r="S518" s="15"/>
      <x:c r="T518" s="15"/>
      <x:c r="U518" s="16"/>
      <x:c r="V518" t="str">
        <x:v>JTRE</x:v>
      </x:c>
      <x:c r="W518" t="str">
        <x:v>Ružinov</x:v>
      </x:c>
      <x:c r="X518" s="11" t="str">
        <x:v>Predaný</x:v>
      </x:c>
      <x:c r="Y518" s="11" t="str">
        <x:v>https://d-y.sk/byty/c03.05/</x:v>
      </x:c>
      <x:c r="Z518" s="11" t="n">
        <x:v>46252.68496519676</x:v>
      </x:c>
      <x:c r="AA518" s="11" t="n">
        <x:v>46254.51251577547</x:v>
      </x:c>
      <x:c r="AB518" s="11" t="n">
        <x:v>46254.51251577547</x:v>
      </x:c>
      <x:c r="AC518" t="str">
        <x:v>downtown_yards</x:v>
      </x:c>
    </x:row>
    <x:row r="519" ht="22" customHeight="1">
      <x:c r="A519" t="str">
        <x:v>Downtown Yards</x:v>
      </x:c>
      <x:c r="B519" t="str">
        <x:v>C04.01</x:v>
      </x:c>
      <x:c r="C519" t="str">
        <x:v>sold</x:v>
      </x:c>
      <x:c r="D519" t="str">
        <x:v>present</x:v>
      </x:c>
      <x:c r="E519" t="str">
        <x:v>baseline</x:v>
      </x:c>
      <x:c r="F519" s="11" t="n">
        <x:v>46252.68496519676</x:v>
      </x:c>
      <x:c r="G519" t="str">
        <x:v>flat</x:v>
      </x:c>
      <x:c r="H519" s="12" t="n">
        <x:v>3</x:v>
      </x:c>
      <x:c r="I519" s="13" t="n">
        <x:v>4</x:v>
      </x:c>
      <x:c r="J519" t="str">
        <x:v>C</x:v>
      </x:c>
      <x:c r="K519" s="14" t="n">
        <x:v>74.88</x:v>
      </x:c>
      <x:c r="L519" s="14"/>
      <x:c r="M519" s="14"/>
      <x:c r="N519" s="14"/>
      <x:c r="O519" s="14"/>
      <x:c r="P519" s="14" t="n">
        <x:v>12.98</x:v>
      </x:c>
      <x:c r="Q519" s="14" t="n">
        <x:v>87.86</x:v>
      </x:c>
      <x:c r="R519" s="15"/>
      <x:c r="S519" s="15"/>
      <x:c r="T519" s="15"/>
      <x:c r="U519" s="16"/>
      <x:c r="V519" t="str">
        <x:v>JTRE</x:v>
      </x:c>
      <x:c r="W519" t="str">
        <x:v>Ružinov</x:v>
      </x:c>
      <x:c r="X519" s="11" t="str">
        <x:v>Predaný</x:v>
      </x:c>
      <x:c r="Y519" s="11" t="str">
        <x:v>https://d-y.sk/byty/c04.01/</x:v>
      </x:c>
      <x:c r="Z519" s="11" t="n">
        <x:v>46252.68496519676</x:v>
      </x:c>
      <x:c r="AA519" s="11" t="n">
        <x:v>46254.51251577547</x:v>
      </x:c>
      <x:c r="AB519" s="11" t="n">
        <x:v>46254.51251577547</x:v>
      </x:c>
      <x:c r="AC519" t="str">
        <x:v>downtown_yards</x:v>
      </x:c>
    </x:row>
    <x:row r="520" ht="22" customHeight="1">
      <x:c r="A520" t="str">
        <x:v>Downtown Yards</x:v>
      </x:c>
      <x:c r="B520" t="str">
        <x:v>C04.02</x:v>
      </x:c>
      <x:c r="C520" t="str">
        <x:v>sold</x:v>
      </x:c>
      <x:c r="D520" t="str">
        <x:v>present</x:v>
      </x:c>
      <x:c r="E520" t="str">
        <x:v>baseline</x:v>
      </x:c>
      <x:c r="F520" s="11" t="n">
        <x:v>46252.68496519676</x:v>
      </x:c>
      <x:c r="G520" t="str">
        <x:v>flat</x:v>
      </x:c>
      <x:c r="H520" s="12" t="n">
        <x:v>3</x:v>
      </x:c>
      <x:c r="I520" s="13" t="n">
        <x:v>4</x:v>
      </x:c>
      <x:c r="J520" t="str">
        <x:v>C</x:v>
      </x:c>
      <x:c r="K520" s="14" t="n">
        <x:v>74.97</x:v>
      </x:c>
      <x:c r="L520" s="14"/>
      <x:c r="M520" s="14"/>
      <x:c r="N520" s="14"/>
      <x:c r="O520" s="14"/>
      <x:c r="P520" s="14" t="n">
        <x:v>12.98</x:v>
      </x:c>
      <x:c r="Q520" s="14" t="n">
        <x:v>87.95</x:v>
      </x:c>
      <x:c r="R520" s="15"/>
      <x:c r="S520" s="15"/>
      <x:c r="T520" s="15"/>
      <x:c r="U520" s="16"/>
      <x:c r="V520" t="str">
        <x:v>JTRE</x:v>
      </x:c>
      <x:c r="W520" t="str">
        <x:v>Ružinov</x:v>
      </x:c>
      <x:c r="X520" s="11" t="str">
        <x:v>Predaný</x:v>
      </x:c>
      <x:c r="Y520" s="11" t="str">
        <x:v>https://d-y.sk/byty/c04.02/</x:v>
      </x:c>
      <x:c r="Z520" s="11" t="n">
        <x:v>46252.68496519676</x:v>
      </x:c>
      <x:c r="AA520" s="11" t="n">
        <x:v>46254.51251577547</x:v>
      </x:c>
      <x:c r="AB520" s="11" t="n">
        <x:v>46254.51251577547</x:v>
      </x:c>
      <x:c r="AC520" t="str">
        <x:v>downtown_yards</x:v>
      </x:c>
    </x:row>
    <x:row r="521" ht="22" customHeight="1">
      <x:c r="A521" t="str">
        <x:v>Downtown Yards</x:v>
      </x:c>
      <x:c r="B521" t="str">
        <x:v>C04.03</x:v>
      </x:c>
      <x:c r="C521" t="str">
        <x:v>sold</x:v>
      </x:c>
      <x:c r="D521" t="str">
        <x:v>present</x:v>
      </x:c>
      <x:c r="E521" t="str">
        <x:v>baseline</x:v>
      </x:c>
      <x:c r="F521" s="11" t="n">
        <x:v>46252.68496519676</x:v>
      </x:c>
      <x:c r="G521" t="str">
        <x:v>flat</x:v>
      </x:c>
      <x:c r="H521" s="12" t="n">
        <x:v>2</x:v>
      </x:c>
      <x:c r="I521" s="13" t="n">
        <x:v>4</x:v>
      </x:c>
      <x:c r="J521" t="str">
        <x:v>C</x:v>
      </x:c>
      <x:c r="K521" s="14" t="n">
        <x:v>56.93</x:v>
      </x:c>
      <x:c r="L521" s="14"/>
      <x:c r="M521" s="14"/>
      <x:c r="N521" s="14"/>
      <x:c r="O521" s="14"/>
      <x:c r="P521" s="14" t="n">
        <x:v>6.55</x:v>
      </x:c>
      <x:c r="Q521" s="14" t="n">
        <x:v>63.48</x:v>
      </x:c>
      <x:c r="R521" s="15"/>
      <x:c r="S521" s="15"/>
      <x:c r="T521" s="15"/>
      <x:c r="U521" s="16"/>
      <x:c r="V521" t="str">
        <x:v>JTRE</x:v>
      </x:c>
      <x:c r="W521" t="str">
        <x:v>Ružinov</x:v>
      </x:c>
      <x:c r="X521" s="11" t="str">
        <x:v>Predaný</x:v>
      </x:c>
      <x:c r="Y521" s="11" t="str">
        <x:v>https://d-y.sk/byty/c04.03/</x:v>
      </x:c>
      <x:c r="Z521" s="11" t="n">
        <x:v>46252.68496519676</x:v>
      </x:c>
      <x:c r="AA521" s="11" t="n">
        <x:v>46254.51251577547</x:v>
      </x:c>
      <x:c r="AB521" s="11" t="n">
        <x:v>46254.51251577547</x:v>
      </x:c>
      <x:c r="AC521" t="str">
        <x:v>downtown_yards</x:v>
      </x:c>
    </x:row>
    <x:row r="522" ht="22" customHeight="1">
      <x:c r="A522" t="str">
        <x:v>Downtown Yards</x:v>
      </x:c>
      <x:c r="B522" t="str">
        <x:v>C04.04</x:v>
      </x:c>
      <x:c r="C522" t="str">
        <x:v>sold</x:v>
      </x:c>
      <x:c r="D522" t="str">
        <x:v>present</x:v>
      </x:c>
      <x:c r="E522" t="str">
        <x:v>baseline</x:v>
      </x:c>
      <x:c r="F522" s="11" t="n">
        <x:v>46252.68496519676</x:v>
      </x:c>
      <x:c r="G522" t="str">
        <x:v>flat</x:v>
      </x:c>
      <x:c r="H522" s="12" t="n">
        <x:v>2</x:v>
      </x:c>
      <x:c r="I522" s="13" t="n">
        <x:v>4</x:v>
      </x:c>
      <x:c r="J522" t="str">
        <x:v>C</x:v>
      </x:c>
      <x:c r="K522" s="14" t="n">
        <x:v>51.35</x:v>
      </x:c>
      <x:c r="L522" s="14"/>
      <x:c r="M522" s="14"/>
      <x:c r="N522" s="14"/>
      <x:c r="O522" s="14"/>
      <x:c r="P522" s="14" t="n">
        <x:v>6.58</x:v>
      </x:c>
      <x:c r="Q522" s="14" t="n">
        <x:v>57.93</x:v>
      </x:c>
      <x:c r="R522" s="15"/>
      <x:c r="S522" s="15"/>
      <x:c r="T522" s="15"/>
      <x:c r="U522" s="16"/>
      <x:c r="V522" t="str">
        <x:v>JTRE</x:v>
      </x:c>
      <x:c r="W522" t="str">
        <x:v>Ružinov</x:v>
      </x:c>
      <x:c r="X522" s="11" t="str">
        <x:v>Predaný</x:v>
      </x:c>
      <x:c r="Y522" s="11" t="str">
        <x:v>https://d-y.sk/byty/c04.04/</x:v>
      </x:c>
      <x:c r="Z522" s="11" t="n">
        <x:v>46252.68496519676</x:v>
      </x:c>
      <x:c r="AA522" s="11" t="n">
        <x:v>46254.51251577547</x:v>
      </x:c>
      <x:c r="AB522" s="11" t="n">
        <x:v>46254.51251577547</x:v>
      </x:c>
      <x:c r="AC522" t="str">
        <x:v>downtown_yards</x:v>
      </x:c>
    </x:row>
    <x:row r="523" ht="22" customHeight="1">
      <x:c r="A523" t="str">
        <x:v>Downtown Yards</x:v>
      </x:c>
      <x:c r="B523" t="str">
        <x:v>C04.05</x:v>
      </x:c>
      <x:c r="C523" t="str">
        <x:v>sold</x:v>
      </x:c>
      <x:c r="D523" t="str">
        <x:v>present</x:v>
      </x:c>
      <x:c r="E523" t="str">
        <x:v>baseline</x:v>
      </x:c>
      <x:c r="F523" s="11" t="n">
        <x:v>46252.68496519676</x:v>
      </x:c>
      <x:c r="G523" t="str">
        <x:v>flat</x:v>
      </x:c>
      <x:c r="H523" s="12" t="n">
        <x:v>2</x:v>
      </x:c>
      <x:c r="I523" s="13" t="n">
        <x:v>4</x:v>
      </x:c>
      <x:c r="J523" t="str">
        <x:v>C</x:v>
      </x:c>
      <x:c r="K523" s="14" t="n">
        <x:v>62.8</x:v>
      </x:c>
      <x:c r="L523" s="14"/>
      <x:c r="M523" s="14"/>
      <x:c r="N523" s="14"/>
      <x:c r="O523" s="14"/>
      <x:c r="P523" s="14" t="n">
        <x:v>6.93</x:v>
      </x:c>
      <x:c r="Q523" s="14" t="n">
        <x:v>69.73</x:v>
      </x:c>
      <x:c r="R523" s="15"/>
      <x:c r="S523" s="15"/>
      <x:c r="T523" s="15"/>
      <x:c r="U523" s="16"/>
      <x:c r="V523" t="str">
        <x:v>JTRE</x:v>
      </x:c>
      <x:c r="W523" t="str">
        <x:v>Ružinov</x:v>
      </x:c>
      <x:c r="X523" s="11" t="str">
        <x:v>Predaný</x:v>
      </x:c>
      <x:c r="Y523" s="11" t="str">
        <x:v>https://d-y.sk/byty/c04.05/</x:v>
      </x:c>
      <x:c r="Z523" s="11" t="n">
        <x:v>46252.68496519676</x:v>
      </x:c>
      <x:c r="AA523" s="11" t="n">
        <x:v>46254.51251577547</x:v>
      </x:c>
      <x:c r="AB523" s="11" t="n">
        <x:v>46254.51251577547</x:v>
      </x:c>
      <x:c r="AC523" t="str">
        <x:v>downtown_yards</x:v>
      </x:c>
    </x:row>
    <x:row r="524" ht="22" customHeight="1">
      <x:c r="A524" t="str">
        <x:v>Downtown Yards</x:v>
      </x:c>
      <x:c r="B524" t="str">
        <x:v>C05.01</x:v>
      </x:c>
      <x:c r="C524" t="str">
        <x:v>sold</x:v>
      </x:c>
      <x:c r="D524" t="str">
        <x:v>present</x:v>
      </x:c>
      <x:c r="E524" t="str">
        <x:v>baseline</x:v>
      </x:c>
      <x:c r="F524" s="11" t="n">
        <x:v>46252.68496519676</x:v>
      </x:c>
      <x:c r="G524" t="str">
        <x:v>flat</x:v>
      </x:c>
      <x:c r="H524" s="12" t="n">
        <x:v>3</x:v>
      </x:c>
      <x:c r="I524" s="13" t="n">
        <x:v>5</x:v>
      </x:c>
      <x:c r="J524" t="str">
        <x:v>C</x:v>
      </x:c>
      <x:c r="K524" s="14" t="n">
        <x:v>74.88</x:v>
      </x:c>
      <x:c r="L524" s="14"/>
      <x:c r="M524" s="14"/>
      <x:c r="N524" s="14"/>
      <x:c r="O524" s="14"/>
      <x:c r="P524" s="14" t="n">
        <x:v>12.98</x:v>
      </x:c>
      <x:c r="Q524" s="14" t="n">
        <x:v>87.86</x:v>
      </x:c>
      <x:c r="R524" s="15"/>
      <x:c r="S524" s="15"/>
      <x:c r="T524" s="15"/>
      <x:c r="U524" s="16"/>
      <x:c r="V524" t="str">
        <x:v>JTRE</x:v>
      </x:c>
      <x:c r="W524" t="str">
        <x:v>Ružinov</x:v>
      </x:c>
      <x:c r="X524" s="11" t="str">
        <x:v>Predaný</x:v>
      </x:c>
      <x:c r="Y524" s="11" t="str">
        <x:v>https://d-y.sk/byty/c05.01/</x:v>
      </x:c>
      <x:c r="Z524" s="11" t="n">
        <x:v>46252.68496519676</x:v>
      </x:c>
      <x:c r="AA524" s="11" t="n">
        <x:v>46254.51251577547</x:v>
      </x:c>
      <x:c r="AB524" s="11" t="n">
        <x:v>46254.51251577547</x:v>
      </x:c>
      <x:c r="AC524" t="str">
        <x:v>downtown_yards</x:v>
      </x:c>
    </x:row>
    <x:row r="525" ht="22" customHeight="1">
      <x:c r="A525" t="str">
        <x:v>Downtown Yards</x:v>
      </x:c>
      <x:c r="B525" t="str">
        <x:v>C05.02</x:v>
      </x:c>
      <x:c r="C525" t="str">
        <x:v>sold</x:v>
      </x:c>
      <x:c r="D525" t="str">
        <x:v>present</x:v>
      </x:c>
      <x:c r="E525" t="str">
        <x:v>baseline</x:v>
      </x:c>
      <x:c r="F525" s="11" t="n">
        <x:v>46252.68496519676</x:v>
      </x:c>
      <x:c r="G525" t="str">
        <x:v>flat</x:v>
      </x:c>
      <x:c r="H525" s="12" t="n">
        <x:v>3</x:v>
      </x:c>
      <x:c r="I525" s="13" t="n">
        <x:v>5</x:v>
      </x:c>
      <x:c r="J525" t="str">
        <x:v>C</x:v>
      </x:c>
      <x:c r="K525" s="14" t="n">
        <x:v>74.97</x:v>
      </x:c>
      <x:c r="L525" s="14"/>
      <x:c r="M525" s="14"/>
      <x:c r="N525" s="14"/>
      <x:c r="O525" s="14"/>
      <x:c r="P525" s="14" t="n">
        <x:v>12.98</x:v>
      </x:c>
      <x:c r="Q525" s="14" t="n">
        <x:v>87.95</x:v>
      </x:c>
      <x:c r="R525" s="15"/>
      <x:c r="S525" s="15"/>
      <x:c r="T525" s="15"/>
      <x:c r="U525" s="16"/>
      <x:c r="V525" t="str">
        <x:v>JTRE</x:v>
      </x:c>
      <x:c r="W525" t="str">
        <x:v>Ružinov</x:v>
      </x:c>
      <x:c r="X525" s="11" t="str">
        <x:v>Predaný</x:v>
      </x:c>
      <x:c r="Y525" s="11" t="str">
        <x:v>https://d-y.sk/byty/c05.02/</x:v>
      </x:c>
      <x:c r="Z525" s="11" t="n">
        <x:v>46252.68496519676</x:v>
      </x:c>
      <x:c r="AA525" s="11" t="n">
        <x:v>46254.51251577547</x:v>
      </x:c>
      <x:c r="AB525" s="11" t="n">
        <x:v>46254.51251577547</x:v>
      </x:c>
      <x:c r="AC525" t="str">
        <x:v>downtown_yards</x:v>
      </x:c>
    </x:row>
    <x:row r="526" ht="22" customHeight="1">
      <x:c r="A526" t="str">
        <x:v>Downtown Yards</x:v>
      </x:c>
      <x:c r="B526" t="str">
        <x:v>C05.03</x:v>
      </x:c>
      <x:c r="C526" t="str">
        <x:v>sold</x:v>
      </x:c>
      <x:c r="D526" t="str">
        <x:v>present</x:v>
      </x:c>
      <x:c r="E526" t="str">
        <x:v>baseline</x:v>
      </x:c>
      <x:c r="F526" s="11" t="n">
        <x:v>46252.68496519676</x:v>
      </x:c>
      <x:c r="G526" t="str">
        <x:v>flat</x:v>
      </x:c>
      <x:c r="H526" s="12" t="n">
        <x:v>2</x:v>
      </x:c>
      <x:c r="I526" s="13" t="n">
        <x:v>5</x:v>
      </x:c>
      <x:c r="J526" t="str">
        <x:v>C</x:v>
      </x:c>
      <x:c r="K526" s="14" t="n">
        <x:v>56.93</x:v>
      </x:c>
      <x:c r="L526" s="14"/>
      <x:c r="M526" s="14"/>
      <x:c r="N526" s="14"/>
      <x:c r="O526" s="14"/>
      <x:c r="P526" s="14" t="n">
        <x:v>6.55</x:v>
      </x:c>
      <x:c r="Q526" s="14" t="n">
        <x:v>63.48</x:v>
      </x:c>
      <x:c r="R526" s="15"/>
      <x:c r="S526" s="15"/>
      <x:c r="T526" s="15"/>
      <x:c r="U526" s="16"/>
      <x:c r="V526" t="str">
        <x:v>JTRE</x:v>
      </x:c>
      <x:c r="W526" t="str">
        <x:v>Ružinov</x:v>
      </x:c>
      <x:c r="X526" s="11" t="str">
        <x:v>Predaný</x:v>
      </x:c>
      <x:c r="Y526" s="11" t="str">
        <x:v>https://d-y.sk/byty/c05.03/</x:v>
      </x:c>
      <x:c r="Z526" s="11" t="n">
        <x:v>46252.68496519676</x:v>
      </x:c>
      <x:c r="AA526" s="11" t="n">
        <x:v>46254.51251577547</x:v>
      </x:c>
      <x:c r="AB526" s="11" t="n">
        <x:v>46254.51251577547</x:v>
      </x:c>
      <x:c r="AC526" t="str">
        <x:v>downtown_yards</x:v>
      </x:c>
    </x:row>
    <x:row r="527" ht="22" customHeight="1">
      <x:c r="A527" t="str">
        <x:v>Downtown Yards</x:v>
      </x:c>
      <x:c r="B527" t="str">
        <x:v>C05.04</x:v>
      </x:c>
      <x:c r="C527" t="str">
        <x:v>sold</x:v>
      </x:c>
      <x:c r="D527" t="str">
        <x:v>present</x:v>
      </x:c>
      <x:c r="E527" t="str">
        <x:v>baseline</x:v>
      </x:c>
      <x:c r="F527" s="11" t="n">
        <x:v>46252.68496519676</x:v>
      </x:c>
      <x:c r="G527" t="str">
        <x:v>flat</x:v>
      </x:c>
      <x:c r="H527" s="12" t="n">
        <x:v>2</x:v>
      </x:c>
      <x:c r="I527" s="13" t="n">
        <x:v>5</x:v>
      </x:c>
      <x:c r="J527" t="str">
        <x:v>C</x:v>
      </x:c>
      <x:c r="K527" s="14" t="n">
        <x:v>51.35</x:v>
      </x:c>
      <x:c r="L527" s="14"/>
      <x:c r="M527" s="14"/>
      <x:c r="N527" s="14"/>
      <x:c r="O527" s="14"/>
      <x:c r="P527" s="14" t="n">
        <x:v>6.58</x:v>
      </x:c>
      <x:c r="Q527" s="14" t="n">
        <x:v>57.93</x:v>
      </x:c>
      <x:c r="R527" s="15"/>
      <x:c r="S527" s="15"/>
      <x:c r="T527" s="15"/>
      <x:c r="U527" s="16"/>
      <x:c r="V527" t="str">
        <x:v>JTRE</x:v>
      </x:c>
      <x:c r="W527" t="str">
        <x:v>Ružinov</x:v>
      </x:c>
      <x:c r="X527" s="11" t="str">
        <x:v>Predaný</x:v>
      </x:c>
      <x:c r="Y527" s="11" t="str">
        <x:v>https://d-y.sk/byty/c05.04/</x:v>
      </x:c>
      <x:c r="Z527" s="11" t="n">
        <x:v>46252.68496519676</x:v>
      </x:c>
      <x:c r="AA527" s="11" t="n">
        <x:v>46254.51251577547</x:v>
      </x:c>
      <x:c r="AB527" s="11" t="n">
        <x:v>46254.51251577547</x:v>
      </x:c>
      <x:c r="AC527" t="str">
        <x:v>downtown_yards</x:v>
      </x:c>
    </x:row>
    <x:row r="528" ht="22" customHeight="1">
      <x:c r="A528" t="str">
        <x:v>Downtown Yards</x:v>
      </x:c>
      <x:c r="B528" t="str">
        <x:v>C05.05</x:v>
      </x:c>
      <x:c r="C528" t="str">
        <x:v>sold</x:v>
      </x:c>
      <x:c r="D528" t="str">
        <x:v>present</x:v>
      </x:c>
      <x:c r="E528" t="str">
        <x:v>baseline</x:v>
      </x:c>
      <x:c r="F528" s="11" t="n">
        <x:v>46252.68496519676</x:v>
      </x:c>
      <x:c r="G528" t="str">
        <x:v>flat</x:v>
      </x:c>
      <x:c r="H528" s="12" t="n">
        <x:v>2</x:v>
      </x:c>
      <x:c r="I528" s="13" t="n">
        <x:v>5</x:v>
      </x:c>
      <x:c r="J528" t="str">
        <x:v>C</x:v>
      </x:c>
      <x:c r="K528" s="14" t="n">
        <x:v>62.8</x:v>
      </x:c>
      <x:c r="L528" s="14"/>
      <x:c r="M528" s="14"/>
      <x:c r="N528" s="14"/>
      <x:c r="O528" s="14"/>
      <x:c r="P528" s="14" t="n">
        <x:v>6.93</x:v>
      </x:c>
      <x:c r="Q528" s="14" t="n">
        <x:v>69.73</x:v>
      </x:c>
      <x:c r="R528" s="15"/>
      <x:c r="S528" s="15"/>
      <x:c r="T528" s="15"/>
      <x:c r="U528" s="16"/>
      <x:c r="V528" t="str">
        <x:v>JTRE</x:v>
      </x:c>
      <x:c r="W528" t="str">
        <x:v>Ružinov</x:v>
      </x:c>
      <x:c r="X528" s="11" t="str">
        <x:v>Predaný</x:v>
      </x:c>
      <x:c r="Y528" s="11" t="str">
        <x:v>https://d-y.sk/byty/c05.05/</x:v>
      </x:c>
      <x:c r="Z528" s="11" t="n">
        <x:v>46252.68496519676</x:v>
      </x:c>
      <x:c r="AA528" s="11" t="n">
        <x:v>46254.51251577547</x:v>
      </x:c>
      <x:c r="AB528" s="11" t="n">
        <x:v>46254.51251577547</x:v>
      </x:c>
      <x:c r="AC528" t="str">
        <x:v>downtown_yards</x:v>
      </x:c>
    </x:row>
    <x:row r="529" ht="22" customHeight="1">
      <x:c r="A529" t="str">
        <x:v>Downtown Yards</x:v>
      </x:c>
      <x:c r="B529" t="str">
        <x:v>C06.01</x:v>
      </x:c>
      <x:c r="C529" t="str">
        <x:v>sold</x:v>
      </x:c>
      <x:c r="D529" t="str">
        <x:v>present</x:v>
      </x:c>
      <x:c r="E529" t="str">
        <x:v>baseline</x:v>
      </x:c>
      <x:c r="F529" s="11" t="n">
        <x:v>46252.68496519676</x:v>
      </x:c>
      <x:c r="G529" t="str">
        <x:v>flat</x:v>
      </x:c>
      <x:c r="H529" s="12" t="n">
        <x:v>3</x:v>
      </x:c>
      <x:c r="I529" s="13" t="n">
        <x:v>6</x:v>
      </x:c>
      <x:c r="J529" t="str">
        <x:v>C</x:v>
      </x:c>
      <x:c r="K529" s="14" t="n">
        <x:v>72.18</x:v>
      </x:c>
      <x:c r="L529" s="14"/>
      <x:c r="M529" s="14"/>
      <x:c r="N529" s="14"/>
      <x:c r="O529" s="14"/>
      <x:c r="P529" s="14" t="n">
        <x:v>13.1</x:v>
      </x:c>
      <x:c r="Q529" s="14" t="n">
        <x:v>85.28</x:v>
      </x:c>
      <x:c r="R529" s="15"/>
      <x:c r="S529" s="15"/>
      <x:c r="T529" s="15"/>
      <x:c r="U529" s="16"/>
      <x:c r="V529" t="str">
        <x:v>JTRE</x:v>
      </x:c>
      <x:c r="W529" t="str">
        <x:v>Ružinov</x:v>
      </x:c>
      <x:c r="X529" s="11" t="str">
        <x:v>Predaný</x:v>
      </x:c>
      <x:c r="Y529" s="11" t="str">
        <x:v>https://d-y.sk/byty/c06.01/</x:v>
      </x:c>
      <x:c r="Z529" s="11" t="n">
        <x:v>46252.68496519676</x:v>
      </x:c>
      <x:c r="AA529" s="11" t="n">
        <x:v>46254.51251577547</x:v>
      </x:c>
      <x:c r="AB529" s="11" t="n">
        <x:v>46254.51251577547</x:v>
      </x:c>
      <x:c r="AC529" t="str">
        <x:v>downtown_yards</x:v>
      </x:c>
    </x:row>
    <x:row r="530" ht="22" customHeight="1">
      <x:c r="A530" t="str">
        <x:v>Downtown Yards</x:v>
      </x:c>
      <x:c r="B530" t="str">
        <x:v>C06.02</x:v>
      </x:c>
      <x:c r="C530" t="str">
        <x:v>sold</x:v>
      </x:c>
      <x:c r="D530" t="str">
        <x:v>present</x:v>
      </x:c>
      <x:c r="E530" t="str">
        <x:v>baseline</x:v>
      </x:c>
      <x:c r="F530" s="11" t="n">
        <x:v>46252.68496519676</x:v>
      </x:c>
      <x:c r="G530" t="str">
        <x:v>flat</x:v>
      </x:c>
      <x:c r="H530" s="12" t="n">
        <x:v>3</x:v>
      </x:c>
      <x:c r="I530" s="13" t="n">
        <x:v>6</x:v>
      </x:c>
      <x:c r="J530" t="str">
        <x:v>C</x:v>
      </x:c>
      <x:c r="K530" s="14" t="n">
        <x:v>72.16</x:v>
      </x:c>
      <x:c r="L530" s="14"/>
      <x:c r="M530" s="14"/>
      <x:c r="N530" s="14"/>
      <x:c r="O530" s="14"/>
      <x:c r="P530" s="14" t="n">
        <x:v>13.1</x:v>
      </x:c>
      <x:c r="Q530" s="14" t="n">
        <x:v>85.26</x:v>
      </x:c>
      <x:c r="R530" s="15"/>
      <x:c r="S530" s="15"/>
      <x:c r="T530" s="15"/>
      <x:c r="U530" s="16"/>
      <x:c r="V530" t="str">
        <x:v>JTRE</x:v>
      </x:c>
      <x:c r="W530" t="str">
        <x:v>Ružinov</x:v>
      </x:c>
      <x:c r="X530" s="11" t="str">
        <x:v>Predaný</x:v>
      </x:c>
      <x:c r="Y530" s="11" t="str">
        <x:v>https://d-y.sk/byty/c06.02/</x:v>
      </x:c>
      <x:c r="Z530" s="11" t="n">
        <x:v>46252.68496519676</x:v>
      </x:c>
      <x:c r="AA530" s="11" t="n">
        <x:v>46254.51251577547</x:v>
      </x:c>
      <x:c r="AB530" s="11" t="n">
        <x:v>46254.51251577547</x:v>
      </x:c>
      <x:c r="AC530" t="str">
        <x:v>downtown_yards</x:v>
      </x:c>
    </x:row>
    <x:row r="531" ht="22" customHeight="1">
      <x:c r="A531" t="str">
        <x:v>Downtown Yards</x:v>
      </x:c>
      <x:c r="B531" t="str">
        <x:v>C06.03</x:v>
      </x:c>
      <x:c r="C531" t="str">
        <x:v>sold</x:v>
      </x:c>
      <x:c r="D531" t="str">
        <x:v>present</x:v>
      </x:c>
      <x:c r="E531" t="str">
        <x:v>baseline</x:v>
      </x:c>
      <x:c r="F531" s="11" t="n">
        <x:v>46252.68496519676</x:v>
      </x:c>
      <x:c r="G531" t="str">
        <x:v>flat</x:v>
      </x:c>
      <x:c r="H531" s="12" t="n">
        <x:v>2</x:v>
      </x:c>
      <x:c r="I531" s="13" t="n">
        <x:v>6</x:v>
      </x:c>
      <x:c r="J531" t="str">
        <x:v>C</x:v>
      </x:c>
      <x:c r="K531" s="14" t="n">
        <x:v>53.71</x:v>
      </x:c>
      <x:c r="L531" s="14"/>
      <x:c r="M531" s="14"/>
      <x:c r="N531" s="14"/>
      <x:c r="O531" s="14"/>
      <x:c r="P531" s="14" t="n">
        <x:v>6.55</x:v>
      </x:c>
      <x:c r="Q531" s="14" t="n">
        <x:v>60.26</x:v>
      </x:c>
      <x:c r="R531" s="15"/>
      <x:c r="S531" s="15"/>
      <x:c r="T531" s="15"/>
      <x:c r="U531" s="16"/>
      <x:c r="V531" t="str">
        <x:v>JTRE</x:v>
      </x:c>
      <x:c r="W531" t="str">
        <x:v>Ružinov</x:v>
      </x:c>
      <x:c r="X531" s="11" t="str">
        <x:v>Predaný</x:v>
      </x:c>
      <x:c r="Y531" s="11" t="str">
        <x:v>https://d-y.sk/byty/c06.03/</x:v>
      </x:c>
      <x:c r="Z531" s="11" t="n">
        <x:v>46252.68496519676</x:v>
      </x:c>
      <x:c r="AA531" s="11" t="n">
        <x:v>46254.51251577547</x:v>
      </x:c>
      <x:c r="AB531" s="11" t="n">
        <x:v>46254.51251577547</x:v>
      </x:c>
      <x:c r="AC531" t="str">
        <x:v>downtown_yards</x:v>
      </x:c>
    </x:row>
    <x:row r="532" ht="22" customHeight="1">
      <x:c r="A532" t="str">
        <x:v>Downtown Yards</x:v>
      </x:c>
      <x:c r="B532" t="str">
        <x:v>C06.04</x:v>
      </x:c>
      <x:c r="C532" t="str">
        <x:v>sold</x:v>
      </x:c>
      <x:c r="D532" t="str">
        <x:v>present</x:v>
      </x:c>
      <x:c r="E532" t="str">
        <x:v>baseline</x:v>
      </x:c>
      <x:c r="F532" s="11" t="n">
        <x:v>46252.68496519676</x:v>
      </x:c>
      <x:c r="G532" t="str">
        <x:v>flat</x:v>
      </x:c>
      <x:c r="H532" s="12" t="n">
        <x:v>2</x:v>
      </x:c>
      <x:c r="I532" s="13" t="n">
        <x:v>6</x:v>
      </x:c>
      <x:c r="J532" t="str">
        <x:v>C</x:v>
      </x:c>
      <x:c r="K532" s="14" t="n">
        <x:v>51.35</x:v>
      </x:c>
      <x:c r="L532" s="14"/>
      <x:c r="M532" s="14"/>
      <x:c r="N532" s="14"/>
      <x:c r="O532" s="14"/>
      <x:c r="P532" s="14" t="n">
        <x:v>6.58</x:v>
      </x:c>
      <x:c r="Q532" s="14" t="n">
        <x:v>57.93</x:v>
      </x:c>
      <x:c r="R532" s="15"/>
      <x:c r="S532" s="15"/>
      <x:c r="T532" s="15"/>
      <x:c r="U532" s="16"/>
      <x:c r="V532" t="str">
        <x:v>JTRE</x:v>
      </x:c>
      <x:c r="W532" t="str">
        <x:v>Ružinov</x:v>
      </x:c>
      <x:c r="X532" s="11" t="str">
        <x:v>Predaný</x:v>
      </x:c>
      <x:c r="Y532" s="11" t="str">
        <x:v>https://d-y.sk/byty/c06.04/</x:v>
      </x:c>
      <x:c r="Z532" s="11" t="n">
        <x:v>46252.68496519676</x:v>
      </x:c>
      <x:c r="AA532" s="11" t="n">
        <x:v>46254.51251577547</x:v>
      </x:c>
      <x:c r="AB532" s="11" t="n">
        <x:v>46254.51251577547</x:v>
      </x:c>
      <x:c r="AC532" t="str">
        <x:v>downtown_yards</x:v>
      </x:c>
    </x:row>
    <x:row r="533" ht="22" customHeight="1">
      <x:c r="A533" t="str">
        <x:v>Downtown Yards</x:v>
      </x:c>
      <x:c r="B533" t="str">
        <x:v>C06.05</x:v>
      </x:c>
      <x:c r="C533" t="str">
        <x:v>sold</x:v>
      </x:c>
      <x:c r="D533" t="str">
        <x:v>present</x:v>
      </x:c>
      <x:c r="E533" t="str">
        <x:v>baseline</x:v>
      </x:c>
      <x:c r="F533" s="11" t="n">
        <x:v>46252.68496519676</x:v>
      </x:c>
      <x:c r="G533" t="str">
        <x:v>flat</x:v>
      </x:c>
      <x:c r="H533" s="12" t="n">
        <x:v>2</x:v>
      </x:c>
      <x:c r="I533" s="13" t="n">
        <x:v>6</x:v>
      </x:c>
      <x:c r="J533" t="str">
        <x:v>C</x:v>
      </x:c>
      <x:c r="K533" s="14" t="n">
        <x:v>60.54</x:v>
      </x:c>
      <x:c r="L533" s="14"/>
      <x:c r="M533" s="14"/>
      <x:c r="N533" s="14"/>
      <x:c r="O533" s="14"/>
      <x:c r="P533" s="14" t="n">
        <x:v>6.93</x:v>
      </x:c>
      <x:c r="Q533" s="14" t="n">
        <x:v>67.47</x:v>
      </x:c>
      <x:c r="R533" s="15"/>
      <x:c r="S533" s="15"/>
      <x:c r="T533" s="15"/>
      <x:c r="U533" s="16"/>
      <x:c r="V533" t="str">
        <x:v>JTRE</x:v>
      </x:c>
      <x:c r="W533" t="str">
        <x:v>Ružinov</x:v>
      </x:c>
      <x:c r="X533" s="11" t="str">
        <x:v>Predaný</x:v>
      </x:c>
      <x:c r="Y533" s="11" t="str">
        <x:v>https://d-y.sk/byty/c06.05/</x:v>
      </x:c>
      <x:c r="Z533" s="11" t="n">
        <x:v>46252.68496519676</x:v>
      </x:c>
      <x:c r="AA533" s="11" t="n">
        <x:v>46254.51251577547</x:v>
      </x:c>
      <x:c r="AB533" s="11" t="n">
        <x:v>46254.51251577547</x:v>
      </x:c>
      <x:c r="AC533" t="str">
        <x:v>downtown_yards</x:v>
      </x:c>
    </x:row>
    <x:row r="534" ht="22" customHeight="1">
      <x:c r="A534" t="str">
        <x:v>Downtown Yards</x:v>
      </x:c>
      <x:c r="B534" t="str">
        <x:v>C07.01</x:v>
      </x:c>
      <x:c r="C534" t="str">
        <x:v>sold</x:v>
      </x:c>
      <x:c r="D534" t="str">
        <x:v>present</x:v>
      </x:c>
      <x:c r="E534" t="str">
        <x:v>baseline</x:v>
      </x:c>
      <x:c r="F534" s="11" t="n">
        <x:v>46252.68496519676</x:v>
      </x:c>
      <x:c r="G534" t="str">
        <x:v>flat</x:v>
      </x:c>
      <x:c r="H534" s="12" t="n">
        <x:v>3</x:v>
      </x:c>
      <x:c r="I534" s="13" t="n">
        <x:v>7</x:v>
      </x:c>
      <x:c r="J534" t="str">
        <x:v>C</x:v>
      </x:c>
      <x:c r="K534" s="14" t="n">
        <x:v>80.55</x:v>
      </x:c>
      <x:c r="L534" s="14"/>
      <x:c r="M534" s="14"/>
      <x:c r="N534" s="14"/>
      <x:c r="O534" s="14"/>
      <x:c r="P534" s="14" t="n">
        <x:v>51.13</x:v>
      </x:c>
      <x:c r="Q534" s="14" t="n">
        <x:v>131.68</x:v>
      </x:c>
      <x:c r="R534" s="15"/>
      <x:c r="S534" s="15"/>
      <x:c r="T534" s="15"/>
      <x:c r="U534" s="16"/>
      <x:c r="V534" t="str">
        <x:v>JTRE</x:v>
      </x:c>
      <x:c r="W534" t="str">
        <x:v>Ružinov</x:v>
      </x:c>
      <x:c r="X534" s="11" t="str">
        <x:v>Predaný</x:v>
      </x:c>
      <x:c r="Y534" s="11" t="str">
        <x:v>https://d-y.sk/byty/c07.01/</x:v>
      </x:c>
      <x:c r="Z534" s="11" t="n">
        <x:v>46252.68496519676</x:v>
      </x:c>
      <x:c r="AA534" s="11" t="n">
        <x:v>46254.51251577547</x:v>
      </x:c>
      <x:c r="AB534" s="11" t="n">
        <x:v>46254.51251577547</x:v>
      </x:c>
      <x:c r="AC534" t="str">
        <x:v>downtown_yards</x:v>
      </x:c>
    </x:row>
    <x:row r="535" ht="22" customHeight="1">
      <x:c r="A535" t="str">
        <x:v>Downtown Yards</x:v>
      </x:c>
      <x:c r="B535" t="str">
        <x:v>C07.02</x:v>
      </x:c>
      <x:c r="C535" t="str">
        <x:v>sold</x:v>
      </x:c>
      <x:c r="D535" t="str">
        <x:v>present</x:v>
      </x:c>
      <x:c r="E535" t="str">
        <x:v>baseline</x:v>
      </x:c>
      <x:c r="F535" s="11" t="n">
        <x:v>46252.68496519676</x:v>
      </x:c>
      <x:c r="G535" t="str">
        <x:v>flat</x:v>
      </x:c>
      <x:c r="H535" s="12" t="n">
        <x:v>4</x:v>
      </x:c>
      <x:c r="I535" s="13" t="n">
        <x:v>7</x:v>
      </x:c>
      <x:c r="J535" t="str">
        <x:v>C</x:v>
      </x:c>
      <x:c r="K535" s="14" t="n">
        <x:v>139.73</x:v>
      </x:c>
      <x:c r="L535" s="14"/>
      <x:c r="M535" s="14"/>
      <x:c r="N535" s="14"/>
      <x:c r="O535" s="14"/>
      <x:c r="P535" s="14" t="n">
        <x:v>105.45</x:v>
      </x:c>
      <x:c r="Q535" s="14" t="n">
        <x:v>245.18</x:v>
      </x:c>
      <x:c r="R535" s="15"/>
      <x:c r="S535" s="15"/>
      <x:c r="T535" s="15"/>
      <x:c r="U535" s="16"/>
      <x:c r="V535" t="str">
        <x:v>JTRE</x:v>
      </x:c>
      <x:c r="W535" t="str">
        <x:v>Ružinov</x:v>
      </x:c>
      <x:c r="X535" s="11" t="str">
        <x:v>Predaný</x:v>
      </x:c>
      <x:c r="Y535" s="11" t="str">
        <x:v>https://d-y.sk/byty/c07.02/</x:v>
      </x:c>
      <x:c r="Z535" s="11" t="n">
        <x:v>46252.68496519676</x:v>
      </x:c>
      <x:c r="AA535" s="11" t="n">
        <x:v>46254.51251577547</x:v>
      </x:c>
      <x:c r="AB535" s="11" t="n">
        <x:v>46254.51251577547</x:v>
      </x:c>
      <x:c r="AC535" t="str">
        <x:v>downtown_yards</x:v>
      </x:c>
    </x:row>
    <x:row r="536" ht="22" customHeight="1">
      <x:c r="A536" t="str">
        <x:v>Downtown Yards</x:v>
      </x:c>
      <x:c r="B536" t="str">
        <x:v>D02.01</x:v>
      </x:c>
      <x:c r="C536" t="str">
        <x:v>sold</x:v>
      </x:c>
      <x:c r="D536" t="str">
        <x:v>present</x:v>
      </x:c>
      <x:c r="E536" t="str">
        <x:v>baseline</x:v>
      </x:c>
      <x:c r="F536" s="11" t="n">
        <x:v>46252.68496519676</x:v>
      </x:c>
      <x:c r="G536" t="str">
        <x:v>apartment</x:v>
      </x:c>
      <x:c r="H536" s="12" t="n">
        <x:v>2</x:v>
      </x:c>
      <x:c r="I536" s="13" t="n">
        <x:v>2</x:v>
      </x:c>
      <x:c r="J536" t="str">
        <x:v>D</x:v>
      </x:c>
      <x:c r="K536" s="14" t="n">
        <x:v>54.42</x:v>
      </x:c>
      <x:c r="L536" s="14"/>
      <x:c r="M536" s="14"/>
      <x:c r="N536" s="14"/>
      <x:c r="O536" s="14"/>
      <x:c r="P536" s="14" t="n">
        <x:v>29.85</x:v>
      </x:c>
      <x:c r="Q536" s="14" t="n">
        <x:v>84.27</x:v>
      </x:c>
      <x:c r="R536" s="15"/>
      <x:c r="S536" s="15"/>
      <x:c r="T536" s="15"/>
      <x:c r="U536" s="16"/>
      <x:c r="V536" t="str">
        <x:v>JTRE</x:v>
      </x:c>
      <x:c r="W536" t="str">
        <x:v>Ružinov</x:v>
      </x:c>
      <x:c r="X536" s="11" t="str">
        <x:v>Predaný</x:v>
      </x:c>
      <x:c r="Y536" s="11" t="str">
        <x:v>https://d-y.sk/byty/d02.01/</x:v>
      </x:c>
      <x:c r="Z536" s="11" t="n">
        <x:v>46252.68496519676</x:v>
      </x:c>
      <x:c r="AA536" s="11" t="n">
        <x:v>46254.51251577547</x:v>
      </x:c>
      <x:c r="AB536" s="11" t="n">
        <x:v>46254.51251577547</x:v>
      </x:c>
      <x:c r="AC536" t="str">
        <x:v>downtown_yards</x:v>
      </x:c>
    </x:row>
    <x:row r="537" ht="22" customHeight="1">
      <x:c r="A537" t="str">
        <x:v>Downtown Yards</x:v>
      </x:c>
      <x:c r="B537" t="str">
        <x:v>D02.02</x:v>
      </x:c>
      <x:c r="C537" t="str">
        <x:v>sold</x:v>
      </x:c>
      <x:c r="D537" t="str">
        <x:v>present</x:v>
      </x:c>
      <x:c r="E537" t="str">
        <x:v>baseline</x:v>
      </x:c>
      <x:c r="F537" s="11" t="n">
        <x:v>46252.68496519676</x:v>
      </x:c>
      <x:c r="G537" t="str">
        <x:v>apartment</x:v>
      </x:c>
      <x:c r="H537" s="12" t="n">
        <x:v>1</x:v>
      </x:c>
      <x:c r="I537" s="13" t="n">
        <x:v>2</x:v>
      </x:c>
      <x:c r="J537" t="str">
        <x:v>D</x:v>
      </x:c>
      <x:c r="K537" s="14" t="n">
        <x:v>42.25</x:v>
      </x:c>
      <x:c r="L537" s="14"/>
      <x:c r="M537" s="14"/>
      <x:c r="N537" s="14"/>
      <x:c r="O537" s="14"/>
      <x:c r="P537" s="14" t="n">
        <x:v>25.5</x:v>
      </x:c>
      <x:c r="Q537" s="14" t="n">
        <x:v>67.75</x:v>
      </x:c>
      <x:c r="R537" s="15"/>
      <x:c r="S537" s="15"/>
      <x:c r="T537" s="15"/>
      <x:c r="U537" s="16"/>
      <x:c r="V537" t="str">
        <x:v>JTRE</x:v>
      </x:c>
      <x:c r="W537" t="str">
        <x:v>Ružinov</x:v>
      </x:c>
      <x:c r="X537" s="11" t="str">
        <x:v>Predaný</x:v>
      </x:c>
      <x:c r="Y537" s="11" t="str">
        <x:v>https://d-y.sk/byty/d02.02/</x:v>
      </x:c>
      <x:c r="Z537" s="11" t="n">
        <x:v>46252.68496519676</x:v>
      </x:c>
      <x:c r="AA537" s="11" t="n">
        <x:v>46254.51251577547</x:v>
      </x:c>
      <x:c r="AB537" s="11" t="n">
        <x:v>46254.51251577547</x:v>
      </x:c>
      <x:c r="AC537" t="str">
        <x:v>downtown_yards</x:v>
      </x:c>
    </x:row>
    <x:row r="538" ht="22" customHeight="1">
      <x:c r="A538" t="str">
        <x:v>Downtown Yards</x:v>
      </x:c>
      <x:c r="B538" t="str">
        <x:v>D02.03</x:v>
      </x:c>
      <x:c r="C538" t="str">
        <x:v>sold</x:v>
      </x:c>
      <x:c r="D538" t="str">
        <x:v>present</x:v>
      </x:c>
      <x:c r="E538" t="str">
        <x:v>baseline</x:v>
      </x:c>
      <x:c r="F538" s="11" t="n">
        <x:v>46252.68496519676</x:v>
      </x:c>
      <x:c r="G538" t="str">
        <x:v>apartment</x:v>
      </x:c>
      <x:c r="H538" s="12" t="n">
        <x:v>2</x:v>
      </x:c>
      <x:c r="I538" s="13" t="n">
        <x:v>2</x:v>
      </x:c>
      <x:c r="J538" t="str">
        <x:v>D</x:v>
      </x:c>
      <x:c r="K538" s="14" t="n">
        <x:v>49.91</x:v>
      </x:c>
      <x:c r="L538" s="14"/>
      <x:c r="M538" s="14"/>
      <x:c r="N538" s="14"/>
      <x:c r="O538" s="14"/>
      <x:c r="P538" s="14" t="n">
        <x:v>6.15</x:v>
      </x:c>
      <x:c r="Q538" s="14" t="n">
        <x:v>56.06</x:v>
      </x:c>
      <x:c r="R538" s="15"/>
      <x:c r="S538" s="15"/>
      <x:c r="T538" s="15"/>
      <x:c r="U538" s="16"/>
      <x:c r="V538" t="str">
        <x:v>JTRE</x:v>
      </x:c>
      <x:c r="W538" t="str">
        <x:v>Ružinov</x:v>
      </x:c>
      <x:c r="X538" s="11" t="str">
        <x:v>Predaný</x:v>
      </x:c>
      <x:c r="Y538" s="11" t="str">
        <x:v>https://d-y.sk/byty/d02.03/</x:v>
      </x:c>
      <x:c r="Z538" s="11" t="n">
        <x:v>46252.68496519676</x:v>
      </x:c>
      <x:c r="AA538" s="11" t="n">
        <x:v>46254.51251577547</x:v>
      </x:c>
      <x:c r="AB538" s="11" t="n">
        <x:v>46254.51251577547</x:v>
      </x:c>
      <x:c r="AC538" t="str">
        <x:v>downtown_yards</x:v>
      </x:c>
    </x:row>
    <x:row r="539" ht="22" customHeight="1">
      <x:c r="A539" t="str">
        <x:v>Downtown Yards</x:v>
      </x:c>
      <x:c r="B539" t="str">
        <x:v>D02.04</x:v>
      </x:c>
      <x:c r="C539" t="str">
        <x:v>sold</x:v>
      </x:c>
      <x:c r="D539" t="str">
        <x:v>present</x:v>
      </x:c>
      <x:c r="E539" t="str">
        <x:v>baseline</x:v>
      </x:c>
      <x:c r="F539" s="11" t="n">
        <x:v>46252.68496519676</x:v>
      </x:c>
      <x:c r="G539" t="str">
        <x:v>apartment</x:v>
      </x:c>
      <x:c r="H539" s="12" t="n">
        <x:v>2</x:v>
      </x:c>
      <x:c r="I539" s="13" t="n">
        <x:v>2</x:v>
      </x:c>
      <x:c r="J539" t="str">
        <x:v>D</x:v>
      </x:c>
      <x:c r="K539" s="14" t="n">
        <x:v>50.17</x:v>
      </x:c>
      <x:c r="L539" s="14"/>
      <x:c r="M539" s="14"/>
      <x:c r="N539" s="14"/>
      <x:c r="O539" s="14"/>
      <x:c r="P539" s="14" t="n">
        <x:v>6.15</x:v>
      </x:c>
      <x:c r="Q539" s="14" t="n">
        <x:v>56.32</x:v>
      </x:c>
      <x:c r="R539" s="15"/>
      <x:c r="S539" s="15"/>
      <x:c r="T539" s="15"/>
      <x:c r="U539" s="16"/>
      <x:c r="V539" t="str">
        <x:v>JTRE</x:v>
      </x:c>
      <x:c r="W539" t="str">
        <x:v>Ružinov</x:v>
      </x:c>
      <x:c r="X539" s="11" t="str">
        <x:v>Predaný</x:v>
      </x:c>
      <x:c r="Y539" s="11" t="str">
        <x:v>https://d-y.sk/byty/d02.04/</x:v>
      </x:c>
      <x:c r="Z539" s="11" t="n">
        <x:v>46252.68496519676</x:v>
      </x:c>
      <x:c r="AA539" s="11" t="n">
        <x:v>46254.51251577547</x:v>
      </x:c>
      <x:c r="AB539" s="11" t="n">
        <x:v>46254.51251577547</x:v>
      </x:c>
      <x:c r="AC539" t="str">
        <x:v>downtown_yards</x:v>
      </x:c>
    </x:row>
    <x:row r="540" ht="22" customHeight="1">
      <x:c r="A540" t="str">
        <x:v>Downtown Yards</x:v>
      </x:c>
      <x:c r="B540" t="str">
        <x:v>D02.05</x:v>
      </x:c>
      <x:c r="C540" t="str">
        <x:v>sold</x:v>
      </x:c>
      <x:c r="D540" t="str">
        <x:v>present</x:v>
      </x:c>
      <x:c r="E540" t="str">
        <x:v>baseline</x:v>
      </x:c>
      <x:c r="F540" s="11" t="n">
        <x:v>46252.68496519676</x:v>
      </x:c>
      <x:c r="G540" t="str">
        <x:v>apartment</x:v>
      </x:c>
      <x:c r="H540" s="12" t="n">
        <x:v>1</x:v>
      </x:c>
      <x:c r="I540" s="13" t="n">
        <x:v>2</x:v>
      </x:c>
      <x:c r="J540" t="str">
        <x:v>D</x:v>
      </x:c>
      <x:c r="K540" s="14" t="n">
        <x:v>39.29</x:v>
      </x:c>
      <x:c r="L540" s="14"/>
      <x:c r="M540" s="14"/>
      <x:c r="N540" s="14"/>
      <x:c r="O540" s="14"/>
      <x:c r="P540" s="14" t="n">
        <x:v>4.9</x:v>
      </x:c>
      <x:c r="Q540" s="14" t="n">
        <x:v>44.19</x:v>
      </x:c>
      <x:c r="R540" s="15"/>
      <x:c r="S540" s="15"/>
      <x:c r="T540" s="15"/>
      <x:c r="U540" s="16"/>
      <x:c r="V540" t="str">
        <x:v>JTRE</x:v>
      </x:c>
      <x:c r="W540" t="str">
        <x:v>Ružinov</x:v>
      </x:c>
      <x:c r="X540" s="11" t="str">
        <x:v>Predaný</x:v>
      </x:c>
      <x:c r="Y540" s="11" t="str">
        <x:v>https://d-y.sk/byty/d02.05/</x:v>
      </x:c>
      <x:c r="Z540" s="11" t="n">
        <x:v>46252.68496519676</x:v>
      </x:c>
      <x:c r="AA540" s="11" t="n">
        <x:v>46254.51251577547</x:v>
      </x:c>
      <x:c r="AB540" s="11" t="n">
        <x:v>46254.51251577547</x:v>
      </x:c>
      <x:c r="AC540" t="str">
        <x:v>downtown_yards</x:v>
      </x:c>
    </x:row>
    <x:row r="541" ht="22" customHeight="1">
      <x:c r="A541" t="str">
        <x:v>Downtown Yards</x:v>
      </x:c>
      <x:c r="B541" t="str">
        <x:v>D03.01</x:v>
      </x:c>
      <x:c r="C541" t="str">
        <x:v>sold</x:v>
      </x:c>
      <x:c r="D541" t="str">
        <x:v>present</x:v>
      </x:c>
      <x:c r="E541" t="str">
        <x:v>baseline</x:v>
      </x:c>
      <x:c r="F541" s="11" t="n">
        <x:v>46252.68496519676</x:v>
      </x:c>
      <x:c r="G541" t="str">
        <x:v>apartment</x:v>
      </x:c>
      <x:c r="H541" s="12" t="n">
        <x:v>2</x:v>
      </x:c>
      <x:c r="I541" s="13" t="n">
        <x:v>3</x:v>
      </x:c>
      <x:c r="J541" t="str">
        <x:v>D</x:v>
      </x:c>
      <x:c r="K541" s="14" t="n">
        <x:v>54.43</x:v>
      </x:c>
      <x:c r="L541" s="14"/>
      <x:c r="M541" s="14"/>
      <x:c r="N541" s="14"/>
      <x:c r="O541" s="14"/>
      <x:c r="P541" s="14" t="n">
        <x:v>4.48</x:v>
      </x:c>
      <x:c r="Q541" s="14" t="n">
        <x:v>58.91</x:v>
      </x:c>
      <x:c r="R541" s="15"/>
      <x:c r="S541" s="15"/>
      <x:c r="T541" s="15"/>
      <x:c r="U541" s="16"/>
      <x:c r="V541" t="str">
        <x:v>JTRE</x:v>
      </x:c>
      <x:c r="W541" t="str">
        <x:v>Ružinov</x:v>
      </x:c>
      <x:c r="X541" s="11" t="str">
        <x:v>Predaný</x:v>
      </x:c>
      <x:c r="Y541" s="11" t="str">
        <x:v>https://d-y.sk/byty/d03.01/</x:v>
      </x:c>
      <x:c r="Z541" s="11" t="n">
        <x:v>46252.68496519676</x:v>
      </x:c>
      <x:c r="AA541" s="11" t="n">
        <x:v>46254.51251577547</x:v>
      </x:c>
      <x:c r="AB541" s="11" t="n">
        <x:v>46254.51251577547</x:v>
      </x:c>
      <x:c r="AC541" t="str">
        <x:v>downtown_yards</x:v>
      </x:c>
    </x:row>
    <x:row r="542" ht="22" customHeight="1">
      <x:c r="A542" t="str">
        <x:v>Downtown Yards</x:v>
      </x:c>
      <x:c r="B542" t="str">
        <x:v>D03.02</x:v>
      </x:c>
      <x:c r="C542" t="str">
        <x:v>sold</x:v>
      </x:c>
      <x:c r="D542" t="str">
        <x:v>present</x:v>
      </x:c>
      <x:c r="E542" t="str">
        <x:v>baseline</x:v>
      </x:c>
      <x:c r="F542" s="11" t="n">
        <x:v>46252.68496519676</x:v>
      </x:c>
      <x:c r="G542" t="str">
        <x:v>apartment</x:v>
      </x:c>
      <x:c r="H542" s="12" t="n">
        <x:v>1</x:v>
      </x:c>
      <x:c r="I542" s="13" t="n">
        <x:v>3</x:v>
      </x:c>
      <x:c r="J542" t="str">
        <x:v>D</x:v>
      </x:c>
      <x:c r="K542" s="14" t="n">
        <x:v>42.73</x:v>
      </x:c>
      <x:c r="L542" s="14"/>
      <x:c r="M542" s="14"/>
      <x:c r="N542" s="14"/>
      <x:c r="O542" s="14"/>
      <x:c r="P542" s="14" t="n">
        <x:v>5.13</x:v>
      </x:c>
      <x:c r="Q542" s="14" t="n">
        <x:v>47.86</x:v>
      </x:c>
      <x:c r="R542" s="15"/>
      <x:c r="S542" s="15"/>
      <x:c r="T542" s="15"/>
      <x:c r="U542" s="16"/>
      <x:c r="V542" t="str">
        <x:v>JTRE</x:v>
      </x:c>
      <x:c r="W542" t="str">
        <x:v>Ružinov</x:v>
      </x:c>
      <x:c r="X542" s="11" t="str">
        <x:v>Predaný</x:v>
      </x:c>
      <x:c r="Y542" s="11" t="str">
        <x:v>https://d-y.sk/byty/d03.02/</x:v>
      </x:c>
      <x:c r="Z542" s="11" t="n">
        <x:v>46252.68496519676</x:v>
      </x:c>
      <x:c r="AA542" s="11" t="n">
        <x:v>46254.51251577547</x:v>
      </x:c>
      <x:c r="AB542" s="11" t="n">
        <x:v>46254.51251577547</x:v>
      </x:c>
      <x:c r="AC542" t="str">
        <x:v>downtown_yards</x:v>
      </x:c>
    </x:row>
    <x:row r="543" ht="22" customHeight="1">
      <x:c r="A543" t="str">
        <x:v>Downtown Yards</x:v>
      </x:c>
      <x:c r="B543" t="str">
        <x:v>D03.03</x:v>
      </x:c>
      <x:c r="C543" t="str">
        <x:v>sold</x:v>
      </x:c>
      <x:c r="D543" t="str">
        <x:v>present</x:v>
      </x:c>
      <x:c r="E543" t="str">
        <x:v>baseline</x:v>
      </x:c>
      <x:c r="F543" s="11" t="n">
        <x:v>46252.68496519676</x:v>
      </x:c>
      <x:c r="G543" t="str">
        <x:v>apartment</x:v>
      </x:c>
      <x:c r="H543" s="12" t="n">
        <x:v>2</x:v>
      </x:c>
      <x:c r="I543" s="13" t="n">
        <x:v>3</x:v>
      </x:c>
      <x:c r="J543" t="str">
        <x:v>D</x:v>
      </x:c>
      <x:c r="K543" s="14" t="n">
        <x:v>50.28</x:v>
      </x:c>
      <x:c r="L543" s="14"/>
      <x:c r="M543" s="14"/>
      <x:c r="N543" s="14"/>
      <x:c r="O543" s="14"/>
      <x:c r="P543" s="14" t="n">
        <x:v>6.15</x:v>
      </x:c>
      <x:c r="Q543" s="14" t="n">
        <x:v>56.43</x:v>
      </x:c>
      <x:c r="R543" s="15"/>
      <x:c r="S543" s="15"/>
      <x:c r="T543" s="15"/>
      <x:c r="U543" s="16"/>
      <x:c r="V543" t="str">
        <x:v>JTRE</x:v>
      </x:c>
      <x:c r="W543" t="str">
        <x:v>Ružinov</x:v>
      </x:c>
      <x:c r="X543" s="11" t="str">
        <x:v>Predaný</x:v>
      </x:c>
      <x:c r="Y543" s="11" t="str">
        <x:v>https://d-y.sk/byty/d03.03/</x:v>
      </x:c>
      <x:c r="Z543" s="11" t="n">
        <x:v>46252.68496519676</x:v>
      </x:c>
      <x:c r="AA543" s="11" t="n">
        <x:v>46254.51251577547</x:v>
      </x:c>
      <x:c r="AB543" s="11" t="n">
        <x:v>46254.51251577547</x:v>
      </x:c>
      <x:c r="AC543" t="str">
        <x:v>downtown_yards</x:v>
      </x:c>
    </x:row>
    <x:row r="544" ht="22" customHeight="1">
      <x:c r="A544" t="str">
        <x:v>Downtown Yards</x:v>
      </x:c>
      <x:c r="B544" t="str">
        <x:v>D03.04</x:v>
      </x:c>
      <x:c r="C544" t="str">
        <x:v>sold</x:v>
      </x:c>
      <x:c r="D544" t="str">
        <x:v>present</x:v>
      </x:c>
      <x:c r="E544" t="str">
        <x:v>baseline</x:v>
      </x:c>
      <x:c r="F544" s="11" t="n">
        <x:v>46252.68496519676</x:v>
      </x:c>
      <x:c r="G544" t="str">
        <x:v>apartment</x:v>
      </x:c>
      <x:c r="H544" s="12" t="n">
        <x:v>2</x:v>
      </x:c>
      <x:c r="I544" s="13" t="n">
        <x:v>3</x:v>
      </x:c>
      <x:c r="J544" t="str">
        <x:v>D</x:v>
      </x:c>
      <x:c r="K544" s="14" t="n">
        <x:v>50.17</x:v>
      </x:c>
      <x:c r="L544" s="14"/>
      <x:c r="M544" s="14"/>
      <x:c r="N544" s="14"/>
      <x:c r="O544" s="14"/>
      <x:c r="P544" s="14" t="n">
        <x:v>6.15</x:v>
      </x:c>
      <x:c r="Q544" s="14" t="n">
        <x:v>56.32</x:v>
      </x:c>
      <x:c r="R544" s="15"/>
      <x:c r="S544" s="15"/>
      <x:c r="T544" s="15"/>
      <x:c r="U544" s="16"/>
      <x:c r="V544" t="str">
        <x:v>JTRE</x:v>
      </x:c>
      <x:c r="W544" t="str">
        <x:v>Ružinov</x:v>
      </x:c>
      <x:c r="X544" s="11" t="str">
        <x:v>Predaný</x:v>
      </x:c>
      <x:c r="Y544" s="11" t="str">
        <x:v>https://d-y.sk/byty/d03.04/</x:v>
      </x:c>
      <x:c r="Z544" s="11" t="n">
        <x:v>46252.68496519676</x:v>
      </x:c>
      <x:c r="AA544" s="11" t="n">
        <x:v>46254.51251577547</x:v>
      </x:c>
      <x:c r="AB544" s="11" t="n">
        <x:v>46254.51251577547</x:v>
      </x:c>
      <x:c r="AC544" t="str">
        <x:v>downtown_yards</x:v>
      </x:c>
    </x:row>
    <x:row r="545" ht="22" customHeight="1">
      <x:c r="A545" t="str">
        <x:v>Downtown Yards</x:v>
      </x:c>
      <x:c r="B545" t="str">
        <x:v>D03.05</x:v>
      </x:c>
      <x:c r="C545" t="str">
        <x:v>sold</x:v>
      </x:c>
      <x:c r="D545" t="str">
        <x:v>present</x:v>
      </x:c>
      <x:c r="E545" t="str">
        <x:v>baseline</x:v>
      </x:c>
      <x:c r="F545" s="11" t="n">
        <x:v>46252.68496519676</x:v>
      </x:c>
      <x:c r="G545" t="str">
        <x:v>apartment</x:v>
      </x:c>
      <x:c r="H545" s="12" t="n">
        <x:v>1</x:v>
      </x:c>
      <x:c r="I545" s="13" t="n">
        <x:v>3</x:v>
      </x:c>
      <x:c r="J545" t="str">
        <x:v>D</x:v>
      </x:c>
      <x:c r="K545" s="14" t="n">
        <x:v>39.29</x:v>
      </x:c>
      <x:c r="L545" s="14"/>
      <x:c r="M545" s="14"/>
      <x:c r="N545" s="14"/>
      <x:c r="O545" s="14"/>
      <x:c r="P545" s="14" t="n">
        <x:v>4.9</x:v>
      </x:c>
      <x:c r="Q545" s="14" t="n">
        <x:v>44.19</x:v>
      </x:c>
      <x:c r="R545" s="15"/>
      <x:c r="S545" s="15"/>
      <x:c r="T545" s="15"/>
      <x:c r="U545" s="16"/>
      <x:c r="V545" t="str">
        <x:v>JTRE</x:v>
      </x:c>
      <x:c r="W545" t="str">
        <x:v>Ružinov</x:v>
      </x:c>
      <x:c r="X545" s="11" t="str">
        <x:v>Predaný</x:v>
      </x:c>
      <x:c r="Y545" s="11" t="str">
        <x:v>https://d-y.sk/byty/d03.05/</x:v>
      </x:c>
      <x:c r="Z545" s="11" t="n">
        <x:v>46252.68496519676</x:v>
      </x:c>
      <x:c r="AA545" s="11" t="n">
        <x:v>46254.51251577547</x:v>
      </x:c>
      <x:c r="AB545" s="11" t="n">
        <x:v>46254.51251577547</x:v>
      </x:c>
      <x:c r="AC545" t="str">
        <x:v>downtown_yards</x:v>
      </x:c>
    </x:row>
    <x:row r="546" ht="22" customHeight="1">
      <x:c r="A546" t="str">
        <x:v>Downtown Yards</x:v>
      </x:c>
      <x:c r="B546" t="str">
        <x:v>D04.01</x:v>
      </x:c>
      <x:c r="C546" t="str">
        <x:v>sold</x:v>
      </x:c>
      <x:c r="D546" t="str">
        <x:v>present</x:v>
      </x:c>
      <x:c r="E546" t="str">
        <x:v>baseline</x:v>
      </x:c>
      <x:c r="F546" s="11" t="n">
        <x:v>46252.68496519676</x:v>
      </x:c>
      <x:c r="G546" t="str">
        <x:v>apartment</x:v>
      </x:c>
      <x:c r="H546" s="12" t="n">
        <x:v>2</x:v>
      </x:c>
      <x:c r="I546" s="13" t="n">
        <x:v>4</x:v>
      </x:c>
      <x:c r="J546" t="str">
        <x:v>D</x:v>
      </x:c>
      <x:c r="K546" s="14" t="n">
        <x:v>54.43</x:v>
      </x:c>
      <x:c r="L546" s="14"/>
      <x:c r="M546" s="14"/>
      <x:c r="N546" s="14"/>
      <x:c r="O546" s="14"/>
      <x:c r="P546" s="14" t="n">
        <x:v>4.48</x:v>
      </x:c>
      <x:c r="Q546" s="14" t="n">
        <x:v>58.91</x:v>
      </x:c>
      <x:c r="R546" s="15"/>
      <x:c r="S546" s="15"/>
      <x:c r="T546" s="15"/>
      <x:c r="U546" s="16"/>
      <x:c r="V546" t="str">
        <x:v>JTRE</x:v>
      </x:c>
      <x:c r="W546" t="str">
        <x:v>Ružinov</x:v>
      </x:c>
      <x:c r="X546" s="11" t="str">
        <x:v>Predaný</x:v>
      </x:c>
      <x:c r="Y546" s="11" t="str">
        <x:v>https://d-y.sk/byty/d04.01/</x:v>
      </x:c>
      <x:c r="Z546" s="11" t="n">
        <x:v>46252.68496519676</x:v>
      </x:c>
      <x:c r="AA546" s="11" t="n">
        <x:v>46254.51251577547</x:v>
      </x:c>
      <x:c r="AB546" s="11" t="n">
        <x:v>46254.51251577547</x:v>
      </x:c>
      <x:c r="AC546" t="str">
        <x:v>downtown_yards</x:v>
      </x:c>
    </x:row>
    <x:row r="547" ht="22" customHeight="1">
      <x:c r="A547" t="str">
        <x:v>Downtown Yards</x:v>
      </x:c>
      <x:c r="B547" t="str">
        <x:v>D04.02</x:v>
      </x:c>
      <x:c r="C547" t="str">
        <x:v>sold</x:v>
      </x:c>
      <x:c r="D547" t="str">
        <x:v>present</x:v>
      </x:c>
      <x:c r="E547" t="str">
        <x:v>baseline</x:v>
      </x:c>
      <x:c r="F547" s="11" t="n">
        <x:v>46252.68496519676</x:v>
      </x:c>
      <x:c r="G547" t="str">
        <x:v>apartment</x:v>
      </x:c>
      <x:c r="H547" s="12" t="n">
        <x:v>1</x:v>
      </x:c>
      <x:c r="I547" s="13" t="n">
        <x:v>4</x:v>
      </x:c>
      <x:c r="J547" t="str">
        <x:v>D</x:v>
      </x:c>
      <x:c r="K547" s="14" t="n">
        <x:v>42.73</x:v>
      </x:c>
      <x:c r="L547" s="14"/>
      <x:c r="M547" s="14"/>
      <x:c r="N547" s="14"/>
      <x:c r="O547" s="14"/>
      <x:c r="P547" s="14" t="n">
        <x:v>5.13</x:v>
      </x:c>
      <x:c r="Q547" s="14" t="n">
        <x:v>47.86</x:v>
      </x:c>
      <x:c r="R547" s="15"/>
      <x:c r="S547" s="15"/>
      <x:c r="T547" s="15"/>
      <x:c r="U547" s="16"/>
      <x:c r="V547" t="str">
        <x:v>JTRE</x:v>
      </x:c>
      <x:c r="W547" t="str">
        <x:v>Ružinov</x:v>
      </x:c>
      <x:c r="X547" s="11" t="str">
        <x:v>Predaný</x:v>
      </x:c>
      <x:c r="Y547" s="11" t="str">
        <x:v>https://d-y.sk/byty/d04.02/</x:v>
      </x:c>
      <x:c r="Z547" s="11" t="n">
        <x:v>46252.68496519676</x:v>
      </x:c>
      <x:c r="AA547" s="11" t="n">
        <x:v>46254.51251577547</x:v>
      </x:c>
      <x:c r="AB547" s="11" t="n">
        <x:v>46254.51251577547</x:v>
      </x:c>
      <x:c r="AC547" t="str">
        <x:v>downtown_yards</x:v>
      </x:c>
    </x:row>
    <x:row r="548" ht="22" customHeight="1">
      <x:c r="A548" t="str">
        <x:v>Downtown Yards</x:v>
      </x:c>
      <x:c r="B548" t="str">
        <x:v>D04.03</x:v>
      </x:c>
      <x:c r="C548" t="str">
        <x:v>sold</x:v>
      </x:c>
      <x:c r="D548" t="str">
        <x:v>present</x:v>
      </x:c>
      <x:c r="E548" t="str">
        <x:v>baseline</x:v>
      </x:c>
      <x:c r="F548" s="11" t="n">
        <x:v>46252.68496519676</x:v>
      </x:c>
      <x:c r="G548" t="str">
        <x:v>apartment</x:v>
      </x:c>
      <x:c r="H548" s="12" t="n">
        <x:v>2</x:v>
      </x:c>
      <x:c r="I548" s="13" t="n">
        <x:v>4</x:v>
      </x:c>
      <x:c r="J548" t="str">
        <x:v>D</x:v>
      </x:c>
      <x:c r="K548" s="14" t="n">
        <x:v>50.99</x:v>
      </x:c>
      <x:c r="L548" s="14"/>
      <x:c r="M548" s="14"/>
      <x:c r="N548" s="14"/>
      <x:c r="O548" s="14"/>
      <x:c r="P548" s="14" t="n">
        <x:v>6.15</x:v>
      </x:c>
      <x:c r="Q548" s="14" t="n">
        <x:v>57.14</x:v>
      </x:c>
      <x:c r="R548" s="15"/>
      <x:c r="S548" s="15"/>
      <x:c r="T548" s="15"/>
      <x:c r="U548" s="16"/>
      <x:c r="V548" t="str">
        <x:v>JTRE</x:v>
      </x:c>
      <x:c r="W548" t="str">
        <x:v>Ružinov</x:v>
      </x:c>
      <x:c r="X548" s="11" t="str">
        <x:v>Predaný</x:v>
      </x:c>
      <x:c r="Y548" s="11" t="str">
        <x:v>https://d-y.sk/byty/d04.03/</x:v>
      </x:c>
      <x:c r="Z548" s="11" t="n">
        <x:v>46252.68496519676</x:v>
      </x:c>
      <x:c r="AA548" s="11" t="n">
        <x:v>46254.51251577547</x:v>
      </x:c>
      <x:c r="AB548" s="11" t="n">
        <x:v>46254.51251577547</x:v>
      </x:c>
      <x:c r="AC548" t="str">
        <x:v>downtown_yards</x:v>
      </x:c>
    </x:row>
    <x:row r="549" ht="22" customHeight="1">
      <x:c r="A549" t="str">
        <x:v>Downtown Yards</x:v>
      </x:c>
      <x:c r="B549" t="str">
        <x:v>D04.04</x:v>
      </x:c>
      <x:c r="C549" t="str">
        <x:v>sold</x:v>
      </x:c>
      <x:c r="D549" t="str">
        <x:v>present</x:v>
      </x:c>
      <x:c r="E549" t="str">
        <x:v>baseline</x:v>
      </x:c>
      <x:c r="F549" s="11" t="n">
        <x:v>46252.68496519676</x:v>
      </x:c>
      <x:c r="G549" t="str">
        <x:v>apartment</x:v>
      </x:c>
      <x:c r="H549" s="12" t="n">
        <x:v>2</x:v>
      </x:c>
      <x:c r="I549" s="13" t="n">
        <x:v>4</x:v>
      </x:c>
      <x:c r="J549" t="str">
        <x:v>D</x:v>
      </x:c>
      <x:c r="K549" s="14" t="n">
        <x:v>50.88</x:v>
      </x:c>
      <x:c r="L549" s="14"/>
      <x:c r="M549" s="14"/>
      <x:c r="N549" s="14"/>
      <x:c r="O549" s="14"/>
      <x:c r="P549" s="14" t="n">
        <x:v>6.15</x:v>
      </x:c>
      <x:c r="Q549" s="14" t="n">
        <x:v>57.03</x:v>
      </x:c>
      <x:c r="R549" s="15"/>
      <x:c r="S549" s="15"/>
      <x:c r="T549" s="15"/>
      <x:c r="U549" s="16"/>
      <x:c r="V549" t="str">
        <x:v>JTRE</x:v>
      </x:c>
      <x:c r="W549" t="str">
        <x:v>Ružinov</x:v>
      </x:c>
      <x:c r="X549" s="11" t="str">
        <x:v>Predaný</x:v>
      </x:c>
      <x:c r="Y549" s="11" t="str">
        <x:v>https://d-y.sk/byty/d04.04/</x:v>
      </x:c>
      <x:c r="Z549" s="11" t="n">
        <x:v>46252.68496519676</x:v>
      </x:c>
      <x:c r="AA549" s="11" t="n">
        <x:v>46254.51251577547</x:v>
      </x:c>
      <x:c r="AB549" s="11" t="n">
        <x:v>46254.51251577547</x:v>
      </x:c>
      <x:c r="AC549" t="str">
        <x:v>downtown_yards</x:v>
      </x:c>
    </x:row>
    <x:row r="550" ht="22" customHeight="1">
      <x:c r="A550" t="str">
        <x:v>Downtown Yards</x:v>
      </x:c>
      <x:c r="B550" t="str">
        <x:v>D04.05</x:v>
      </x:c>
      <x:c r="C550" t="str">
        <x:v>sold</x:v>
      </x:c>
      <x:c r="D550" t="str">
        <x:v>present</x:v>
      </x:c>
      <x:c r="E550" t="str">
        <x:v>baseline</x:v>
      </x:c>
      <x:c r="F550" s="11" t="n">
        <x:v>46252.68496519676</x:v>
      </x:c>
      <x:c r="G550" t="str">
        <x:v>apartment</x:v>
      </x:c>
      <x:c r="H550" s="12" t="n">
        <x:v>1</x:v>
      </x:c>
      <x:c r="I550" s="13" t="n">
        <x:v>4</x:v>
      </x:c>
      <x:c r="J550" t="str">
        <x:v>D</x:v>
      </x:c>
      <x:c r="K550" s="14" t="n">
        <x:v>39.99</x:v>
      </x:c>
      <x:c r="L550" s="14"/>
      <x:c r="M550" s="14"/>
      <x:c r="N550" s="14"/>
      <x:c r="O550" s="14"/>
      <x:c r="P550" s="14" t="n">
        <x:v>4.84</x:v>
      </x:c>
      <x:c r="Q550" s="14" t="n">
        <x:v>44.83</x:v>
      </x:c>
      <x:c r="R550" s="15"/>
      <x:c r="S550" s="15"/>
      <x:c r="T550" s="15"/>
      <x:c r="U550" s="16"/>
      <x:c r="V550" t="str">
        <x:v>JTRE</x:v>
      </x:c>
      <x:c r="W550" t="str">
        <x:v>Ružinov</x:v>
      </x:c>
      <x:c r="X550" s="11" t="str">
        <x:v>Predaný</x:v>
      </x:c>
      <x:c r="Y550" s="11" t="str">
        <x:v>https://d-y.sk/byty/d04.05/</x:v>
      </x:c>
      <x:c r="Z550" s="11" t="n">
        <x:v>46252.68496519676</x:v>
      </x:c>
      <x:c r="AA550" s="11" t="n">
        <x:v>46254.51251577547</x:v>
      </x:c>
      <x:c r="AB550" s="11" t="n">
        <x:v>46254.51251577547</x:v>
      </x:c>
      <x:c r="AC550" t="str">
        <x:v>downtown_yards</x:v>
      </x:c>
    </x:row>
    <x:row r="551" ht="22" customHeight="1">
      <x:c r="A551" t="str">
        <x:v>Downtown Yards</x:v>
      </x:c>
      <x:c r="B551" t="str">
        <x:v>D05.01</x:v>
      </x:c>
      <x:c r="C551" t="str">
        <x:v>sold</x:v>
      </x:c>
      <x:c r="D551" t="str">
        <x:v>present</x:v>
      </x:c>
      <x:c r="E551" t="str">
        <x:v>baseline</x:v>
      </x:c>
      <x:c r="F551" s="11" t="n">
        <x:v>46252.68496519676</x:v>
      </x:c>
      <x:c r="G551" t="str">
        <x:v>apartment</x:v>
      </x:c>
      <x:c r="H551" s="12" t="n">
        <x:v>2</x:v>
      </x:c>
      <x:c r="I551" s="13" t="n">
        <x:v>5</x:v>
      </x:c>
      <x:c r="J551" t="str">
        <x:v>D</x:v>
      </x:c>
      <x:c r="K551" s="14" t="n">
        <x:v>54.43</x:v>
      </x:c>
      <x:c r="L551" s="14"/>
      <x:c r="M551" s="14"/>
      <x:c r="N551" s="14"/>
      <x:c r="O551" s="14"/>
      <x:c r="P551" s="14" t="n">
        <x:v>4.48</x:v>
      </x:c>
      <x:c r="Q551" s="14" t="n">
        <x:v>58.91</x:v>
      </x:c>
      <x:c r="R551" s="15"/>
      <x:c r="S551" s="15"/>
      <x:c r="T551" s="15"/>
      <x:c r="U551" s="16"/>
      <x:c r="V551" t="str">
        <x:v>JTRE</x:v>
      </x:c>
      <x:c r="W551" t="str">
        <x:v>Ružinov</x:v>
      </x:c>
      <x:c r="X551" s="11" t="str">
        <x:v>Predaný</x:v>
      </x:c>
      <x:c r="Y551" s="11" t="str">
        <x:v>https://d-y.sk/byty/d05.01/</x:v>
      </x:c>
      <x:c r="Z551" s="11" t="n">
        <x:v>46252.68496519676</x:v>
      </x:c>
      <x:c r="AA551" s="11" t="n">
        <x:v>46254.51251577547</x:v>
      </x:c>
      <x:c r="AB551" s="11" t="n">
        <x:v>46254.51251577547</x:v>
      </x:c>
      <x:c r="AC551" t="str">
        <x:v>downtown_yards</x:v>
      </x:c>
    </x:row>
    <x:row r="552" ht="22" customHeight="1">
      <x:c r="A552" t="str">
        <x:v>Downtown Yards</x:v>
      </x:c>
      <x:c r="B552" t="str">
        <x:v>D05.02</x:v>
      </x:c>
      <x:c r="C552" t="str">
        <x:v>sold</x:v>
      </x:c>
      <x:c r="D552" t="str">
        <x:v>present</x:v>
      </x:c>
      <x:c r="E552" t="str">
        <x:v>baseline</x:v>
      </x:c>
      <x:c r="F552" s="11" t="n">
        <x:v>46252.68496519676</x:v>
      </x:c>
      <x:c r="G552" t="str">
        <x:v>apartment</x:v>
      </x:c>
      <x:c r="H552" s="12" t="n">
        <x:v>1</x:v>
      </x:c>
      <x:c r="I552" s="13" t="n">
        <x:v>5</x:v>
      </x:c>
      <x:c r="J552" t="str">
        <x:v>D</x:v>
      </x:c>
      <x:c r="K552" s="14" t="n">
        <x:v>42.73</x:v>
      </x:c>
      <x:c r="L552" s="14"/>
      <x:c r="M552" s="14"/>
      <x:c r="N552" s="14"/>
      <x:c r="O552" s="14"/>
      <x:c r="P552" s="14" t="n">
        <x:v>5.13</x:v>
      </x:c>
      <x:c r="Q552" s="14" t="n">
        <x:v>47.86</x:v>
      </x:c>
      <x:c r="R552" s="15"/>
      <x:c r="S552" s="15"/>
      <x:c r="T552" s="15"/>
      <x:c r="U552" s="16"/>
      <x:c r="V552" t="str">
        <x:v>JTRE</x:v>
      </x:c>
      <x:c r="W552" t="str">
        <x:v>Ružinov</x:v>
      </x:c>
      <x:c r="X552" s="11" t="str">
        <x:v>Predaný</x:v>
      </x:c>
      <x:c r="Y552" s="11" t="str">
        <x:v>https://d-y.sk/byty/d05.02/</x:v>
      </x:c>
      <x:c r="Z552" s="11" t="n">
        <x:v>46252.68496519676</x:v>
      </x:c>
      <x:c r="AA552" s="11" t="n">
        <x:v>46254.51251577547</x:v>
      </x:c>
      <x:c r="AB552" s="11" t="n">
        <x:v>46254.51251577547</x:v>
      </x:c>
      <x:c r="AC552" t="str">
        <x:v>downtown_yards</x:v>
      </x:c>
    </x:row>
    <x:row r="553" ht="22" customHeight="1">
      <x:c r="A553" t="str">
        <x:v>Downtown Yards</x:v>
      </x:c>
      <x:c r="B553" t="str">
        <x:v>D05.03</x:v>
      </x:c>
      <x:c r="C553" t="str">
        <x:v>sold</x:v>
      </x:c>
      <x:c r="D553" t="str">
        <x:v>present</x:v>
      </x:c>
      <x:c r="E553" t="str">
        <x:v>baseline</x:v>
      </x:c>
      <x:c r="F553" s="11" t="n">
        <x:v>46252.68496519676</x:v>
      </x:c>
      <x:c r="G553" t="str">
        <x:v>apartment</x:v>
      </x:c>
      <x:c r="H553" s="12" t="n">
        <x:v>2</x:v>
      </x:c>
      <x:c r="I553" s="13" t="n">
        <x:v>5</x:v>
      </x:c>
      <x:c r="J553" t="str">
        <x:v>D</x:v>
      </x:c>
      <x:c r="K553" s="14" t="n">
        <x:v>50.99</x:v>
      </x:c>
      <x:c r="L553" s="14"/>
      <x:c r="M553" s="14"/>
      <x:c r="N553" s="14"/>
      <x:c r="O553" s="14"/>
      <x:c r="P553" s="14" t="n">
        <x:v>6.15</x:v>
      </x:c>
      <x:c r="Q553" s="14" t="n">
        <x:v>57.14</x:v>
      </x:c>
      <x:c r="R553" s="15"/>
      <x:c r="S553" s="15"/>
      <x:c r="T553" s="15"/>
      <x:c r="U553" s="16"/>
      <x:c r="V553" t="str">
        <x:v>JTRE</x:v>
      </x:c>
      <x:c r="W553" t="str">
        <x:v>Ružinov</x:v>
      </x:c>
      <x:c r="X553" s="11" t="str">
        <x:v>Predaný</x:v>
      </x:c>
      <x:c r="Y553" s="11" t="str">
        <x:v>https://d-y.sk/byty/d05.03/</x:v>
      </x:c>
      <x:c r="Z553" s="11" t="n">
        <x:v>46252.68496519676</x:v>
      </x:c>
      <x:c r="AA553" s="11" t="n">
        <x:v>46254.51251577547</x:v>
      </x:c>
      <x:c r="AB553" s="11" t="n">
        <x:v>46254.51251577547</x:v>
      </x:c>
      <x:c r="AC553" t="str">
        <x:v>downtown_yards</x:v>
      </x:c>
    </x:row>
    <x:row r="554" ht="22" customHeight="1">
      <x:c r="A554" t="str">
        <x:v>Downtown Yards</x:v>
      </x:c>
      <x:c r="B554" t="str">
        <x:v>D05.04</x:v>
      </x:c>
      <x:c r="C554" t="str">
        <x:v>sold</x:v>
      </x:c>
      <x:c r="D554" t="str">
        <x:v>present</x:v>
      </x:c>
      <x:c r="E554" t="str">
        <x:v>baseline</x:v>
      </x:c>
      <x:c r="F554" s="11" t="n">
        <x:v>46252.68496519676</x:v>
      </x:c>
      <x:c r="G554" t="str">
        <x:v>apartment</x:v>
      </x:c>
      <x:c r="H554" s="12" t="n">
        <x:v>2</x:v>
      </x:c>
      <x:c r="I554" s="13" t="n">
        <x:v>5</x:v>
      </x:c>
      <x:c r="J554" t="str">
        <x:v>D</x:v>
      </x:c>
      <x:c r="K554" s="14" t="n">
        <x:v>50.88</x:v>
      </x:c>
      <x:c r="L554" s="14"/>
      <x:c r="M554" s="14"/>
      <x:c r="N554" s="14"/>
      <x:c r="O554" s="14"/>
      <x:c r="P554" s="14" t="n">
        <x:v>6.15</x:v>
      </x:c>
      <x:c r="Q554" s="14" t="n">
        <x:v>57.03</x:v>
      </x:c>
      <x:c r="R554" s="15"/>
      <x:c r="S554" s="15"/>
      <x:c r="T554" s="15"/>
      <x:c r="U554" s="16"/>
      <x:c r="V554" t="str">
        <x:v>JTRE</x:v>
      </x:c>
      <x:c r="W554" t="str">
        <x:v>Ružinov</x:v>
      </x:c>
      <x:c r="X554" s="11" t="str">
        <x:v>Predaný</x:v>
      </x:c>
      <x:c r="Y554" s="11" t="str">
        <x:v>https://d-y.sk/byty/d05.04/</x:v>
      </x:c>
      <x:c r="Z554" s="11" t="n">
        <x:v>46252.68496519676</x:v>
      </x:c>
      <x:c r="AA554" s="11" t="n">
        <x:v>46254.51251577547</x:v>
      </x:c>
      <x:c r="AB554" s="11" t="n">
        <x:v>46254.51251577547</x:v>
      </x:c>
      <x:c r="AC554" t="str">
        <x:v>downtown_yards</x:v>
      </x:c>
    </x:row>
    <x:row r="555" ht="22" customHeight="1">
      <x:c r="A555" t="str">
        <x:v>Downtown Yards</x:v>
      </x:c>
      <x:c r="B555" t="str">
        <x:v>D05.05</x:v>
      </x:c>
      <x:c r="C555" t="str">
        <x:v>sold</x:v>
      </x:c>
      <x:c r="D555" t="str">
        <x:v>present</x:v>
      </x:c>
      <x:c r="E555" t="str">
        <x:v>baseline</x:v>
      </x:c>
      <x:c r="F555" s="11" t="n">
        <x:v>46252.68496519676</x:v>
      </x:c>
      <x:c r="G555" t="str">
        <x:v>apartment</x:v>
      </x:c>
      <x:c r="H555" s="12" t="n">
        <x:v>1</x:v>
      </x:c>
      <x:c r="I555" s="13" t="n">
        <x:v>5</x:v>
      </x:c>
      <x:c r="J555" t="str">
        <x:v>D</x:v>
      </x:c>
      <x:c r="K555" s="14" t="n">
        <x:v>39.99</x:v>
      </x:c>
      <x:c r="L555" s="14"/>
      <x:c r="M555" s="14"/>
      <x:c r="N555" s="14"/>
      <x:c r="O555" s="14"/>
      <x:c r="P555" s="14" t="n">
        <x:v>4.84</x:v>
      </x:c>
      <x:c r="Q555" s="14" t="n">
        <x:v>44.83</x:v>
      </x:c>
      <x:c r="R555" s="15"/>
      <x:c r="S555" s="15"/>
      <x:c r="T555" s="15"/>
      <x:c r="U555" s="16"/>
      <x:c r="V555" t="str">
        <x:v>JTRE</x:v>
      </x:c>
      <x:c r="W555" t="str">
        <x:v>Ružinov</x:v>
      </x:c>
      <x:c r="X555" s="11" t="str">
        <x:v>Predaný</x:v>
      </x:c>
      <x:c r="Y555" s="11" t="str">
        <x:v>https://d-y.sk/byty/d05.05/</x:v>
      </x:c>
      <x:c r="Z555" s="11" t="n">
        <x:v>46252.68496519676</x:v>
      </x:c>
      <x:c r="AA555" s="11" t="n">
        <x:v>46254.51251577547</x:v>
      </x:c>
      <x:c r="AB555" s="11" t="n">
        <x:v>46254.51251577547</x:v>
      </x:c>
      <x:c r="AC555" t="str">
        <x:v>downtown_yards</x:v>
      </x:c>
    </x:row>
    <x:row r="556" ht="22" customHeight="1">
      <x:c r="A556" t="str">
        <x:v>Downtown Yards</x:v>
      </x:c>
      <x:c r="B556" t="str">
        <x:v>E02.01</x:v>
      </x:c>
      <x:c r="C556" t="str">
        <x:v>sold</x:v>
      </x:c>
      <x:c r="D556" t="str">
        <x:v>present</x:v>
      </x:c>
      <x:c r="E556" t="str">
        <x:v>baseline</x:v>
      </x:c>
      <x:c r="F556" s="11" t="n">
        <x:v>46252.68496519676</x:v>
      </x:c>
      <x:c r="G556" t="str">
        <x:v>apartment</x:v>
      </x:c>
      <x:c r="H556" s="12" t="n">
        <x:v>1</x:v>
      </x:c>
      <x:c r="I556" s="13" t="n">
        <x:v>2</x:v>
      </x:c>
      <x:c r="J556" t="str">
        <x:v>E</x:v>
      </x:c>
      <x:c r="K556" s="14" t="n">
        <x:v>31.23</x:v>
      </x:c>
      <x:c r="L556" s="14"/>
      <x:c r="M556" s="14"/>
      <x:c r="N556" s="14"/>
      <x:c r="O556" s="14"/>
      <x:c r="P556" s="14" t="n">
        <x:v>3.13</x:v>
      </x:c>
      <x:c r="Q556" s="14" t="n">
        <x:v>34.36</x:v>
      </x:c>
      <x:c r="R556" s="15"/>
      <x:c r="S556" s="15"/>
      <x:c r="T556" s="15"/>
      <x:c r="U556" s="16"/>
      <x:c r="V556" t="str">
        <x:v>JTRE</x:v>
      </x:c>
      <x:c r="W556" t="str">
        <x:v>Ružinov</x:v>
      </x:c>
      <x:c r="X556" s="11" t="str">
        <x:v>Predaný</x:v>
      </x:c>
      <x:c r="Y556" s="11" t="str">
        <x:v>https://d-y.sk/byty/e02.01/</x:v>
      </x:c>
      <x:c r="Z556" s="11" t="n">
        <x:v>46252.68496519676</x:v>
      </x:c>
      <x:c r="AA556" s="11" t="n">
        <x:v>46254.51251577547</x:v>
      </x:c>
      <x:c r="AB556" s="11" t="n">
        <x:v>46254.51251577547</x:v>
      </x:c>
      <x:c r="AC556" t="str">
        <x:v>downtown_yards</x:v>
      </x:c>
    </x:row>
    <x:row r="557" ht="22" customHeight="1">
      <x:c r="A557" t="str">
        <x:v>Downtown Yards</x:v>
      </x:c>
      <x:c r="B557" t="str">
        <x:v>E02.02</x:v>
      </x:c>
      <x:c r="C557" t="str">
        <x:v>available</x:v>
      </x:c>
      <x:c r="D557" t="str">
        <x:v>present</x:v>
      </x:c>
      <x:c r="E557" t="str">
        <x:v>baseline</x:v>
      </x:c>
      <x:c r="F557" s="11" t="n">
        <x:v>46252.68496519676</x:v>
      </x:c>
      <x:c r="G557" t="str">
        <x:v>flat</x:v>
      </x:c>
      <x:c r="H557" s="12" t="n">
        <x:v>3</x:v>
      </x:c>
      <x:c r="I557" s="13" t="n">
        <x:v>2</x:v>
      </x:c>
      <x:c r="J557" t="str">
        <x:v>E</x:v>
      </x:c>
      <x:c r="K557" s="14" t="n">
        <x:v>78.36</x:v>
      </x:c>
      <x:c r="L557" s="14"/>
      <x:c r="M557" s="14"/>
      <x:c r="N557" s="14"/>
      <x:c r="O557" s="14"/>
      <x:c r="P557" s="14" t="n">
        <x:v>13.63</x:v>
      </x:c>
      <x:c r="Q557" s="14" t="n">
        <x:v>91.99</x:v>
      </x:c>
      <x:c r="R557" s="15" t="n">
        <x:v>518076</x:v>
      </x:c>
      <x:c r="S557" s="15" t="n">
        <x:v>569244</x:v>
      </x:c>
      <x:c r="T557" s="15" t="n">
        <x:v>518076</x:v>
      </x:c>
      <x:c r="U557" s="16" t="n">
        <x:v>6611.49</x:v>
      </x:c>
      <x:c r="V557" t="str">
        <x:v>JTRE</x:v>
      </x:c>
      <x:c r="W557" t="str">
        <x:v>Ružinov</x:v>
      </x:c>
      <x:c r="X557" s="11" t="str">
        <x:v>Voľný</x:v>
      </x:c>
      <x:c r="Y557" s="11" t="str">
        <x:v>https://d-y.sk/byty/e02.02/</x:v>
      </x:c>
      <x:c r="Z557" s="11" t="n">
        <x:v>46252.68496519676</x:v>
      </x:c>
      <x:c r="AA557" s="11" t="n">
        <x:v>46254.51251577547</x:v>
      </x:c>
      <x:c r="AB557" s="11" t="n">
        <x:v>46254.51251577547</x:v>
      </x:c>
      <x:c r="AC557" t="str">
        <x:v>downtown_yards</x:v>
      </x:c>
    </x:row>
    <x:row r="558" ht="22" customHeight="1">
      <x:c r="A558" t="str">
        <x:v>Downtown Yards</x:v>
      </x:c>
      <x:c r="B558" t="str">
        <x:v>E02.03</x:v>
      </x:c>
      <x:c r="C558" t="str">
        <x:v>sold</x:v>
      </x:c>
      <x:c r="D558" t="str">
        <x:v>present</x:v>
      </x:c>
      <x:c r="E558" t="str">
        <x:v>baseline</x:v>
      </x:c>
      <x:c r="F558" s="11" t="n">
        <x:v>46252.68496519676</x:v>
      </x:c>
      <x:c r="G558" t="str">
        <x:v>flat</x:v>
      </x:c>
      <x:c r="H558" s="12" t="n">
        <x:v>2</x:v>
      </x:c>
      <x:c r="I558" s="13" t="n">
        <x:v>2</x:v>
      </x:c>
      <x:c r="J558" t="str">
        <x:v>E</x:v>
      </x:c>
      <x:c r="K558" s="14" t="n">
        <x:v>49.81</x:v>
      </x:c>
      <x:c r="L558" s="14"/>
      <x:c r="M558" s="14"/>
      <x:c r="N558" s="14"/>
      <x:c r="O558" s="14"/>
      <x:c r="P558" s="14" t="n">
        <x:v>8.67</x:v>
      </x:c>
      <x:c r="Q558" s="14" t="n">
        <x:v>58.48</x:v>
      </x:c>
      <x:c r="R558" s="15"/>
      <x:c r="S558" s="15"/>
      <x:c r="T558" s="15"/>
      <x:c r="U558" s="16"/>
      <x:c r="V558" t="str">
        <x:v>JTRE</x:v>
      </x:c>
      <x:c r="W558" t="str">
        <x:v>Ružinov</x:v>
      </x:c>
      <x:c r="X558" s="11" t="str">
        <x:v>Predaný</x:v>
      </x:c>
      <x:c r="Y558" s="11" t="str">
        <x:v>https://d-y.sk/byty/e02.03/</x:v>
      </x:c>
      <x:c r="Z558" s="11" t="n">
        <x:v>46252.68496519676</x:v>
      </x:c>
      <x:c r="AA558" s="11" t="n">
        <x:v>46254.51251577547</x:v>
      </x:c>
      <x:c r="AB558" s="11" t="n">
        <x:v>46254.51251577547</x:v>
      </x:c>
      <x:c r="AC558" t="str">
        <x:v>downtown_yards</x:v>
      </x:c>
    </x:row>
    <x:row r="559" ht="22" customHeight="1">
      <x:c r="A559" t="str">
        <x:v>Downtown Yards</x:v>
      </x:c>
      <x:c r="B559" t="str">
        <x:v>E02.04</x:v>
      </x:c>
      <x:c r="C559" t="str">
        <x:v>sold</x:v>
      </x:c>
      <x:c r="D559" t="str">
        <x:v>present</x:v>
      </x:c>
      <x:c r="E559" t="str">
        <x:v>baseline</x:v>
      </x:c>
      <x:c r="F559" s="11" t="n">
        <x:v>46252.68496519676</x:v>
      </x:c>
      <x:c r="G559" t="str">
        <x:v>flat</x:v>
      </x:c>
      <x:c r="H559" s="12" t="n">
        <x:v>2</x:v>
      </x:c>
      <x:c r="I559" s="13" t="n">
        <x:v>2</x:v>
      </x:c>
      <x:c r="J559" t="str">
        <x:v>E</x:v>
      </x:c>
      <x:c r="K559" s="14" t="n">
        <x:v>49.9</x:v>
      </x:c>
      <x:c r="L559" s="14"/>
      <x:c r="M559" s="14"/>
      <x:c r="N559" s="14"/>
      <x:c r="O559" s="14"/>
      <x:c r="P559" s="14" t="n">
        <x:v>8.67</x:v>
      </x:c>
      <x:c r="Q559" s="14" t="n">
        <x:v>58.57</x:v>
      </x:c>
      <x:c r="R559" s="15"/>
      <x:c r="S559" s="15"/>
      <x:c r="T559" s="15"/>
      <x:c r="U559" s="16"/>
      <x:c r="V559" t="str">
        <x:v>JTRE</x:v>
      </x:c>
      <x:c r="W559" t="str">
        <x:v>Ružinov</x:v>
      </x:c>
      <x:c r="X559" s="11" t="str">
        <x:v>Predaný</x:v>
      </x:c>
      <x:c r="Y559" s="11" t="str">
        <x:v>https://d-y.sk/byty/e02.04/</x:v>
      </x:c>
      <x:c r="Z559" s="11" t="n">
        <x:v>46252.68496519676</x:v>
      </x:c>
      <x:c r="AA559" s="11" t="n">
        <x:v>46254.51251577547</x:v>
      </x:c>
      <x:c r="AB559" s="11" t="n">
        <x:v>46254.51251577547</x:v>
      </x:c>
      <x:c r="AC559" t="str">
        <x:v>downtown_yards</x:v>
      </x:c>
    </x:row>
    <x:row r="560" ht="22" customHeight="1">
      <x:c r="A560" t="str">
        <x:v>Downtown Yards</x:v>
      </x:c>
      <x:c r="B560" t="str">
        <x:v>E02.05</x:v>
      </x:c>
      <x:c r="C560" t="str">
        <x:v>sold</x:v>
      </x:c>
      <x:c r="D560" t="str">
        <x:v>present</x:v>
      </x:c>
      <x:c r="E560" t="str">
        <x:v>baseline</x:v>
      </x:c>
      <x:c r="F560" s="11" t="n">
        <x:v>46252.68496519676</x:v>
      </x:c>
      <x:c r="G560" t="str">
        <x:v>flat</x:v>
      </x:c>
      <x:c r="H560" s="12" t="n">
        <x:v>2</x:v>
      </x:c>
      <x:c r="I560" s="13" t="n">
        <x:v>2</x:v>
      </x:c>
      <x:c r="J560" t="str">
        <x:v>E</x:v>
      </x:c>
      <x:c r="K560" s="14" t="n">
        <x:v>49.74</x:v>
      </x:c>
      <x:c r="L560" s="14"/>
      <x:c r="M560" s="14"/>
      <x:c r="N560" s="14"/>
      <x:c r="O560" s="14"/>
      <x:c r="P560" s="14" t="n">
        <x:v>8.67</x:v>
      </x:c>
      <x:c r="Q560" s="14" t="n">
        <x:v>58.41</x:v>
      </x:c>
      <x:c r="R560" s="15"/>
      <x:c r="S560" s="15"/>
      <x:c r="T560" s="15"/>
      <x:c r="U560" s="16"/>
      <x:c r="V560" t="str">
        <x:v>JTRE</x:v>
      </x:c>
      <x:c r="W560" t="str">
        <x:v>Ružinov</x:v>
      </x:c>
      <x:c r="X560" s="11" t="str">
        <x:v>Predaný</x:v>
      </x:c>
      <x:c r="Y560" s="11" t="str">
        <x:v>https://d-y.sk/byty/e02.05/</x:v>
      </x:c>
      <x:c r="Z560" s="11" t="n">
        <x:v>46252.68496519676</x:v>
      </x:c>
      <x:c r="AA560" s="11" t="n">
        <x:v>46254.51251577547</x:v>
      </x:c>
      <x:c r="AB560" s="11" t="n">
        <x:v>46254.51251577547</x:v>
      </x:c>
      <x:c r="AC560" t="str">
        <x:v>downtown_yards</x:v>
      </x:c>
    </x:row>
    <x:row r="561" ht="22" customHeight="1">
      <x:c r="A561" t="str">
        <x:v>Downtown Yards</x:v>
      </x:c>
      <x:c r="B561" t="str">
        <x:v>E02.06</x:v>
      </x:c>
      <x:c r="C561" t="str">
        <x:v>sold</x:v>
      </x:c>
      <x:c r="D561" t="str">
        <x:v>present</x:v>
      </x:c>
      <x:c r="E561" t="str">
        <x:v>baseline</x:v>
      </x:c>
      <x:c r="F561" s="11" t="n">
        <x:v>46252.68496519676</x:v>
      </x:c>
      <x:c r="G561" t="str">
        <x:v>flat</x:v>
      </x:c>
      <x:c r="H561" s="12" t="n">
        <x:v>2</x:v>
      </x:c>
      <x:c r="I561" s="13" t="n">
        <x:v>2</x:v>
      </x:c>
      <x:c r="J561" t="str">
        <x:v>E</x:v>
      </x:c>
      <x:c r="K561" s="14" t="n">
        <x:v>59.75</x:v>
      </x:c>
      <x:c r="L561" s="14"/>
      <x:c r="M561" s="14"/>
      <x:c r="N561" s="14"/>
      <x:c r="O561" s="14"/>
      <x:c r="P561" s="14" t="n">
        <x:v>6.58</x:v>
      </x:c>
      <x:c r="Q561" s="14" t="n">
        <x:v>66.33</x:v>
      </x:c>
      <x:c r="R561" s="15"/>
      <x:c r="S561" s="15"/>
      <x:c r="T561" s="15"/>
      <x:c r="U561" s="16"/>
      <x:c r="V561" t="str">
        <x:v>JTRE</x:v>
      </x:c>
      <x:c r="W561" t="str">
        <x:v>Ružinov</x:v>
      </x:c>
      <x:c r="X561" s="11" t="str">
        <x:v>Predaný</x:v>
      </x:c>
      <x:c r="Y561" s="11" t="str">
        <x:v>https://d-y.sk/byty/e02.06/</x:v>
      </x:c>
      <x:c r="Z561" s="11" t="n">
        <x:v>46252.68496519676</x:v>
      </x:c>
      <x:c r="AA561" s="11" t="n">
        <x:v>46254.51251577547</x:v>
      </x:c>
      <x:c r="AB561" s="11" t="n">
        <x:v>46254.51251577547</x:v>
      </x:c>
      <x:c r="AC561" t="str">
        <x:v>downtown_yards</x:v>
      </x:c>
    </x:row>
    <x:row r="562" ht="22" customHeight="1">
      <x:c r="A562" t="str">
        <x:v>Downtown Yards</x:v>
      </x:c>
      <x:c r="B562" t="str">
        <x:v>E02.07</x:v>
      </x:c>
      <x:c r="C562" t="str">
        <x:v>sold</x:v>
      </x:c>
      <x:c r="D562" t="str">
        <x:v>present</x:v>
      </x:c>
      <x:c r="E562" t="str">
        <x:v>baseline</x:v>
      </x:c>
      <x:c r="F562" s="11" t="n">
        <x:v>46252.68496519676</x:v>
      </x:c>
      <x:c r="G562" t="str">
        <x:v>flat</x:v>
      </x:c>
      <x:c r="H562" s="12" t="n">
        <x:v>2</x:v>
      </x:c>
      <x:c r="I562" s="13" t="n">
        <x:v>2</x:v>
      </x:c>
      <x:c r="J562" t="str">
        <x:v>E</x:v>
      </x:c>
      <x:c r="K562" s="14" t="n">
        <x:v>47.43</x:v>
      </x:c>
      <x:c r="L562" s="14"/>
      <x:c r="M562" s="14"/>
      <x:c r="N562" s="14"/>
      <x:c r="O562" s="14"/>
      <x:c r="P562" s="14" t="n">
        <x:v>6.58</x:v>
      </x:c>
      <x:c r="Q562" s="14" t="n">
        <x:v>54.01</x:v>
      </x:c>
      <x:c r="R562" s="15"/>
      <x:c r="S562" s="15"/>
      <x:c r="T562" s="15"/>
      <x:c r="U562" s="16"/>
      <x:c r="V562" t="str">
        <x:v>JTRE</x:v>
      </x:c>
      <x:c r="W562" t="str">
        <x:v>Ružinov</x:v>
      </x:c>
      <x:c r="X562" s="11" t="str">
        <x:v>Predaný</x:v>
      </x:c>
      <x:c r="Y562" s="11" t="str">
        <x:v>https://d-y.sk/byty/e02.07/</x:v>
      </x:c>
      <x:c r="Z562" s="11" t="n">
        <x:v>46252.68496519676</x:v>
      </x:c>
      <x:c r="AA562" s="11" t="n">
        <x:v>46254.51251577547</x:v>
      </x:c>
      <x:c r="AB562" s="11" t="n">
        <x:v>46254.51251577547</x:v>
      </x:c>
      <x:c r="AC562" t="str">
        <x:v>downtown_yards</x:v>
      </x:c>
    </x:row>
    <x:row r="563" ht="22" customHeight="1">
      <x:c r="A563" t="str">
        <x:v>Downtown Yards</x:v>
      </x:c>
      <x:c r="B563" t="str">
        <x:v>E02.08</x:v>
      </x:c>
      <x:c r="C563" t="str">
        <x:v>sold</x:v>
      </x:c>
      <x:c r="D563" t="str">
        <x:v>present</x:v>
      </x:c>
      <x:c r="E563" t="str">
        <x:v>baseline</x:v>
      </x:c>
      <x:c r="F563" s="11" t="n">
        <x:v>46252.68496519676</x:v>
      </x:c>
      <x:c r="G563" t="str">
        <x:v>flat</x:v>
      </x:c>
      <x:c r="H563" s="12" t="n">
        <x:v>2</x:v>
      </x:c>
      <x:c r="I563" s="13" t="n">
        <x:v>2</x:v>
      </x:c>
      <x:c r="J563" t="str">
        <x:v>E</x:v>
      </x:c>
      <x:c r="K563" s="14" t="n">
        <x:v>49.84</x:v>
      </x:c>
      <x:c r="L563" s="14"/>
      <x:c r="M563" s="14"/>
      <x:c r="N563" s="14"/>
      <x:c r="O563" s="14"/>
      <x:c r="P563" s="14" t="n">
        <x:v>6.58</x:v>
      </x:c>
      <x:c r="Q563" s="14" t="n">
        <x:v>56.42</x:v>
      </x:c>
      <x:c r="R563" s="15"/>
      <x:c r="S563" s="15"/>
      <x:c r="T563" s="15"/>
      <x:c r="U563" s="16"/>
      <x:c r="V563" t="str">
        <x:v>JTRE</x:v>
      </x:c>
      <x:c r="W563" t="str">
        <x:v>Ružinov</x:v>
      </x:c>
      <x:c r="X563" s="11" t="str">
        <x:v>Predaný</x:v>
      </x:c>
      <x:c r="Y563" s="11" t="str">
        <x:v>https://d-y.sk/byty/e02.08/</x:v>
      </x:c>
      <x:c r="Z563" s="11" t="n">
        <x:v>46252.68496519676</x:v>
      </x:c>
      <x:c r="AA563" s="11" t="n">
        <x:v>46254.51251577547</x:v>
      </x:c>
      <x:c r="AB563" s="11" t="n">
        <x:v>46254.51251577547</x:v>
      </x:c>
      <x:c r="AC563" t="str">
        <x:v>downtown_yards</x:v>
      </x:c>
    </x:row>
    <x:row r="564" ht="22" customHeight="1">
      <x:c r="A564" t="str">
        <x:v>Downtown Yards</x:v>
      </x:c>
      <x:c r="B564" t="str">
        <x:v>E02.09</x:v>
      </x:c>
      <x:c r="C564" t="str">
        <x:v>available</x:v>
      </x:c>
      <x:c r="D564" t="str">
        <x:v>present</x:v>
      </x:c>
      <x:c r="E564" t="str">
        <x:v>baseline</x:v>
      </x:c>
      <x:c r="F564" s="11" t="n">
        <x:v>46252.68496519676</x:v>
      </x:c>
      <x:c r="G564" t="str">
        <x:v>flat</x:v>
      </x:c>
      <x:c r="H564" s="12" t="n">
        <x:v>3</x:v>
      </x:c>
      <x:c r="I564" s="13" t="n">
        <x:v>2</x:v>
      </x:c>
      <x:c r="J564" t="str">
        <x:v>E</x:v>
      </x:c>
      <x:c r="K564" s="14" t="n">
        <x:v>75.97</x:v>
      </x:c>
      <x:c r="L564" s="14"/>
      <x:c r="M564" s="14"/>
      <x:c r="N564" s="14"/>
      <x:c r="O564" s="14"/>
      <x:c r="P564" s="14" t="n">
        <x:v>12.1</x:v>
      </x:c>
      <x:c r="Q564" s="14" t="n">
        <x:v>88.07</x:v>
      </x:c>
      <x:c r="R564" s="15" t="n">
        <x:v>489048</x:v>
      </x:c>
      <x:c r="S564" s="15" t="n">
        <x:v>568629</x:v>
      </x:c>
      <x:c r="T564" s="15" t="n">
        <x:v>489048</x:v>
      </x:c>
      <x:c r="U564" s="16" t="n">
        <x:v>6437.38</x:v>
      </x:c>
      <x:c r="V564" t="str">
        <x:v>JTRE</x:v>
      </x:c>
      <x:c r="W564" t="str">
        <x:v>Ružinov</x:v>
      </x:c>
      <x:c r="X564" s="11" t="str">
        <x:v>Voľný</x:v>
      </x:c>
      <x:c r="Y564" s="11" t="str">
        <x:v>https://d-y.sk/byty/e02.09/</x:v>
      </x:c>
      <x:c r="Z564" s="11" t="n">
        <x:v>46252.68496519676</x:v>
      </x:c>
      <x:c r="AA564" s="11" t="n">
        <x:v>46254.51251577547</x:v>
      </x:c>
      <x:c r="AB564" s="11" t="n">
        <x:v>46254.51251577547</x:v>
      </x:c>
      <x:c r="AC564" t="str">
        <x:v>downtown_yards</x:v>
      </x:c>
    </x:row>
    <x:row r="565" ht="22" customHeight="1">
      <x:c r="A565" t="str">
        <x:v>Downtown Yards</x:v>
      </x:c>
      <x:c r="B565" t="str">
        <x:v>E02.10</x:v>
      </x:c>
      <x:c r="C565" t="str">
        <x:v>sold</x:v>
      </x:c>
      <x:c r="D565" t="str">
        <x:v>present</x:v>
      </x:c>
      <x:c r="E565" t="str">
        <x:v>baseline</x:v>
      </x:c>
      <x:c r="F565" s="11" t="n">
        <x:v>46252.68496519676</x:v>
      </x:c>
      <x:c r="G565" t="str">
        <x:v>apartment</x:v>
      </x:c>
      <x:c r="H565" s="12" t="n">
        <x:v>1</x:v>
      </x:c>
      <x:c r="I565" s="13" t="n">
        <x:v>2</x:v>
      </x:c>
      <x:c r="J565" t="str">
        <x:v>E</x:v>
      </x:c>
      <x:c r="K565" s="14" t="n">
        <x:v>30.1</x:v>
      </x:c>
      <x:c r="L565" s="14"/>
      <x:c r="M565" s="14"/>
      <x:c r="N565" s="14"/>
      <x:c r="O565" s="14"/>
      <x:c r="P565" s="14" t="n">
        <x:v>3.23</x:v>
      </x:c>
      <x:c r="Q565" s="14" t="n">
        <x:v>33.33</x:v>
      </x:c>
      <x:c r="R565" s="15"/>
      <x:c r="S565" s="15"/>
      <x:c r="T565" s="15"/>
      <x:c r="U565" s="16"/>
      <x:c r="V565" t="str">
        <x:v>JTRE</x:v>
      </x:c>
      <x:c r="W565" t="str">
        <x:v>Ružinov</x:v>
      </x:c>
      <x:c r="X565" s="11" t="str">
        <x:v>Predaný</x:v>
      </x:c>
      <x:c r="Y565" s="11" t="str">
        <x:v>https://d-y.sk/byty/e02.10/</x:v>
      </x:c>
      <x:c r="Z565" s="11" t="n">
        <x:v>46252.68496519676</x:v>
      </x:c>
      <x:c r="AA565" s="11" t="n">
        <x:v>46254.51251577547</x:v>
      </x:c>
      <x:c r="AB565" s="11" t="n">
        <x:v>46254.51251577547</x:v>
      </x:c>
      <x:c r="AC565" t="str">
        <x:v>downtown_yards</x:v>
      </x:c>
    </x:row>
    <x:row r="566" ht="22" customHeight="1">
      <x:c r="A566" t="str">
        <x:v>Downtown Yards</x:v>
      </x:c>
      <x:c r="B566" t="str">
        <x:v>E03.01</x:v>
      </x:c>
      <x:c r="C566" t="str">
        <x:v>sold</x:v>
      </x:c>
      <x:c r="D566" t="str">
        <x:v>present</x:v>
      </x:c>
      <x:c r="E566" t="str">
        <x:v>baseline</x:v>
      </x:c>
      <x:c r="F566" s="11" t="n">
        <x:v>46252.68496519676</x:v>
      </x:c>
      <x:c r="G566" t="str">
        <x:v>apartment</x:v>
      </x:c>
      <x:c r="H566" s="12" t="n">
        <x:v>1</x:v>
      </x:c>
      <x:c r="I566" s="13" t="n">
        <x:v>3</x:v>
      </x:c>
      <x:c r="J566" t="str">
        <x:v>E</x:v>
      </x:c>
      <x:c r="K566" s="14" t="n">
        <x:v>31.43</x:v>
      </x:c>
      <x:c r="L566" s="14"/>
      <x:c r="M566" s="14"/>
      <x:c r="N566" s="14"/>
      <x:c r="O566" s="14"/>
      <x:c r="P566" s="14" t="n">
        <x:v>3.13</x:v>
      </x:c>
      <x:c r="Q566" s="14" t="n">
        <x:v>34.56</x:v>
      </x:c>
      <x:c r="R566" s="15"/>
      <x:c r="S566" s="15"/>
      <x:c r="T566" s="15"/>
      <x:c r="U566" s="16"/>
      <x:c r="V566" t="str">
        <x:v>JTRE</x:v>
      </x:c>
      <x:c r="W566" t="str">
        <x:v>Ružinov</x:v>
      </x:c>
      <x:c r="X566" s="11" t="str">
        <x:v>Predaný</x:v>
      </x:c>
      <x:c r="Y566" s="11" t="str">
        <x:v>https://d-y.sk/byty/e03.01/</x:v>
      </x:c>
      <x:c r="Z566" s="11" t="n">
        <x:v>46252.68496519676</x:v>
      </x:c>
      <x:c r="AA566" s="11" t="n">
        <x:v>46254.51251577547</x:v>
      </x:c>
      <x:c r="AB566" s="11" t="n">
        <x:v>46254.51251577547</x:v>
      </x:c>
      <x:c r="AC566" t="str">
        <x:v>downtown_yards</x:v>
      </x:c>
    </x:row>
    <x:row r="567" ht="22" customHeight="1">
      <x:c r="A567" t="str">
        <x:v>Downtown Yards</x:v>
      </x:c>
      <x:c r="B567" t="str">
        <x:v>E03.02</x:v>
      </x:c>
      <x:c r="C567" t="str">
        <x:v>sold</x:v>
      </x:c>
      <x:c r="D567" t="str">
        <x:v>present</x:v>
      </x:c>
      <x:c r="E567" t="str">
        <x:v>baseline</x:v>
      </x:c>
      <x:c r="F567" s="11" t="n">
        <x:v>46252.68496519676</x:v>
      </x:c>
      <x:c r="G567" t="str">
        <x:v>flat</x:v>
      </x:c>
      <x:c r="H567" s="12" t="n">
        <x:v>3</x:v>
      </x:c>
      <x:c r="I567" s="13" t="n">
        <x:v>3</x:v>
      </x:c>
      <x:c r="J567" t="str">
        <x:v>E</x:v>
      </x:c>
      <x:c r="K567" s="14" t="n">
        <x:v>78.72</x:v>
      </x:c>
      <x:c r="L567" s="14"/>
      <x:c r="M567" s="14"/>
      <x:c r="N567" s="14"/>
      <x:c r="O567" s="14"/>
      <x:c r="P567" s="14" t="n">
        <x:v>13.63</x:v>
      </x:c>
      <x:c r="Q567" s="14" t="n">
        <x:v>92.35</x:v>
      </x:c>
      <x:c r="R567" s="15"/>
      <x:c r="S567" s="15"/>
      <x:c r="T567" s="15"/>
      <x:c r="U567" s="16"/>
      <x:c r="V567" t="str">
        <x:v>JTRE</x:v>
      </x:c>
      <x:c r="W567" t="str">
        <x:v>Ružinov</x:v>
      </x:c>
      <x:c r="X567" s="11" t="str">
        <x:v>Predaný</x:v>
      </x:c>
      <x:c r="Y567" s="11" t="str">
        <x:v>https://d-y.sk/byty/e03.02/</x:v>
      </x:c>
      <x:c r="Z567" s="11" t="n">
        <x:v>46252.68496519676</x:v>
      </x:c>
      <x:c r="AA567" s="11" t="n">
        <x:v>46254.51251577547</x:v>
      </x:c>
      <x:c r="AB567" s="11" t="n">
        <x:v>46254.51251577547</x:v>
      </x:c>
      <x:c r="AC567" t="str">
        <x:v>downtown_yards</x:v>
      </x:c>
    </x:row>
    <x:row r="568" ht="22" customHeight="1">
      <x:c r="A568" t="str">
        <x:v>Downtown Yards</x:v>
      </x:c>
      <x:c r="B568" t="str">
        <x:v>E03.03</x:v>
      </x:c>
      <x:c r="C568" t="str">
        <x:v>sold</x:v>
      </x:c>
      <x:c r="D568" t="str">
        <x:v>present</x:v>
      </x:c>
      <x:c r="E568" t="str">
        <x:v>baseline</x:v>
      </x:c>
      <x:c r="F568" s="11" t="n">
        <x:v>46252.68496519676</x:v>
      </x:c>
      <x:c r="G568" t="str">
        <x:v>flat</x:v>
      </x:c>
      <x:c r="H568" s="12" t="n">
        <x:v>2</x:v>
      </x:c>
      <x:c r="I568" s="13" t="n">
        <x:v>3</x:v>
      </x:c>
      <x:c r="J568" t="str">
        <x:v>E</x:v>
      </x:c>
      <x:c r="K568" s="14" t="n">
        <x:v>50.38</x:v>
      </x:c>
      <x:c r="L568" s="14"/>
      <x:c r="M568" s="14"/>
      <x:c r="N568" s="14"/>
      <x:c r="O568" s="14"/>
      <x:c r="P568" s="14" t="n">
        <x:v>8.67</x:v>
      </x:c>
      <x:c r="Q568" s="14" t="n">
        <x:v>59.05</x:v>
      </x:c>
      <x:c r="R568" s="15"/>
      <x:c r="S568" s="15"/>
      <x:c r="T568" s="15"/>
      <x:c r="U568" s="16"/>
      <x:c r="V568" t="str">
        <x:v>JTRE</x:v>
      </x:c>
      <x:c r="W568" t="str">
        <x:v>Ružinov</x:v>
      </x:c>
      <x:c r="X568" s="11" t="str">
        <x:v>Predaný</x:v>
      </x:c>
      <x:c r="Y568" s="11" t="str">
        <x:v>https://d-y.sk/byty/e03.03/</x:v>
      </x:c>
      <x:c r="Z568" s="11" t="n">
        <x:v>46252.68496519676</x:v>
      </x:c>
      <x:c r="AA568" s="11" t="n">
        <x:v>46254.51251577547</x:v>
      </x:c>
      <x:c r="AB568" s="11" t="n">
        <x:v>46254.51251577547</x:v>
      </x:c>
      <x:c r="AC568" t="str">
        <x:v>downtown_yards</x:v>
      </x:c>
    </x:row>
    <x:row r="569" ht="22" customHeight="1">
      <x:c r="A569" t="str">
        <x:v>Downtown Yards</x:v>
      </x:c>
      <x:c r="B569" t="str">
        <x:v>E03.04</x:v>
      </x:c>
      <x:c r="C569" t="str">
        <x:v>sold</x:v>
      </x:c>
      <x:c r="D569" t="str">
        <x:v>present</x:v>
      </x:c>
      <x:c r="E569" t="str">
        <x:v>baseline</x:v>
      </x:c>
      <x:c r="F569" s="11" t="n">
        <x:v>46252.68496519676</x:v>
      </x:c>
      <x:c r="G569" t="str">
        <x:v>flat</x:v>
      </x:c>
      <x:c r="H569" s="12" t="n">
        <x:v>2</x:v>
      </x:c>
      <x:c r="I569" s="13" t="n">
        <x:v>3</x:v>
      </x:c>
      <x:c r="J569" t="str">
        <x:v>E</x:v>
      </x:c>
      <x:c r="K569" s="14" t="n">
        <x:v>50.26</x:v>
      </x:c>
      <x:c r="L569" s="14"/>
      <x:c r="M569" s="14"/>
      <x:c r="N569" s="14"/>
      <x:c r="O569" s="14"/>
      <x:c r="P569" s="14" t="n">
        <x:v>8.67</x:v>
      </x:c>
      <x:c r="Q569" s="14" t="n">
        <x:v>58.93</x:v>
      </x:c>
      <x:c r="R569" s="15"/>
      <x:c r="S569" s="15"/>
      <x:c r="T569" s="15"/>
      <x:c r="U569" s="16"/>
      <x:c r="V569" t="str">
        <x:v>JTRE</x:v>
      </x:c>
      <x:c r="W569" t="str">
        <x:v>Ružinov</x:v>
      </x:c>
      <x:c r="X569" s="11" t="str">
        <x:v>Predaný</x:v>
      </x:c>
      <x:c r="Y569" s="11" t="str">
        <x:v>https://d-y.sk/byty/e03.04/</x:v>
      </x:c>
      <x:c r="Z569" s="11" t="n">
        <x:v>46252.68496519676</x:v>
      </x:c>
      <x:c r="AA569" s="11" t="n">
        <x:v>46254.51251577547</x:v>
      </x:c>
      <x:c r="AB569" s="11" t="n">
        <x:v>46254.51251577547</x:v>
      </x:c>
      <x:c r="AC569" t="str">
        <x:v>downtown_yards</x:v>
      </x:c>
    </x:row>
    <x:row r="570" ht="22" customHeight="1">
      <x:c r="A570" t="str">
        <x:v>Downtown Yards</x:v>
      </x:c>
      <x:c r="B570" t="str">
        <x:v>E03.05</x:v>
      </x:c>
      <x:c r="C570" t="str">
        <x:v>sold</x:v>
      </x:c>
      <x:c r="D570" t="str">
        <x:v>present</x:v>
      </x:c>
      <x:c r="E570" t="str">
        <x:v>baseline</x:v>
      </x:c>
      <x:c r="F570" s="11" t="n">
        <x:v>46252.68496519676</x:v>
      </x:c>
      <x:c r="G570" t="str">
        <x:v>flat</x:v>
      </x:c>
      <x:c r="H570" s="12" t="n">
        <x:v>2</x:v>
      </x:c>
      <x:c r="I570" s="13" t="n">
        <x:v>3</x:v>
      </x:c>
      <x:c r="J570" t="str">
        <x:v>E</x:v>
      </x:c>
      <x:c r="K570" s="14" t="n">
        <x:v>49.74</x:v>
      </x:c>
      <x:c r="L570" s="14"/>
      <x:c r="M570" s="14"/>
      <x:c r="N570" s="14"/>
      <x:c r="O570" s="14"/>
      <x:c r="P570" s="14" t="n">
        <x:v>8.67</x:v>
      </x:c>
      <x:c r="Q570" s="14" t="n">
        <x:v>58.41</x:v>
      </x:c>
      <x:c r="R570" s="15"/>
      <x:c r="S570" s="15"/>
      <x:c r="T570" s="15"/>
      <x:c r="U570" s="16"/>
      <x:c r="V570" t="str">
        <x:v>JTRE</x:v>
      </x:c>
      <x:c r="W570" t="str">
        <x:v>Ružinov</x:v>
      </x:c>
      <x:c r="X570" s="11" t="str">
        <x:v>Predaný</x:v>
      </x:c>
      <x:c r="Y570" s="11" t="str">
        <x:v>https://d-y.sk/byty/e03.05/</x:v>
      </x:c>
      <x:c r="Z570" s="11" t="n">
        <x:v>46252.68496519676</x:v>
      </x:c>
      <x:c r="AA570" s="11" t="n">
        <x:v>46254.51251577547</x:v>
      </x:c>
      <x:c r="AB570" s="11" t="n">
        <x:v>46254.51251577547</x:v>
      </x:c>
      <x:c r="AC570" t="str">
        <x:v>downtown_yards</x:v>
      </x:c>
    </x:row>
    <x:row r="571" ht="22" customHeight="1">
      <x:c r="A571" t="str">
        <x:v>Downtown Yards</x:v>
      </x:c>
      <x:c r="B571" t="str">
        <x:v>E03.06</x:v>
      </x:c>
      <x:c r="C571" t="str">
        <x:v>sold</x:v>
      </x:c>
      <x:c r="D571" t="str">
        <x:v>present</x:v>
      </x:c>
      <x:c r="E571" t="str">
        <x:v>baseline</x:v>
      </x:c>
      <x:c r="F571" s="11" t="n">
        <x:v>46252.68496519676</x:v>
      </x:c>
      <x:c r="G571" t="str">
        <x:v>flat</x:v>
      </x:c>
      <x:c r="H571" s="12" t="n">
        <x:v>2</x:v>
      </x:c>
      <x:c r="I571" s="13" t="n">
        <x:v>3</x:v>
      </x:c>
      <x:c r="J571" t="str">
        <x:v>E</x:v>
      </x:c>
      <x:c r="K571" s="14" t="n">
        <x:v>60.19</x:v>
      </x:c>
      <x:c r="L571" s="14"/>
      <x:c r="M571" s="14"/>
      <x:c r="N571" s="14"/>
      <x:c r="O571" s="14"/>
      <x:c r="P571" s="14" t="n">
        <x:v>6.58</x:v>
      </x:c>
      <x:c r="Q571" s="14" t="n">
        <x:v>66.77</x:v>
      </x:c>
      <x:c r="R571" s="15"/>
      <x:c r="S571" s="15"/>
      <x:c r="T571" s="15"/>
      <x:c r="U571" s="16"/>
      <x:c r="V571" t="str">
        <x:v>JTRE</x:v>
      </x:c>
      <x:c r="W571" t="str">
        <x:v>Ružinov</x:v>
      </x:c>
      <x:c r="X571" s="11" t="str">
        <x:v>Predaný</x:v>
      </x:c>
      <x:c r="Y571" s="11" t="str">
        <x:v>https://d-y.sk/byty/e03.06/</x:v>
      </x:c>
      <x:c r="Z571" s="11" t="n">
        <x:v>46252.68496519676</x:v>
      </x:c>
      <x:c r="AA571" s="11" t="n">
        <x:v>46254.51251577547</x:v>
      </x:c>
      <x:c r="AB571" s="11" t="n">
        <x:v>46254.51251577547</x:v>
      </x:c>
      <x:c r="AC571" t="str">
        <x:v>downtown_yards</x:v>
      </x:c>
    </x:row>
    <x:row r="572" ht="22" customHeight="1">
      <x:c r="A572" t="str">
        <x:v>Downtown Yards</x:v>
      </x:c>
      <x:c r="B572" t="str">
        <x:v>E03.07</x:v>
      </x:c>
      <x:c r="C572" t="str">
        <x:v>sold</x:v>
      </x:c>
      <x:c r="D572" t="str">
        <x:v>present</x:v>
      </x:c>
      <x:c r="E572" t="str">
        <x:v>baseline</x:v>
      </x:c>
      <x:c r="F572" s="11" t="n">
        <x:v>46252.68496519676</x:v>
      </x:c>
      <x:c r="G572" t="str">
        <x:v>flat</x:v>
      </x:c>
      <x:c r="H572" s="12" t="n">
        <x:v>2</x:v>
      </x:c>
      <x:c r="I572" s="13" t="n">
        <x:v>3</x:v>
      </x:c>
      <x:c r="J572" t="str">
        <x:v>E</x:v>
      </x:c>
      <x:c r="K572" s="14" t="n">
        <x:v>48.53</x:v>
      </x:c>
      <x:c r="L572" s="14"/>
      <x:c r="M572" s="14"/>
      <x:c r="N572" s="14"/>
      <x:c r="O572" s="14"/>
      <x:c r="P572" s="14" t="n">
        <x:v>6.58</x:v>
      </x:c>
      <x:c r="Q572" s="14" t="n">
        <x:v>55.11</x:v>
      </x:c>
      <x:c r="R572" s="15"/>
      <x:c r="S572" s="15"/>
      <x:c r="T572" s="15"/>
      <x:c r="U572" s="16"/>
      <x:c r="V572" t="str">
        <x:v>JTRE</x:v>
      </x:c>
      <x:c r="W572" t="str">
        <x:v>Ružinov</x:v>
      </x:c>
      <x:c r="X572" s="11" t="str">
        <x:v>Predaný</x:v>
      </x:c>
      <x:c r="Y572" s="11" t="str">
        <x:v>https://d-y.sk/byty/e03.07/</x:v>
      </x:c>
      <x:c r="Z572" s="11" t="n">
        <x:v>46252.68496519676</x:v>
      </x:c>
      <x:c r="AA572" s="11" t="n">
        <x:v>46254.51251577547</x:v>
      </x:c>
      <x:c r="AB572" s="11" t="n">
        <x:v>46254.51251577547</x:v>
      </x:c>
      <x:c r="AC572" t="str">
        <x:v>downtown_yards</x:v>
      </x:c>
    </x:row>
    <x:row r="573" ht="22" customHeight="1">
      <x:c r="A573" t="str">
        <x:v>Downtown Yards</x:v>
      </x:c>
      <x:c r="B573" t="str">
        <x:v>E03.08</x:v>
      </x:c>
      <x:c r="C573" t="str">
        <x:v>sold</x:v>
      </x:c>
      <x:c r="D573" t="str">
        <x:v>present</x:v>
      </x:c>
      <x:c r="E573" t="str">
        <x:v>baseline</x:v>
      </x:c>
      <x:c r="F573" s="11" t="n">
        <x:v>46252.68496519676</x:v>
      </x:c>
      <x:c r="G573" t="str">
        <x:v>flat</x:v>
      </x:c>
      <x:c r="H573" s="12" t="n">
        <x:v>2</x:v>
      </x:c>
      <x:c r="I573" s="13" t="n">
        <x:v>3</x:v>
      </x:c>
      <x:c r="J573" t="str">
        <x:v>E</x:v>
      </x:c>
      <x:c r="K573" s="14" t="n">
        <x:v>51.03</x:v>
      </x:c>
      <x:c r="L573" s="14"/>
      <x:c r="M573" s="14"/>
      <x:c r="N573" s="14"/>
      <x:c r="O573" s="14"/>
      <x:c r="P573" s="14" t="n">
        <x:v>6.58</x:v>
      </x:c>
      <x:c r="Q573" s="14" t="n">
        <x:v>57.61</x:v>
      </x:c>
      <x:c r="R573" s="15"/>
      <x:c r="S573" s="15"/>
      <x:c r="T573" s="15"/>
      <x:c r="U573" s="16"/>
      <x:c r="V573" t="str">
        <x:v>JTRE</x:v>
      </x:c>
      <x:c r="W573" t="str">
        <x:v>Ružinov</x:v>
      </x:c>
      <x:c r="X573" s="11" t="str">
        <x:v>Predaný</x:v>
      </x:c>
      <x:c r="Y573" s="11" t="str">
        <x:v>https://d-y.sk/byty/e03.08/</x:v>
      </x:c>
      <x:c r="Z573" s="11" t="n">
        <x:v>46252.68496519676</x:v>
      </x:c>
      <x:c r="AA573" s="11" t="n">
        <x:v>46254.51251577547</x:v>
      </x:c>
      <x:c r="AB573" s="11" t="n">
        <x:v>46254.51251577547</x:v>
      </x:c>
      <x:c r="AC573" t="str">
        <x:v>downtown_yards</x:v>
      </x:c>
    </x:row>
    <x:row r="574" ht="22" customHeight="1">
      <x:c r="A574" t="str">
        <x:v>Downtown Yards</x:v>
      </x:c>
      <x:c r="B574" t="str">
        <x:v>E03.09</x:v>
      </x:c>
      <x:c r="C574" t="str">
        <x:v>available</x:v>
      </x:c>
      <x:c r="D574" t="str">
        <x:v>present</x:v>
      </x:c>
      <x:c r="E574" t="str">
        <x:v>baseline</x:v>
      </x:c>
      <x:c r="F574" s="11" t="n">
        <x:v>46252.68496519676</x:v>
      </x:c>
      <x:c r="G574" t="str">
        <x:v>flat</x:v>
      </x:c>
      <x:c r="H574" s="12" t="n">
        <x:v>3</x:v>
      </x:c>
      <x:c r="I574" s="13" t="n">
        <x:v>3</x:v>
      </x:c>
      <x:c r="J574" t="str">
        <x:v>E</x:v>
      </x:c>
      <x:c r="K574" s="14" t="n">
        <x:v>77.12</x:v>
      </x:c>
      <x:c r="L574" s="14"/>
      <x:c r="M574" s="14"/>
      <x:c r="N574" s="14"/>
      <x:c r="O574" s="14"/>
      <x:c r="P574" s="14" t="n">
        <x:v>12.1</x:v>
      </x:c>
      <x:c r="Q574" s="14" t="n">
        <x:v>89.22</x:v>
      </x:c>
      <x:c r="R574" s="15" t="n">
        <x:v>499011</x:v>
      </x:c>
      <x:c r="S574" s="15" t="n">
        <x:v>580191</x:v>
      </x:c>
      <x:c r="T574" s="15" t="n">
        <x:v>499011</x:v>
      </x:c>
      <x:c r="U574" s="16" t="n">
        <x:v>6470.58</x:v>
      </x:c>
      <x:c r="V574" t="str">
        <x:v>JTRE</x:v>
      </x:c>
      <x:c r="W574" t="str">
        <x:v>Ružinov</x:v>
      </x:c>
      <x:c r="X574" s="11" t="str">
        <x:v>Voľný</x:v>
      </x:c>
      <x:c r="Y574" s="11" t="str">
        <x:v>https://d-y.sk/byty/e03.09/</x:v>
      </x:c>
      <x:c r="Z574" s="11" t="n">
        <x:v>46252.68496519676</x:v>
      </x:c>
      <x:c r="AA574" s="11" t="n">
        <x:v>46254.51251577547</x:v>
      </x:c>
      <x:c r="AB574" s="11" t="n">
        <x:v>46254.51251577547</x:v>
      </x:c>
      <x:c r="AC574" t="str">
        <x:v>downtown_yards</x:v>
      </x:c>
    </x:row>
    <x:row r="575" ht="22" customHeight="1">
      <x:c r="A575" t="str">
        <x:v>Downtown Yards</x:v>
      </x:c>
      <x:c r="B575" t="str">
        <x:v>E03.10</x:v>
      </x:c>
      <x:c r="C575" t="str">
        <x:v>sold</x:v>
      </x:c>
      <x:c r="D575" t="str">
        <x:v>present</x:v>
      </x:c>
      <x:c r="E575" t="str">
        <x:v>baseline</x:v>
      </x:c>
      <x:c r="F575" s="11" t="n">
        <x:v>46252.68496519676</x:v>
      </x:c>
      <x:c r="G575" t="str">
        <x:v>apartment</x:v>
      </x:c>
      <x:c r="H575" s="12" t="n">
        <x:v>1</x:v>
      </x:c>
      <x:c r="I575" s="13" t="n">
        <x:v>3</x:v>
      </x:c>
      <x:c r="J575" t="str">
        <x:v>E</x:v>
      </x:c>
      <x:c r="K575" s="14" t="n">
        <x:v>30.1</x:v>
      </x:c>
      <x:c r="L575" s="14"/>
      <x:c r="M575" s="14"/>
      <x:c r="N575" s="14"/>
      <x:c r="O575" s="14"/>
      <x:c r="P575" s="14" t="n">
        <x:v>3.23</x:v>
      </x:c>
      <x:c r="Q575" s="14" t="n">
        <x:v>33.33</x:v>
      </x:c>
      <x:c r="R575" s="15"/>
      <x:c r="S575" s="15"/>
      <x:c r="T575" s="15"/>
      <x:c r="U575" s="16"/>
      <x:c r="V575" t="str">
        <x:v>JTRE</x:v>
      </x:c>
      <x:c r="W575" t="str">
        <x:v>Ružinov</x:v>
      </x:c>
      <x:c r="X575" s="11" t="str">
        <x:v>Predaný</x:v>
      </x:c>
      <x:c r="Y575" s="11" t="str">
        <x:v>https://d-y.sk/byty/e03.10/</x:v>
      </x:c>
      <x:c r="Z575" s="11" t="n">
        <x:v>46252.68496519676</x:v>
      </x:c>
      <x:c r="AA575" s="11" t="n">
        <x:v>46254.51251577547</x:v>
      </x:c>
      <x:c r="AB575" s="11" t="n">
        <x:v>46254.51251577547</x:v>
      </x:c>
      <x:c r="AC575" t="str">
        <x:v>downtown_yards</x:v>
      </x:c>
    </x:row>
    <x:row r="576" ht="22" customHeight="1">
      <x:c r="A576" t="str">
        <x:v>Downtown Yards</x:v>
      </x:c>
      <x:c r="B576" t="str">
        <x:v>E04.01</x:v>
      </x:c>
      <x:c r="C576" t="str">
        <x:v>sold</x:v>
      </x:c>
      <x:c r="D576" t="str">
        <x:v>present</x:v>
      </x:c>
      <x:c r="E576" t="str">
        <x:v>baseline</x:v>
      </x:c>
      <x:c r="F576" s="11" t="n">
        <x:v>46252.68496519676</x:v>
      </x:c>
      <x:c r="G576" t="str">
        <x:v>apartment</x:v>
      </x:c>
      <x:c r="H576" s="12" t="n">
        <x:v>1</x:v>
      </x:c>
      <x:c r="I576" s="13" t="n">
        <x:v>4</x:v>
      </x:c>
      <x:c r="J576" t="str">
        <x:v>E</x:v>
      </x:c>
      <x:c r="K576" s="14" t="n">
        <x:v>32</x:v>
      </x:c>
      <x:c r="L576" s="14"/>
      <x:c r="M576" s="14"/>
      <x:c r="N576" s="14"/>
      <x:c r="O576" s="14"/>
      <x:c r="P576" s="14" t="n">
        <x:v>3.13</x:v>
      </x:c>
      <x:c r="Q576" s="14" t="n">
        <x:v>35.13</x:v>
      </x:c>
      <x:c r="R576" s="15"/>
      <x:c r="S576" s="15"/>
      <x:c r="T576" s="15"/>
      <x:c r="U576" s="16"/>
      <x:c r="V576" t="str">
        <x:v>JTRE</x:v>
      </x:c>
      <x:c r="W576" t="str">
        <x:v>Ružinov</x:v>
      </x:c>
      <x:c r="X576" s="11" t="str">
        <x:v>Predaný</x:v>
      </x:c>
      <x:c r="Y576" s="11" t="str">
        <x:v>https://d-y.sk/byty/e04.01/</x:v>
      </x:c>
      <x:c r="Z576" s="11" t="n">
        <x:v>46252.68496519676</x:v>
      </x:c>
      <x:c r="AA576" s="11" t="n">
        <x:v>46254.51251577547</x:v>
      </x:c>
      <x:c r="AB576" s="11" t="n">
        <x:v>46254.51251577547</x:v>
      </x:c>
      <x:c r="AC576" t="str">
        <x:v>downtown_yards</x:v>
      </x:c>
    </x:row>
    <x:row r="577" ht="22" customHeight="1">
      <x:c r="A577" t="str">
        <x:v>Downtown Yards</x:v>
      </x:c>
      <x:c r="B577" t="str">
        <x:v>E04.02</x:v>
      </x:c>
      <x:c r="C577" t="str">
        <x:v>sold</x:v>
      </x:c>
      <x:c r="D577" t="str">
        <x:v>present</x:v>
      </x:c>
      <x:c r="E577" t="str">
        <x:v>baseline</x:v>
      </x:c>
      <x:c r="F577" s="11" t="n">
        <x:v>46252.68496519676</x:v>
      </x:c>
      <x:c r="G577" t="str">
        <x:v>flat</x:v>
      </x:c>
      <x:c r="H577" s="12" t="n">
        <x:v>3</x:v>
      </x:c>
      <x:c r="I577" s="13" t="n">
        <x:v>4</x:v>
      </x:c>
      <x:c r="J577" t="str">
        <x:v>E</x:v>
      </x:c>
      <x:c r="K577" s="14" t="n">
        <x:v>81.26</x:v>
      </x:c>
      <x:c r="L577" s="14"/>
      <x:c r="M577" s="14"/>
      <x:c r="N577" s="14"/>
      <x:c r="O577" s="14"/>
      <x:c r="P577" s="14" t="n">
        <x:v>13.63</x:v>
      </x:c>
      <x:c r="Q577" s="14" t="n">
        <x:v>94.89</x:v>
      </x:c>
      <x:c r="R577" s="15"/>
      <x:c r="S577" s="15"/>
      <x:c r="T577" s="15"/>
      <x:c r="U577" s="16"/>
      <x:c r="V577" t="str">
        <x:v>JTRE</x:v>
      </x:c>
      <x:c r="W577" t="str">
        <x:v>Ružinov</x:v>
      </x:c>
      <x:c r="X577" s="11" t="str">
        <x:v>Predaný</x:v>
      </x:c>
      <x:c r="Y577" s="11" t="str">
        <x:v>https://d-y.sk/byty/e04.02/</x:v>
      </x:c>
      <x:c r="Z577" s="11" t="n">
        <x:v>46252.68496519676</x:v>
      </x:c>
      <x:c r="AA577" s="11" t="n">
        <x:v>46254.51251577547</x:v>
      </x:c>
      <x:c r="AB577" s="11" t="n">
        <x:v>46254.51251577547</x:v>
      </x:c>
      <x:c r="AC577" t="str">
        <x:v>downtown_yards</x:v>
      </x:c>
    </x:row>
    <x:row r="578" ht="22" customHeight="1">
      <x:c r="A578" t="str">
        <x:v>Downtown Yards</x:v>
      </x:c>
      <x:c r="B578" t="str">
        <x:v>E04.03</x:v>
      </x:c>
      <x:c r="C578" t="str">
        <x:v>sold</x:v>
      </x:c>
      <x:c r="D578" t="str">
        <x:v>present</x:v>
      </x:c>
      <x:c r="E578" t="str">
        <x:v>baseline</x:v>
      </x:c>
      <x:c r="F578" s="11" t="n">
        <x:v>46252.68496519676</x:v>
      </x:c>
      <x:c r="G578" t="str">
        <x:v>flat</x:v>
      </x:c>
      <x:c r="H578" s="12" t="n">
        <x:v>2</x:v>
      </x:c>
      <x:c r="I578" s="13" t="n">
        <x:v>4</x:v>
      </x:c>
      <x:c r="J578" t="str">
        <x:v>E</x:v>
      </x:c>
      <x:c r="K578" s="14" t="n">
        <x:v>52.22</x:v>
      </x:c>
      <x:c r="L578" s="14"/>
      <x:c r="M578" s="14"/>
      <x:c r="N578" s="14"/>
      <x:c r="O578" s="14"/>
      <x:c r="P578" s="14" t="n">
        <x:v>8.67</x:v>
      </x:c>
      <x:c r="Q578" s="14" t="n">
        <x:v>60.89</x:v>
      </x:c>
      <x:c r="R578" s="15"/>
      <x:c r="S578" s="15"/>
      <x:c r="T578" s="15"/>
      <x:c r="U578" s="16"/>
      <x:c r="V578" t="str">
        <x:v>JTRE</x:v>
      </x:c>
      <x:c r="W578" t="str">
        <x:v>Ružinov</x:v>
      </x:c>
      <x:c r="X578" s="11" t="str">
        <x:v>Predaný</x:v>
      </x:c>
      <x:c r="Y578" s="11" t="str">
        <x:v>https://d-y.sk/byty/e04.03/</x:v>
      </x:c>
      <x:c r="Z578" s="11" t="n">
        <x:v>46252.68496519676</x:v>
      </x:c>
      <x:c r="AA578" s="11" t="n">
        <x:v>46254.51251577547</x:v>
      </x:c>
      <x:c r="AB578" s="11" t="n">
        <x:v>46254.51251577547</x:v>
      </x:c>
      <x:c r="AC578" t="str">
        <x:v>downtown_yards</x:v>
      </x:c>
    </x:row>
    <x:row r="579" ht="22" customHeight="1">
      <x:c r="A579" t="str">
        <x:v>Downtown Yards</x:v>
      </x:c>
      <x:c r="B579" t="str">
        <x:v>E04.04</x:v>
      </x:c>
      <x:c r="C579" t="str">
        <x:v>sold</x:v>
      </x:c>
      <x:c r="D579" t="str">
        <x:v>present</x:v>
      </x:c>
      <x:c r="E579" t="str">
        <x:v>baseline</x:v>
      </x:c>
      <x:c r="F579" s="11" t="n">
        <x:v>46252.68496519676</x:v>
      </x:c>
      <x:c r="G579" t="str">
        <x:v>flat</x:v>
      </x:c>
      <x:c r="H579" s="12" t="n">
        <x:v>2</x:v>
      </x:c>
      <x:c r="I579" s="13" t="n">
        <x:v>4</x:v>
      </x:c>
      <x:c r="J579" t="str">
        <x:v>E</x:v>
      </x:c>
      <x:c r="K579" s="14" t="n">
        <x:v>51.73</x:v>
      </x:c>
      <x:c r="L579" s="14"/>
      <x:c r="M579" s="14"/>
      <x:c r="N579" s="14"/>
      <x:c r="O579" s="14"/>
      <x:c r="P579" s="14" t="n">
        <x:v>8.67</x:v>
      </x:c>
      <x:c r="Q579" s="14" t="n">
        <x:v>60.4</x:v>
      </x:c>
      <x:c r="R579" s="15"/>
      <x:c r="S579" s="15"/>
      <x:c r="T579" s="15"/>
      <x:c r="U579" s="16"/>
      <x:c r="V579" t="str">
        <x:v>JTRE</x:v>
      </x:c>
      <x:c r="W579" t="str">
        <x:v>Ružinov</x:v>
      </x:c>
      <x:c r="X579" s="11" t="str">
        <x:v>Predaný</x:v>
      </x:c>
      <x:c r="Y579" s="11" t="str">
        <x:v>https://d-y.sk/byty/e04.04/</x:v>
      </x:c>
      <x:c r="Z579" s="11" t="n">
        <x:v>46252.68496519676</x:v>
      </x:c>
      <x:c r="AA579" s="11" t="n">
        <x:v>46254.51251577547</x:v>
      </x:c>
      <x:c r="AB579" s="11" t="n">
        <x:v>46254.51251577547</x:v>
      </x:c>
      <x:c r="AC579" t="str">
        <x:v>downtown_yards</x:v>
      </x:c>
    </x:row>
    <x:row r="580" ht="22" customHeight="1">
      <x:c r="A580" t="str">
        <x:v>Downtown Yards</x:v>
      </x:c>
      <x:c r="B580" t="str">
        <x:v>E04.05</x:v>
      </x:c>
      <x:c r="C580" t="str">
        <x:v>sold</x:v>
      </x:c>
      <x:c r="D580" t="str">
        <x:v>present</x:v>
      </x:c>
      <x:c r="E580" t="str">
        <x:v>baseline</x:v>
      </x:c>
      <x:c r="F580" s="11" t="n">
        <x:v>46252.68496519676</x:v>
      </x:c>
      <x:c r="G580" t="str">
        <x:v>flat</x:v>
      </x:c>
      <x:c r="H580" s="12" t="n">
        <x:v>2</x:v>
      </x:c>
      <x:c r="I580" s="13" t="n">
        <x:v>4</x:v>
      </x:c>
      <x:c r="J580" t="str">
        <x:v>E</x:v>
      </x:c>
      <x:c r="K580" s="14" t="n">
        <x:v>50.42</x:v>
      </x:c>
      <x:c r="L580" s="14"/>
      <x:c r="M580" s="14"/>
      <x:c r="N580" s="14"/>
      <x:c r="O580" s="14"/>
      <x:c r="P580" s="14" t="n">
        <x:v>8.67</x:v>
      </x:c>
      <x:c r="Q580" s="14" t="n">
        <x:v>59.09</x:v>
      </x:c>
      <x:c r="R580" s="15"/>
      <x:c r="S580" s="15"/>
      <x:c r="T580" s="15"/>
      <x:c r="U580" s="16"/>
      <x:c r="V580" t="str">
        <x:v>JTRE</x:v>
      </x:c>
      <x:c r="W580" t="str">
        <x:v>Ružinov</x:v>
      </x:c>
      <x:c r="X580" s="11" t="str">
        <x:v>Predaný</x:v>
      </x:c>
      <x:c r="Y580" s="11" t="str">
        <x:v>https://d-y.sk/byty/e04.05/</x:v>
      </x:c>
      <x:c r="Z580" s="11" t="n">
        <x:v>46252.68496519676</x:v>
      </x:c>
      <x:c r="AA580" s="11" t="n">
        <x:v>46254.51251577547</x:v>
      </x:c>
      <x:c r="AB580" s="11" t="n">
        <x:v>46254.51251577547</x:v>
      </x:c>
      <x:c r="AC580" t="str">
        <x:v>downtown_yards</x:v>
      </x:c>
    </x:row>
    <x:row r="581" ht="22" customHeight="1">
      <x:c r="A581" t="str">
        <x:v>Downtown Yards</x:v>
      </x:c>
      <x:c r="B581" t="str">
        <x:v>E04.06</x:v>
      </x:c>
      <x:c r="C581" t="str">
        <x:v>sold</x:v>
      </x:c>
      <x:c r="D581" t="str">
        <x:v>present</x:v>
      </x:c>
      <x:c r="E581" t="str">
        <x:v>baseline</x:v>
      </x:c>
      <x:c r="F581" s="11" t="n">
        <x:v>46252.68496519676</x:v>
      </x:c>
      <x:c r="G581" t="str">
        <x:v>flat</x:v>
      </x:c>
      <x:c r="H581" s="12" t="n">
        <x:v>2</x:v>
      </x:c>
      <x:c r="I581" s="13" t="n">
        <x:v>4</x:v>
      </x:c>
      <x:c r="J581" t="str">
        <x:v>E</x:v>
      </x:c>
      <x:c r="K581" s="14" t="n">
        <x:v>62</x:v>
      </x:c>
      <x:c r="L581" s="14"/>
      <x:c r="M581" s="14"/>
      <x:c r="N581" s="14"/>
      <x:c r="O581" s="14"/>
      <x:c r="P581" s="14" t="n">
        <x:v>6.58</x:v>
      </x:c>
      <x:c r="Q581" s="14" t="n">
        <x:v>68.58</x:v>
      </x:c>
      <x:c r="R581" s="15"/>
      <x:c r="S581" s="15"/>
      <x:c r="T581" s="15"/>
      <x:c r="U581" s="16"/>
      <x:c r="V581" t="str">
        <x:v>JTRE</x:v>
      </x:c>
      <x:c r="W581" t="str">
        <x:v>Ružinov</x:v>
      </x:c>
      <x:c r="X581" s="11" t="str">
        <x:v>Predaný</x:v>
      </x:c>
      <x:c r="Y581" s="11" t="str">
        <x:v>https://d-y.sk/byty/e04.06/</x:v>
      </x:c>
      <x:c r="Z581" s="11" t="n">
        <x:v>46252.68496519676</x:v>
      </x:c>
      <x:c r="AA581" s="11" t="n">
        <x:v>46254.51251577547</x:v>
      </x:c>
      <x:c r="AB581" s="11" t="n">
        <x:v>46254.51251577547</x:v>
      </x:c>
      <x:c r="AC581" t="str">
        <x:v>downtown_yards</x:v>
      </x:c>
    </x:row>
    <x:row r="582" ht="22" customHeight="1">
      <x:c r="A582" t="str">
        <x:v>Downtown Yards</x:v>
      </x:c>
      <x:c r="B582" t="str">
        <x:v>E04.07</x:v>
      </x:c>
      <x:c r="C582" t="str">
        <x:v>sold</x:v>
      </x:c>
      <x:c r="D582" t="str">
        <x:v>present</x:v>
      </x:c>
      <x:c r="E582" t="str">
        <x:v>baseline</x:v>
      </x:c>
      <x:c r="F582" s="11" t="n">
        <x:v>46252.68496519676</x:v>
      </x:c>
      <x:c r="G582" t="str">
        <x:v>flat</x:v>
      </x:c>
      <x:c r="H582" s="12" t="n">
        <x:v>2</x:v>
      </x:c>
      <x:c r="I582" s="13" t="n">
        <x:v>4</x:v>
      </x:c>
      <x:c r="J582" t="str">
        <x:v>E</x:v>
      </x:c>
      <x:c r="K582" s="14" t="n">
        <x:v>49.88</x:v>
      </x:c>
      <x:c r="L582" s="14"/>
      <x:c r="M582" s="14"/>
      <x:c r="N582" s="14"/>
      <x:c r="O582" s="14"/>
      <x:c r="P582" s="14" t="n">
        <x:v>6.58</x:v>
      </x:c>
      <x:c r="Q582" s="14" t="n">
        <x:v>56.46</x:v>
      </x:c>
      <x:c r="R582" s="15"/>
      <x:c r="S582" s="15"/>
      <x:c r="T582" s="15"/>
      <x:c r="U582" s="16"/>
      <x:c r="V582" t="str">
        <x:v>JTRE</x:v>
      </x:c>
      <x:c r="W582" t="str">
        <x:v>Ružinov</x:v>
      </x:c>
      <x:c r="X582" s="11" t="str">
        <x:v>Predaný</x:v>
      </x:c>
      <x:c r="Y582" s="11" t="str">
        <x:v>https://d-y.sk/byty/e04.07/</x:v>
      </x:c>
      <x:c r="Z582" s="11" t="n">
        <x:v>46252.68496519676</x:v>
      </x:c>
      <x:c r="AA582" s="11" t="n">
        <x:v>46254.51251577547</x:v>
      </x:c>
      <x:c r="AB582" s="11" t="n">
        <x:v>46254.51251577547</x:v>
      </x:c>
      <x:c r="AC582" t="str">
        <x:v>downtown_yards</x:v>
      </x:c>
    </x:row>
    <x:row r="583" ht="22" customHeight="1">
      <x:c r="A583" t="str">
        <x:v>Downtown Yards</x:v>
      </x:c>
      <x:c r="B583" t="str">
        <x:v>E04.08</x:v>
      </x:c>
      <x:c r="C583" t="str">
        <x:v>sold</x:v>
      </x:c>
      <x:c r="D583" t="str">
        <x:v>present</x:v>
      </x:c>
      <x:c r="E583" t="str">
        <x:v>baseline</x:v>
      </x:c>
      <x:c r="F583" s="11" t="n">
        <x:v>46252.68496519676</x:v>
      </x:c>
      <x:c r="G583" t="str">
        <x:v>flat</x:v>
      </x:c>
      <x:c r="H583" s="12" t="n">
        <x:v>2</x:v>
      </x:c>
      <x:c r="I583" s="13" t="n">
        <x:v>4</x:v>
      </x:c>
      <x:c r="J583" t="str">
        <x:v>E</x:v>
      </x:c>
      <x:c r="K583" s="14" t="n">
        <x:v>52.15</x:v>
      </x:c>
      <x:c r="L583" s="14"/>
      <x:c r="M583" s="14"/>
      <x:c r="N583" s="14"/>
      <x:c r="O583" s="14"/>
      <x:c r="P583" s="14" t="n">
        <x:v>6.58</x:v>
      </x:c>
      <x:c r="Q583" s="14" t="n">
        <x:v>58.73</x:v>
      </x:c>
      <x:c r="R583" s="15"/>
      <x:c r="S583" s="15"/>
      <x:c r="T583" s="15"/>
      <x:c r="U583" s="16"/>
      <x:c r="V583" t="str">
        <x:v>JTRE</x:v>
      </x:c>
      <x:c r="W583" t="str">
        <x:v>Ružinov</x:v>
      </x:c>
      <x:c r="X583" s="11" t="str">
        <x:v>Predaný</x:v>
      </x:c>
      <x:c r="Y583" s="11" t="str">
        <x:v>https://d-y.sk/byty/e04.08/</x:v>
      </x:c>
      <x:c r="Z583" s="11" t="n">
        <x:v>46252.68496519676</x:v>
      </x:c>
      <x:c r="AA583" s="11" t="n">
        <x:v>46254.51251577547</x:v>
      </x:c>
      <x:c r="AB583" s="11" t="n">
        <x:v>46254.51251577547</x:v>
      </x:c>
      <x:c r="AC583" t="str">
        <x:v>downtown_yards</x:v>
      </x:c>
    </x:row>
    <x:row r="584" ht="22" customHeight="1">
      <x:c r="A584" t="str">
        <x:v>Downtown Yards</x:v>
      </x:c>
      <x:c r="B584" t="str">
        <x:v>E04.09</x:v>
      </x:c>
      <x:c r="C584" t="str">
        <x:v>available</x:v>
      </x:c>
      <x:c r="D584" t="str">
        <x:v>present</x:v>
      </x:c>
      <x:c r="E584" t="str">
        <x:v>baseline</x:v>
      </x:c>
      <x:c r="F584" s="11" t="n">
        <x:v>46252.68496519676</x:v>
      </x:c>
      <x:c r="G584" t="str">
        <x:v>flat</x:v>
      </x:c>
      <x:c r="H584" s="12" t="n">
        <x:v>3</x:v>
      </x:c>
      <x:c r="I584" s="13" t="n">
        <x:v>4</x:v>
      </x:c>
      <x:c r="J584" t="str">
        <x:v>E</x:v>
      </x:c>
      <x:c r="K584" s="14" t="n">
        <x:v>79.81</x:v>
      </x:c>
      <x:c r="L584" s="14"/>
      <x:c r="M584" s="14"/>
      <x:c r="N584" s="14"/>
      <x:c r="O584" s="14"/>
      <x:c r="P584" s="14" t="n">
        <x:v>12.1</x:v>
      </x:c>
      <x:c r="Q584" s="14" t="n">
        <x:v>91.91</x:v>
      </x:c>
      <x:c r="R584" s="15" t="n">
        <x:v>522012</x:v>
      </x:c>
      <x:c r="S584" s="15" t="n">
        <x:v>606882</x:v>
      </x:c>
      <x:c r="T584" s="15" t="n">
        <x:v>522012</x:v>
      </x:c>
      <x:c r="U584" s="16" t="n">
        <x:v>6540.68</x:v>
      </x:c>
      <x:c r="V584" t="str">
        <x:v>JTRE</x:v>
      </x:c>
      <x:c r="W584" t="str">
        <x:v>Ružinov</x:v>
      </x:c>
      <x:c r="X584" s="11" t="str">
        <x:v>Voľný</x:v>
      </x:c>
      <x:c r="Y584" s="11" t="str">
        <x:v>https://d-y.sk/byty/e04.09/</x:v>
      </x:c>
      <x:c r="Z584" s="11" t="n">
        <x:v>46252.68496519676</x:v>
      </x:c>
      <x:c r="AA584" s="11" t="n">
        <x:v>46254.51251577547</x:v>
      </x:c>
      <x:c r="AB584" s="11" t="n">
        <x:v>46254.51251577547</x:v>
      </x:c>
      <x:c r="AC584" t="str">
        <x:v>downtown_yards</x:v>
      </x:c>
    </x:row>
    <x:row r="585" ht="22" customHeight="1">
      <x:c r="A585" t="str">
        <x:v>Downtown Yards</x:v>
      </x:c>
      <x:c r="B585" t="str">
        <x:v>E04.10</x:v>
      </x:c>
      <x:c r="C585" t="str">
        <x:v>sold</x:v>
      </x:c>
      <x:c r="D585" t="str">
        <x:v>present</x:v>
      </x:c>
      <x:c r="E585" t="str">
        <x:v>baseline</x:v>
      </x:c>
      <x:c r="F585" s="11" t="n">
        <x:v>46252.68496519676</x:v>
      </x:c>
      <x:c r="G585" t="str">
        <x:v>apartment</x:v>
      </x:c>
      <x:c r="H585" s="12" t="n">
        <x:v>1</x:v>
      </x:c>
      <x:c r="I585" s="13" t="n">
        <x:v>4</x:v>
      </x:c>
      <x:c r="J585" t="str">
        <x:v>E</x:v>
      </x:c>
      <x:c r="K585" s="14" t="n">
        <x:v>30.66</x:v>
      </x:c>
      <x:c r="L585" s="14"/>
      <x:c r="M585" s="14"/>
      <x:c r="N585" s="14"/>
      <x:c r="O585" s="14"/>
      <x:c r="P585" s="14" t="n">
        <x:v>3.23</x:v>
      </x:c>
      <x:c r="Q585" s="14" t="n">
        <x:v>33.89</x:v>
      </x:c>
      <x:c r="R585" s="15"/>
      <x:c r="S585" s="15"/>
      <x:c r="T585" s="15"/>
      <x:c r="U585" s="16"/>
      <x:c r="V585" t="str">
        <x:v>JTRE</x:v>
      </x:c>
      <x:c r="W585" t="str">
        <x:v>Ružinov</x:v>
      </x:c>
      <x:c r="X585" s="11" t="str">
        <x:v>Predaný</x:v>
      </x:c>
      <x:c r="Y585" s="11" t="str">
        <x:v>https://d-y.sk/byty/e04.10/</x:v>
      </x:c>
      <x:c r="Z585" s="11" t="n">
        <x:v>46252.68496519676</x:v>
      </x:c>
      <x:c r="AA585" s="11" t="n">
        <x:v>46254.51251577547</x:v>
      </x:c>
      <x:c r="AB585" s="11" t="n">
        <x:v>46254.51251577547</x:v>
      </x:c>
      <x:c r="AC585" t="str">
        <x:v>downtown_yards</x:v>
      </x:c>
    </x:row>
    <x:row r="586" ht="22" customHeight="1">
      <x:c r="A586" t="str">
        <x:v>Downtown Yards</x:v>
      </x:c>
      <x:c r="B586" t="str">
        <x:v>E05.01</x:v>
      </x:c>
      <x:c r="C586" t="str">
        <x:v>available</x:v>
      </x:c>
      <x:c r="D586" t="str">
        <x:v>present</x:v>
      </x:c>
      <x:c r="E586" t="str">
        <x:v>baseline</x:v>
      </x:c>
      <x:c r="F586" s="11" t="n">
        <x:v>46252.68496519676</x:v>
      </x:c>
      <x:c r="G586" t="str">
        <x:v>apartment</x:v>
      </x:c>
      <x:c r="H586" s="12" t="n">
        <x:v>1</x:v>
      </x:c>
      <x:c r="I586" s="13" t="n">
        <x:v>5</x:v>
      </x:c>
      <x:c r="J586" t="str">
        <x:v>E</x:v>
      </x:c>
      <x:c r="K586" s="14" t="n">
        <x:v>32</x:v>
      </x:c>
      <x:c r="L586" s="14"/>
      <x:c r="M586" s="14"/>
      <x:c r="N586" s="14"/>
      <x:c r="O586" s="14"/>
      <x:c r="P586" s="14" t="n">
        <x:v>3.13</x:v>
      </x:c>
      <x:c r="Q586" s="14" t="n">
        <x:v>35.13</x:v>
      </x:c>
      <x:c r="R586" s="15" t="n">
        <x:v>251535</x:v>
      </x:c>
      <x:c r="S586" s="15" t="n">
        <x:v>271092</x:v>
      </x:c>
      <x:c r="T586" s="15" t="n">
        <x:v>251535</x:v>
      </x:c>
      <x:c r="U586" s="16" t="n">
        <x:v>7860.47</x:v>
      </x:c>
      <x:c r="V586" t="str">
        <x:v>JTRE</x:v>
      </x:c>
      <x:c r="W586" t="str">
        <x:v>Ružinov</x:v>
      </x:c>
      <x:c r="X586" s="11" t="str">
        <x:v>Voľný</x:v>
      </x:c>
      <x:c r="Y586" s="11" t="str">
        <x:v>https://d-y.sk/byty/e05.01/</x:v>
      </x:c>
      <x:c r="Z586" s="11" t="n">
        <x:v>46252.68496519676</x:v>
      </x:c>
      <x:c r="AA586" s="11" t="n">
        <x:v>46254.51251577547</x:v>
      </x:c>
      <x:c r="AB586" s="11" t="n">
        <x:v>46254.51251577547</x:v>
      </x:c>
      <x:c r="AC586" t="str">
        <x:v>downtown_yards</x:v>
      </x:c>
    </x:row>
    <x:row r="587" ht="22" customHeight="1">
      <x:c r="A587" t="str">
        <x:v>Downtown Yards</x:v>
      </x:c>
      <x:c r="B587" t="str">
        <x:v>E05.02</x:v>
      </x:c>
      <x:c r="C587" t="str">
        <x:v>sold</x:v>
      </x:c>
      <x:c r="D587" t="str">
        <x:v>present</x:v>
      </x:c>
      <x:c r="E587" t="str">
        <x:v>baseline</x:v>
      </x:c>
      <x:c r="F587" s="11" t="n">
        <x:v>46252.68496519676</x:v>
      </x:c>
      <x:c r="G587" t="str">
        <x:v>flat</x:v>
      </x:c>
      <x:c r="H587" s="12" t="n">
        <x:v>3</x:v>
      </x:c>
      <x:c r="I587" s="13" t="n">
        <x:v>5</x:v>
      </x:c>
      <x:c r="J587" t="str">
        <x:v>E</x:v>
      </x:c>
      <x:c r="K587" s="14" t="n">
        <x:v>81.26</x:v>
      </x:c>
      <x:c r="L587" s="14"/>
      <x:c r="M587" s="14"/>
      <x:c r="N587" s="14"/>
      <x:c r="O587" s="14"/>
      <x:c r="P587" s="14" t="n">
        <x:v>13.63</x:v>
      </x:c>
      <x:c r="Q587" s="14" t="n">
        <x:v>94.89</x:v>
      </x:c>
      <x:c r="R587" s="15"/>
      <x:c r="S587" s="15"/>
      <x:c r="T587" s="15"/>
      <x:c r="U587" s="16"/>
      <x:c r="V587" t="str">
        <x:v>JTRE</x:v>
      </x:c>
      <x:c r="W587" t="str">
        <x:v>Ružinov</x:v>
      </x:c>
      <x:c r="X587" s="11" t="str">
        <x:v>Predaný</x:v>
      </x:c>
      <x:c r="Y587" s="11" t="str">
        <x:v>https://d-y.sk/byty/e05.02/</x:v>
      </x:c>
      <x:c r="Z587" s="11" t="n">
        <x:v>46252.68496519676</x:v>
      </x:c>
      <x:c r="AA587" s="11" t="n">
        <x:v>46254.51251577547</x:v>
      </x:c>
      <x:c r="AB587" s="11" t="n">
        <x:v>46254.51251577547</x:v>
      </x:c>
      <x:c r="AC587" t="str">
        <x:v>downtown_yards</x:v>
      </x:c>
    </x:row>
    <x:row r="588" ht="22" customHeight="1">
      <x:c r="A588" t="str">
        <x:v>Downtown Yards</x:v>
      </x:c>
      <x:c r="B588" t="str">
        <x:v>E05.03</x:v>
      </x:c>
      <x:c r="C588" t="str">
        <x:v>sold</x:v>
      </x:c>
      <x:c r="D588" t="str">
        <x:v>present</x:v>
      </x:c>
      <x:c r="E588" t="str">
        <x:v>baseline</x:v>
      </x:c>
      <x:c r="F588" s="11" t="n">
        <x:v>46252.68496519676</x:v>
      </x:c>
      <x:c r="G588" t="str">
        <x:v>flat</x:v>
      </x:c>
      <x:c r="H588" s="12" t="n">
        <x:v>2</x:v>
      </x:c>
      <x:c r="I588" s="13" t="n">
        <x:v>5</x:v>
      </x:c>
      <x:c r="J588" t="str">
        <x:v>E</x:v>
      </x:c>
      <x:c r="K588" s="14" t="n">
        <x:v>52.22</x:v>
      </x:c>
      <x:c r="L588" s="14"/>
      <x:c r="M588" s="14"/>
      <x:c r="N588" s="14"/>
      <x:c r="O588" s="14"/>
      <x:c r="P588" s="14" t="n">
        <x:v>8.67</x:v>
      </x:c>
      <x:c r="Q588" s="14" t="n">
        <x:v>60.89</x:v>
      </x:c>
      <x:c r="R588" s="15"/>
      <x:c r="S588" s="15"/>
      <x:c r="T588" s="15"/>
      <x:c r="U588" s="16"/>
      <x:c r="V588" t="str">
        <x:v>JTRE</x:v>
      </x:c>
      <x:c r="W588" t="str">
        <x:v>Ružinov</x:v>
      </x:c>
      <x:c r="X588" s="11" t="str">
        <x:v>Predaný</x:v>
      </x:c>
      <x:c r="Y588" s="11" t="str">
        <x:v>https://d-y.sk/byty/e05.03/</x:v>
      </x:c>
      <x:c r="Z588" s="11" t="n">
        <x:v>46252.68496519676</x:v>
      </x:c>
      <x:c r="AA588" s="11" t="n">
        <x:v>46254.51251577547</x:v>
      </x:c>
      <x:c r="AB588" s="11" t="n">
        <x:v>46254.51251577547</x:v>
      </x:c>
      <x:c r="AC588" t="str">
        <x:v>downtown_yards</x:v>
      </x:c>
    </x:row>
    <x:row r="589" ht="22" customHeight="1">
      <x:c r="A589" t="str">
        <x:v>Downtown Yards</x:v>
      </x:c>
      <x:c r="B589" t="str">
        <x:v>E05.04</x:v>
      </x:c>
      <x:c r="C589" t="str">
        <x:v>sold</x:v>
      </x:c>
      <x:c r="D589" t="str">
        <x:v>present</x:v>
      </x:c>
      <x:c r="E589" t="str">
        <x:v>baseline</x:v>
      </x:c>
      <x:c r="F589" s="11" t="n">
        <x:v>46252.68496519676</x:v>
      </x:c>
      <x:c r="G589" t="str">
        <x:v>flat</x:v>
      </x:c>
      <x:c r="H589" s="12" t="n">
        <x:v>2</x:v>
      </x:c>
      <x:c r="I589" s="13" t="n">
        <x:v>5</x:v>
      </x:c>
      <x:c r="J589" t="str">
        <x:v>E</x:v>
      </x:c>
      <x:c r="K589" s="14" t="n">
        <x:v>51.73</x:v>
      </x:c>
      <x:c r="L589" s="14"/>
      <x:c r="M589" s="14"/>
      <x:c r="N589" s="14"/>
      <x:c r="O589" s="14"/>
      <x:c r="P589" s="14" t="n">
        <x:v>8.67</x:v>
      </x:c>
      <x:c r="Q589" s="14" t="n">
        <x:v>60.4</x:v>
      </x:c>
      <x:c r="R589" s="15"/>
      <x:c r="S589" s="15"/>
      <x:c r="T589" s="15"/>
      <x:c r="U589" s="16"/>
      <x:c r="V589" t="str">
        <x:v>JTRE</x:v>
      </x:c>
      <x:c r="W589" t="str">
        <x:v>Ružinov</x:v>
      </x:c>
      <x:c r="X589" s="11" t="str">
        <x:v>Predaný</x:v>
      </x:c>
      <x:c r="Y589" s="11" t="str">
        <x:v>https://d-y.sk/byty/e05.04/</x:v>
      </x:c>
      <x:c r="Z589" s="11" t="n">
        <x:v>46252.68496519676</x:v>
      </x:c>
      <x:c r="AA589" s="11" t="n">
        <x:v>46254.51251577547</x:v>
      </x:c>
      <x:c r="AB589" s="11" t="n">
        <x:v>46254.51251577547</x:v>
      </x:c>
      <x:c r="AC589" t="str">
        <x:v>downtown_yards</x:v>
      </x:c>
    </x:row>
    <x:row r="590" ht="22" customHeight="1">
      <x:c r="A590" t="str">
        <x:v>Downtown Yards</x:v>
      </x:c>
      <x:c r="B590" t="str">
        <x:v>E05.05</x:v>
      </x:c>
      <x:c r="C590" t="str">
        <x:v>sold</x:v>
      </x:c>
      <x:c r="D590" t="str">
        <x:v>present</x:v>
      </x:c>
      <x:c r="E590" t="str">
        <x:v>baseline</x:v>
      </x:c>
      <x:c r="F590" s="11" t="n">
        <x:v>46252.68496519676</x:v>
      </x:c>
      <x:c r="G590" t="str">
        <x:v>flat</x:v>
      </x:c>
      <x:c r="H590" s="12" t="n">
        <x:v>2</x:v>
      </x:c>
      <x:c r="I590" s="13" t="n">
        <x:v>5</x:v>
      </x:c>
      <x:c r="J590" t="str">
        <x:v>E</x:v>
      </x:c>
      <x:c r="K590" s="14" t="n">
        <x:v>50.42</x:v>
      </x:c>
      <x:c r="L590" s="14"/>
      <x:c r="M590" s="14"/>
      <x:c r="N590" s="14"/>
      <x:c r="O590" s="14"/>
      <x:c r="P590" s="14" t="n">
        <x:v>8.67</x:v>
      </x:c>
      <x:c r="Q590" s="14" t="n">
        <x:v>59.09</x:v>
      </x:c>
      <x:c r="R590" s="15"/>
      <x:c r="S590" s="15"/>
      <x:c r="T590" s="15"/>
      <x:c r="U590" s="16"/>
      <x:c r="V590" t="str">
        <x:v>JTRE</x:v>
      </x:c>
      <x:c r="W590" t="str">
        <x:v>Ružinov</x:v>
      </x:c>
      <x:c r="X590" s="11" t="str">
        <x:v>Predaný</x:v>
      </x:c>
      <x:c r="Y590" s="11" t="str">
        <x:v>https://d-y.sk/byty/e05.05/</x:v>
      </x:c>
      <x:c r="Z590" s="11" t="n">
        <x:v>46252.68496519676</x:v>
      </x:c>
      <x:c r="AA590" s="11" t="n">
        <x:v>46254.51251577547</x:v>
      </x:c>
      <x:c r="AB590" s="11" t="n">
        <x:v>46254.51251577547</x:v>
      </x:c>
      <x:c r="AC590" t="str">
        <x:v>downtown_yards</x:v>
      </x:c>
    </x:row>
    <x:row r="591" ht="22" customHeight="1">
      <x:c r="A591" t="str">
        <x:v>Downtown Yards</x:v>
      </x:c>
      <x:c r="B591" t="str">
        <x:v>E05.06</x:v>
      </x:c>
      <x:c r="C591" t="str">
        <x:v>sold</x:v>
      </x:c>
      <x:c r="D591" t="str">
        <x:v>present</x:v>
      </x:c>
      <x:c r="E591" t="str">
        <x:v>baseline</x:v>
      </x:c>
      <x:c r="F591" s="11" t="n">
        <x:v>46252.68496519676</x:v>
      </x:c>
      <x:c r="G591" t="str">
        <x:v>flat</x:v>
      </x:c>
      <x:c r="H591" s="12" t="n">
        <x:v>2</x:v>
      </x:c>
      <x:c r="I591" s="13" t="n">
        <x:v>5</x:v>
      </x:c>
      <x:c r="J591" t="str">
        <x:v>E</x:v>
      </x:c>
      <x:c r="K591" s="14" t="n">
        <x:v>62</x:v>
      </x:c>
      <x:c r="L591" s="14"/>
      <x:c r="M591" s="14"/>
      <x:c r="N591" s="14"/>
      <x:c r="O591" s="14"/>
      <x:c r="P591" s="14" t="n">
        <x:v>6.58</x:v>
      </x:c>
      <x:c r="Q591" s="14" t="n">
        <x:v>68.58</x:v>
      </x:c>
      <x:c r="R591" s="15"/>
      <x:c r="S591" s="15"/>
      <x:c r="T591" s="15"/>
      <x:c r="U591" s="16"/>
      <x:c r="V591" t="str">
        <x:v>JTRE</x:v>
      </x:c>
      <x:c r="W591" t="str">
        <x:v>Ružinov</x:v>
      </x:c>
      <x:c r="X591" s="11" t="str">
        <x:v>Predaný</x:v>
      </x:c>
      <x:c r="Y591" s="11" t="str">
        <x:v>https://d-y.sk/byty/e05.06/</x:v>
      </x:c>
      <x:c r="Z591" s="11" t="n">
        <x:v>46252.68496519676</x:v>
      </x:c>
      <x:c r="AA591" s="11" t="n">
        <x:v>46254.51251577547</x:v>
      </x:c>
      <x:c r="AB591" s="11" t="n">
        <x:v>46254.51251577547</x:v>
      </x:c>
      <x:c r="AC591" t="str">
        <x:v>downtown_yards</x:v>
      </x:c>
    </x:row>
    <x:row r="592" ht="22" customHeight="1">
      <x:c r="A592" t="str">
        <x:v>Downtown Yards</x:v>
      </x:c>
      <x:c r="B592" t="str">
        <x:v>E05.07</x:v>
      </x:c>
      <x:c r="C592" t="str">
        <x:v>sold</x:v>
      </x:c>
      <x:c r="D592" t="str">
        <x:v>present</x:v>
      </x:c>
      <x:c r="E592" t="str">
        <x:v>baseline</x:v>
      </x:c>
      <x:c r="F592" s="11" t="n">
        <x:v>46252.68496519676</x:v>
      </x:c>
      <x:c r="G592" t="str">
        <x:v>flat</x:v>
      </x:c>
      <x:c r="H592" s="12" t="n">
        <x:v>2</x:v>
      </x:c>
      <x:c r="I592" s="13" t="n">
        <x:v>5</x:v>
      </x:c>
      <x:c r="J592" t="str">
        <x:v>E</x:v>
      </x:c>
      <x:c r="K592" s="14" t="n">
        <x:v>49.88</x:v>
      </x:c>
      <x:c r="L592" s="14"/>
      <x:c r="M592" s="14"/>
      <x:c r="N592" s="14"/>
      <x:c r="O592" s="14"/>
      <x:c r="P592" s="14" t="n">
        <x:v>6.58</x:v>
      </x:c>
      <x:c r="Q592" s="14" t="n">
        <x:v>56.46</x:v>
      </x:c>
      <x:c r="R592" s="15"/>
      <x:c r="S592" s="15"/>
      <x:c r="T592" s="15"/>
      <x:c r="U592" s="16"/>
      <x:c r="V592" t="str">
        <x:v>JTRE</x:v>
      </x:c>
      <x:c r="W592" t="str">
        <x:v>Ružinov</x:v>
      </x:c>
      <x:c r="X592" s="11" t="str">
        <x:v>Predaný</x:v>
      </x:c>
      <x:c r="Y592" s="11" t="str">
        <x:v>https://d-y.sk/byty/e05.07/</x:v>
      </x:c>
      <x:c r="Z592" s="11" t="n">
        <x:v>46252.68496519676</x:v>
      </x:c>
      <x:c r="AA592" s="11" t="n">
        <x:v>46254.51251577547</x:v>
      </x:c>
      <x:c r="AB592" s="11" t="n">
        <x:v>46254.51251577547</x:v>
      </x:c>
      <x:c r="AC592" t="str">
        <x:v>downtown_yards</x:v>
      </x:c>
    </x:row>
    <x:row r="593" ht="22" customHeight="1">
      <x:c r="A593" t="str">
        <x:v>Downtown Yards</x:v>
      </x:c>
      <x:c r="B593" t="str">
        <x:v>E05.08</x:v>
      </x:c>
      <x:c r="C593" t="str">
        <x:v>sold</x:v>
      </x:c>
      <x:c r="D593" t="str">
        <x:v>present</x:v>
      </x:c>
      <x:c r="E593" t="str">
        <x:v>baseline</x:v>
      </x:c>
      <x:c r="F593" s="11" t="n">
        <x:v>46252.68496519676</x:v>
      </x:c>
      <x:c r="G593" t="str">
        <x:v>flat</x:v>
      </x:c>
      <x:c r="H593" s="12" t="n">
        <x:v>2</x:v>
      </x:c>
      <x:c r="I593" s="13" t="n">
        <x:v>5</x:v>
      </x:c>
      <x:c r="J593" t="str">
        <x:v>E</x:v>
      </x:c>
      <x:c r="K593" s="14" t="n">
        <x:v>52.15</x:v>
      </x:c>
      <x:c r="L593" s="14"/>
      <x:c r="M593" s="14"/>
      <x:c r="N593" s="14"/>
      <x:c r="O593" s="14"/>
      <x:c r="P593" s="14" t="n">
        <x:v>6.58</x:v>
      </x:c>
      <x:c r="Q593" s="14" t="n">
        <x:v>58.73</x:v>
      </x:c>
      <x:c r="R593" s="15"/>
      <x:c r="S593" s="15"/>
      <x:c r="T593" s="15"/>
      <x:c r="U593" s="16"/>
      <x:c r="V593" t="str">
        <x:v>JTRE</x:v>
      </x:c>
      <x:c r="W593" t="str">
        <x:v>Ružinov</x:v>
      </x:c>
      <x:c r="X593" s="11" t="str">
        <x:v>Predaný</x:v>
      </x:c>
      <x:c r="Y593" s="11" t="str">
        <x:v>https://d-y.sk/byty/e05.08/</x:v>
      </x:c>
      <x:c r="Z593" s="11" t="n">
        <x:v>46252.68496519676</x:v>
      </x:c>
      <x:c r="AA593" s="11" t="n">
        <x:v>46254.51251577547</x:v>
      </x:c>
      <x:c r="AB593" s="11" t="n">
        <x:v>46254.51251577547</x:v>
      </x:c>
      <x:c r="AC593" t="str">
        <x:v>downtown_yards</x:v>
      </x:c>
    </x:row>
    <x:row r="594" ht="22" customHeight="1">
      <x:c r="A594" t="str">
        <x:v>Downtown Yards</x:v>
      </x:c>
      <x:c r="B594" t="str">
        <x:v>E05.09</x:v>
      </x:c>
      <x:c r="C594" t="str">
        <x:v>available</x:v>
      </x:c>
      <x:c r="D594" t="str">
        <x:v>present</x:v>
      </x:c>
      <x:c r="E594" t="str">
        <x:v>baseline</x:v>
      </x:c>
      <x:c r="F594" s="11" t="n">
        <x:v>46252.68496519676</x:v>
      </x:c>
      <x:c r="G594" t="str">
        <x:v>flat</x:v>
      </x:c>
      <x:c r="H594" s="12" t="n">
        <x:v>3</x:v>
      </x:c>
      <x:c r="I594" s="13" t="n">
        <x:v>5</x:v>
      </x:c>
      <x:c r="J594" t="str">
        <x:v>E</x:v>
      </x:c>
      <x:c r="K594" s="14" t="n">
        <x:v>79.81</x:v>
      </x:c>
      <x:c r="L594" s="14"/>
      <x:c r="M594" s="14"/>
      <x:c r="N594" s="14"/>
      <x:c r="O594" s="14"/>
      <x:c r="P594" s="14" t="n">
        <x:v>12.1</x:v>
      </x:c>
      <x:c r="Q594" s="14" t="n">
        <x:v>91.91</x:v>
      </x:c>
      <x:c r="R594" s="15" t="n">
        <x:v>528285</x:v>
      </x:c>
      <x:c r="S594" s="15" t="n">
        <x:v>614262</x:v>
      </x:c>
      <x:c r="T594" s="15" t="n">
        <x:v>528285</x:v>
      </x:c>
      <x:c r="U594" s="16" t="n">
        <x:v>6619.28</x:v>
      </x:c>
      <x:c r="V594" t="str">
        <x:v>JTRE</x:v>
      </x:c>
      <x:c r="W594" t="str">
        <x:v>Ružinov</x:v>
      </x:c>
      <x:c r="X594" s="11" t="str">
        <x:v>Voľný</x:v>
      </x:c>
      <x:c r="Y594" s="11" t="str">
        <x:v>https://d-y.sk/byty/e05.09/</x:v>
      </x:c>
      <x:c r="Z594" s="11" t="n">
        <x:v>46252.68496519676</x:v>
      </x:c>
      <x:c r="AA594" s="11" t="n">
        <x:v>46254.51251577547</x:v>
      </x:c>
      <x:c r="AB594" s="11" t="n">
        <x:v>46254.51251577547</x:v>
      </x:c>
      <x:c r="AC594" t="str">
        <x:v>downtown_yards</x:v>
      </x:c>
    </x:row>
    <x:row r="595" ht="22" customHeight="1">
      <x:c r="A595" t="str">
        <x:v>Downtown Yards</x:v>
      </x:c>
      <x:c r="B595" t="str">
        <x:v>E05.10</x:v>
      </x:c>
      <x:c r="C595" t="str">
        <x:v>sold</x:v>
      </x:c>
      <x:c r="D595" t="str">
        <x:v>present</x:v>
      </x:c>
      <x:c r="E595" t="str">
        <x:v>baseline</x:v>
      </x:c>
      <x:c r="F595" s="11" t="n">
        <x:v>46252.68496519676</x:v>
      </x:c>
      <x:c r="G595" t="str">
        <x:v>apartment</x:v>
      </x:c>
      <x:c r="H595" s="12" t="n">
        <x:v>1</x:v>
      </x:c>
      <x:c r="I595" s="13" t="n">
        <x:v>5</x:v>
      </x:c>
      <x:c r="J595" t="str">
        <x:v>E</x:v>
      </x:c>
      <x:c r="K595" s="14" t="n">
        <x:v>30.66</x:v>
      </x:c>
      <x:c r="L595" s="14"/>
      <x:c r="M595" s="14"/>
      <x:c r="N595" s="14"/>
      <x:c r="O595" s="14"/>
      <x:c r="P595" s="14" t="n">
        <x:v>3.23</x:v>
      </x:c>
      <x:c r="Q595" s="14" t="n">
        <x:v>33.89</x:v>
      </x:c>
      <x:c r="R595" s="15"/>
      <x:c r="S595" s="15"/>
      <x:c r="T595" s="15"/>
      <x:c r="U595" s="16"/>
      <x:c r="V595" t="str">
        <x:v>JTRE</x:v>
      </x:c>
      <x:c r="W595" t="str">
        <x:v>Ružinov</x:v>
      </x:c>
      <x:c r="X595" s="11" t="str">
        <x:v>Predaný</x:v>
      </x:c>
      <x:c r="Y595" s="11" t="str">
        <x:v>https://d-y.sk/byty/e05.10/</x:v>
      </x:c>
      <x:c r="Z595" s="11" t="n">
        <x:v>46252.68496519676</x:v>
      </x:c>
      <x:c r="AA595" s="11" t="n">
        <x:v>46254.51251577547</x:v>
      </x:c>
      <x:c r="AB595" s="11" t="n">
        <x:v>46254.51251577547</x:v>
      </x:c>
      <x:c r="AC595" t="str">
        <x:v>downtown_yards</x:v>
      </x:c>
    </x:row>
    <x:row r="596" ht="22" customHeight="1">
      <x:c r="A596" t="str">
        <x:v>Downtown Yards</x:v>
      </x:c>
      <x:c r="B596" t="str">
        <x:v>E06.01</x:v>
      </x:c>
      <x:c r="C596" t="str">
        <x:v>pre_reserved</x:v>
      </x:c>
      <x:c r="D596" t="str">
        <x:v>present</x:v>
      </x:c>
      <x:c r="E596" t="str">
        <x:v>baseline</x:v>
      </x:c>
      <x:c r="F596" s="11" t="n">
        <x:v>46252.68496519676</x:v>
      </x:c>
      <x:c r="G596" t="str">
        <x:v>flat</x:v>
      </x:c>
      <x:c r="H596" s="12" t="n">
        <x:v>1</x:v>
      </x:c>
      <x:c r="I596" s="13" t="n">
        <x:v>6</x:v>
      </x:c>
      <x:c r="J596" t="str">
        <x:v>E</x:v>
      </x:c>
      <x:c r="K596" s="14" t="n">
        <x:v>32</x:v>
      </x:c>
      <x:c r="L596" s="14"/>
      <x:c r="M596" s="14"/>
      <x:c r="N596" s="14"/>
      <x:c r="O596" s="14"/>
      <x:c r="P596" s="14" t="n">
        <x:v>3.13</x:v>
      </x:c>
      <x:c r="Q596" s="14" t="n">
        <x:v>35.13</x:v>
      </x:c>
      <x:c r="R596" s="15" t="n">
        <x:v>259530</x:v>
      </x:c>
      <x:c r="S596" s="15" t="n">
        <x:v>276750</x:v>
      </x:c>
      <x:c r="T596" s="15" t="n">
        <x:v>259530</x:v>
      </x:c>
      <x:c r="U596" s="16" t="n">
        <x:v>8110.31</x:v>
      </x:c>
      <x:c r="V596" t="str">
        <x:v>JTRE</x:v>
      </x:c>
      <x:c r="W596" t="str">
        <x:v>Ružinov</x:v>
      </x:c>
      <x:c r="X596" s="11" t="str">
        <x:v>Predrezervovaný</x:v>
      </x:c>
      <x:c r="Y596" s="11" t="str">
        <x:v>https://d-y.sk/byty/e06.01/</x:v>
      </x:c>
      <x:c r="Z596" s="11" t="n">
        <x:v>46252.68496519676</x:v>
      </x:c>
      <x:c r="AA596" s="11" t="n">
        <x:v>46254.51251577547</x:v>
      </x:c>
      <x:c r="AB596" s="11" t="n">
        <x:v>46254.51251577547</x:v>
      </x:c>
      <x:c r="AC596" t="str">
        <x:v>downtown_yards</x:v>
      </x:c>
    </x:row>
    <x:row r="597" ht="22" customHeight="1">
      <x:c r="A597" t="str">
        <x:v>Downtown Yards</x:v>
      </x:c>
      <x:c r="B597" t="str">
        <x:v>E06.02</x:v>
      </x:c>
      <x:c r="C597" t="str">
        <x:v>sold</x:v>
      </x:c>
      <x:c r="D597" t="str">
        <x:v>present</x:v>
      </x:c>
      <x:c r="E597" t="str">
        <x:v>baseline</x:v>
      </x:c>
      <x:c r="F597" s="11" t="n">
        <x:v>46252.68496519676</x:v>
      </x:c>
      <x:c r="G597" t="str">
        <x:v>flat</x:v>
      </x:c>
      <x:c r="H597" s="12" t="n">
        <x:v>3</x:v>
      </x:c>
      <x:c r="I597" s="13" t="n">
        <x:v>6</x:v>
      </x:c>
      <x:c r="J597" t="str">
        <x:v>E</x:v>
      </x:c>
      <x:c r="K597" s="14" t="n">
        <x:v>81.26</x:v>
      </x:c>
      <x:c r="L597" s="14"/>
      <x:c r="M597" s="14"/>
      <x:c r="N597" s="14"/>
      <x:c r="O597" s="14"/>
      <x:c r="P597" s="14" t="n">
        <x:v>13.63</x:v>
      </x:c>
      <x:c r="Q597" s="14" t="n">
        <x:v>94.89</x:v>
      </x:c>
      <x:c r="R597" s="15"/>
      <x:c r="S597" s="15"/>
      <x:c r="T597" s="15"/>
      <x:c r="U597" s="16"/>
      <x:c r="V597" t="str">
        <x:v>JTRE</x:v>
      </x:c>
      <x:c r="W597" t="str">
        <x:v>Ružinov</x:v>
      </x:c>
      <x:c r="X597" s="11" t="str">
        <x:v>Predaný</x:v>
      </x:c>
      <x:c r="Y597" s="11" t="str">
        <x:v>https://d-y.sk/byty/e06.02/</x:v>
      </x:c>
      <x:c r="Z597" s="11" t="n">
        <x:v>46252.68496519676</x:v>
      </x:c>
      <x:c r="AA597" s="11" t="n">
        <x:v>46254.51251577547</x:v>
      </x:c>
      <x:c r="AB597" s="11" t="n">
        <x:v>46254.51251577547</x:v>
      </x:c>
      <x:c r="AC597" t="str">
        <x:v>downtown_yards</x:v>
      </x:c>
    </x:row>
    <x:row r="598" ht="22" customHeight="1">
      <x:c r="A598" t="str">
        <x:v>Downtown Yards</x:v>
      </x:c>
      <x:c r="B598" t="str">
        <x:v>E06.03</x:v>
      </x:c>
      <x:c r="C598" t="str">
        <x:v>sold</x:v>
      </x:c>
      <x:c r="D598" t="str">
        <x:v>present</x:v>
      </x:c>
      <x:c r="E598" t="str">
        <x:v>baseline</x:v>
      </x:c>
      <x:c r="F598" s="11" t="n">
        <x:v>46252.68496519676</x:v>
      </x:c>
      <x:c r="G598" t="str">
        <x:v>flat</x:v>
      </x:c>
      <x:c r="H598" s="12" t="n">
        <x:v>2</x:v>
      </x:c>
      <x:c r="I598" s="13" t="n">
        <x:v>6</x:v>
      </x:c>
      <x:c r="J598" t="str">
        <x:v>E</x:v>
      </x:c>
      <x:c r="K598" s="14" t="n">
        <x:v>52.22</x:v>
      </x:c>
      <x:c r="L598" s="14"/>
      <x:c r="M598" s="14"/>
      <x:c r="N598" s="14"/>
      <x:c r="O598" s="14"/>
      <x:c r="P598" s="14" t="n">
        <x:v>8.67</x:v>
      </x:c>
      <x:c r="Q598" s="14" t="n">
        <x:v>60.89</x:v>
      </x:c>
      <x:c r="R598" s="15"/>
      <x:c r="S598" s="15"/>
      <x:c r="T598" s="15"/>
      <x:c r="U598" s="16"/>
      <x:c r="V598" t="str">
        <x:v>JTRE</x:v>
      </x:c>
      <x:c r="W598" t="str">
        <x:v>Ružinov</x:v>
      </x:c>
      <x:c r="X598" s="11" t="str">
        <x:v>Predaný</x:v>
      </x:c>
      <x:c r="Y598" s="11" t="str">
        <x:v>https://d-y.sk/byty/e06.03/</x:v>
      </x:c>
      <x:c r="Z598" s="11" t="n">
        <x:v>46252.68496519676</x:v>
      </x:c>
      <x:c r="AA598" s="11" t="n">
        <x:v>46254.51251577547</x:v>
      </x:c>
      <x:c r="AB598" s="11" t="n">
        <x:v>46254.51251577547</x:v>
      </x:c>
      <x:c r="AC598" t="str">
        <x:v>downtown_yards</x:v>
      </x:c>
    </x:row>
    <x:row r="599" ht="22" customHeight="1">
      <x:c r="A599" t="str">
        <x:v>Downtown Yards</x:v>
      </x:c>
      <x:c r="B599" t="str">
        <x:v>E06.04</x:v>
      </x:c>
      <x:c r="C599" t="str">
        <x:v>sold</x:v>
      </x:c>
      <x:c r="D599" t="str">
        <x:v>present</x:v>
      </x:c>
      <x:c r="E599" t="str">
        <x:v>baseline</x:v>
      </x:c>
      <x:c r="F599" s="11" t="n">
        <x:v>46252.68496519676</x:v>
      </x:c>
      <x:c r="G599" t="str">
        <x:v>flat</x:v>
      </x:c>
      <x:c r="H599" s="12" t="n">
        <x:v>2</x:v>
      </x:c>
      <x:c r="I599" s="13" t="n">
        <x:v>6</x:v>
      </x:c>
      <x:c r="J599" t="str">
        <x:v>E</x:v>
      </x:c>
      <x:c r="K599" s="14" t="n">
        <x:v>51.73</x:v>
      </x:c>
      <x:c r="L599" s="14"/>
      <x:c r="M599" s="14"/>
      <x:c r="N599" s="14"/>
      <x:c r="O599" s="14"/>
      <x:c r="P599" s="14" t="n">
        <x:v>8.67</x:v>
      </x:c>
      <x:c r="Q599" s="14" t="n">
        <x:v>60.4</x:v>
      </x:c>
      <x:c r="R599" s="15"/>
      <x:c r="S599" s="15"/>
      <x:c r="T599" s="15"/>
      <x:c r="U599" s="16"/>
      <x:c r="V599" t="str">
        <x:v>JTRE</x:v>
      </x:c>
      <x:c r="W599" t="str">
        <x:v>Ružinov</x:v>
      </x:c>
      <x:c r="X599" s="11" t="str">
        <x:v>Predaný</x:v>
      </x:c>
      <x:c r="Y599" s="11" t="str">
        <x:v>https://d-y.sk/byty/e06.04/</x:v>
      </x:c>
      <x:c r="Z599" s="11" t="n">
        <x:v>46252.68496519676</x:v>
      </x:c>
      <x:c r="AA599" s="11" t="n">
        <x:v>46254.51251577547</x:v>
      </x:c>
      <x:c r="AB599" s="11" t="n">
        <x:v>46254.51251577547</x:v>
      </x:c>
      <x:c r="AC599" t="str">
        <x:v>downtown_yards</x:v>
      </x:c>
    </x:row>
    <x:row r="600" ht="22" customHeight="1">
      <x:c r="A600" t="str">
        <x:v>Downtown Yards</x:v>
      </x:c>
      <x:c r="B600" t="str">
        <x:v>E06.05</x:v>
      </x:c>
      <x:c r="C600" t="str">
        <x:v>sold</x:v>
      </x:c>
      <x:c r="D600" t="str">
        <x:v>present</x:v>
      </x:c>
      <x:c r="E600" t="str">
        <x:v>baseline</x:v>
      </x:c>
      <x:c r="F600" s="11" t="n">
        <x:v>46252.68496519676</x:v>
      </x:c>
      <x:c r="G600" t="str">
        <x:v>flat</x:v>
      </x:c>
      <x:c r="H600" s="12" t="n">
        <x:v>3</x:v>
      </x:c>
      <x:c r="I600" s="13" t="n">
        <x:v>6</x:v>
      </x:c>
      <x:c r="J600" t="str">
        <x:v>E</x:v>
      </x:c>
      <x:c r="K600" s="14" t="n">
        <x:v>81.58</x:v>
      </x:c>
      <x:c r="L600" s="14"/>
      <x:c r="M600" s="14"/>
      <x:c r="N600" s="14"/>
      <x:c r="O600" s="14"/>
      <x:c r="P600" s="14" t="n">
        <x:v>8.67</x:v>
      </x:c>
      <x:c r="Q600" s="14" t="n">
        <x:v>90.25</x:v>
      </x:c>
      <x:c r="R600" s="15"/>
      <x:c r="S600" s="15"/>
      <x:c r="T600" s="15"/>
      <x:c r="U600" s="16"/>
      <x:c r="V600" t="str">
        <x:v>JTRE</x:v>
      </x:c>
      <x:c r="W600" t="str">
        <x:v>Ružinov</x:v>
      </x:c>
      <x:c r="X600" s="11" t="str">
        <x:v>Predaný</x:v>
      </x:c>
      <x:c r="Y600" s="11" t="str">
        <x:v>https://d-y.sk/byty/e06.05/</x:v>
      </x:c>
      <x:c r="Z600" s="11" t="n">
        <x:v>46252.68496519676</x:v>
      </x:c>
      <x:c r="AA600" s="11" t="n">
        <x:v>46254.51251577547</x:v>
      </x:c>
      <x:c r="AB600" s="11" t="n">
        <x:v>46254.51251577547</x:v>
      </x:c>
      <x:c r="AC600" t="str">
        <x:v>downtown_yards</x:v>
      </x:c>
    </x:row>
    <x:row r="601" ht="22" customHeight="1">
      <x:c r="A601" t="str">
        <x:v>Downtown Yards</x:v>
      </x:c>
      <x:c r="B601" t="str">
        <x:v>E06.06</x:v>
      </x:c>
      <x:c r="C601" t="str">
        <x:v>available</x:v>
      </x:c>
      <x:c r="D601" t="str">
        <x:v>present</x:v>
      </x:c>
      <x:c r="E601" t="str">
        <x:v>baseline</x:v>
      </x:c>
      <x:c r="F601" s="11" t="n">
        <x:v>46252.68496519676</x:v>
      </x:c>
      <x:c r="G601" t="str">
        <x:v>flat</x:v>
      </x:c>
      <x:c r="H601" s="12" t="n">
        <x:v>3</x:v>
      </x:c>
      <x:c r="I601" s="13" t="n">
        <x:v>6</x:v>
      </x:c>
      <x:c r="J601" t="str">
        <x:v>E</x:v>
      </x:c>
      <x:c r="K601" s="14" t="n">
        <x:v>81.7</x:v>
      </x:c>
      <x:c r="L601" s="14"/>
      <x:c r="M601" s="14"/>
      <x:c r="N601" s="14"/>
      <x:c r="O601" s="14"/>
      <x:c r="P601" s="14" t="n">
        <x:v>6.58</x:v>
      </x:c>
      <x:c r="Q601" s="14" t="n">
        <x:v>88.28</x:v>
      </x:c>
      <x:c r="R601" s="15" t="n">
        <x:v>510204</x:v>
      </x:c>
      <x:c r="S601" s="15" t="n">
        <x:v>593229</x:v>
      </x:c>
      <x:c r="T601" s="15" t="n">
        <x:v>510204</x:v>
      </x:c>
      <x:c r="U601" s="16" t="n">
        <x:v>6244.85</x:v>
      </x:c>
      <x:c r="V601" t="str">
        <x:v>JTRE</x:v>
      </x:c>
      <x:c r="W601" t="str">
        <x:v>Ružinov</x:v>
      </x:c>
      <x:c r="X601" s="11" t="str">
        <x:v>Voľný</x:v>
      </x:c>
      <x:c r="Y601" s="11" t="str">
        <x:v>https://d-y.sk/byty/e06.06/</x:v>
      </x:c>
      <x:c r="Z601" s="11" t="n">
        <x:v>46252.68496519676</x:v>
      </x:c>
      <x:c r="AA601" s="11" t="n">
        <x:v>46254.51251577547</x:v>
      </x:c>
      <x:c r="AB601" s="11" t="n">
        <x:v>46254.51251577547</x:v>
      </x:c>
      <x:c r="AC601" t="str">
        <x:v>downtown_yards</x:v>
      </x:c>
    </x:row>
    <x:row r="602" ht="22" customHeight="1">
      <x:c r="A602" t="str">
        <x:v>Downtown Yards</x:v>
      </x:c>
      <x:c r="B602" t="str">
        <x:v>E06.07</x:v>
      </x:c>
      <x:c r="C602" t="str">
        <x:v>sold</x:v>
      </x:c>
      <x:c r="D602" t="str">
        <x:v>present</x:v>
      </x:c>
      <x:c r="E602" t="str">
        <x:v>baseline</x:v>
      </x:c>
      <x:c r="F602" s="11" t="n">
        <x:v>46252.68496519676</x:v>
      </x:c>
      <x:c r="G602" t="str">
        <x:v>flat</x:v>
      </x:c>
      <x:c r="H602" s="12" t="n">
        <x:v>2</x:v>
      </x:c>
      <x:c r="I602" s="13" t="n">
        <x:v>6</x:v>
      </x:c>
      <x:c r="J602" t="str">
        <x:v>E</x:v>
      </x:c>
      <x:c r="K602" s="14" t="n">
        <x:v>49.88</x:v>
      </x:c>
      <x:c r="L602" s="14"/>
      <x:c r="M602" s="14"/>
      <x:c r="N602" s="14"/>
      <x:c r="O602" s="14"/>
      <x:c r="P602" s="14" t="n">
        <x:v>6.58</x:v>
      </x:c>
      <x:c r="Q602" s="14" t="n">
        <x:v>56.46</x:v>
      </x:c>
      <x:c r="R602" s="15"/>
      <x:c r="S602" s="15"/>
      <x:c r="T602" s="15"/>
      <x:c r="U602" s="16"/>
      <x:c r="V602" t="str">
        <x:v>JTRE</x:v>
      </x:c>
      <x:c r="W602" t="str">
        <x:v>Ružinov</x:v>
      </x:c>
      <x:c r="X602" s="11" t="str">
        <x:v>Predaný</x:v>
      </x:c>
      <x:c r="Y602" s="11" t="str">
        <x:v>https://d-y.sk/byty/e06.07/</x:v>
      </x:c>
      <x:c r="Z602" s="11" t="n">
        <x:v>46252.68496519676</x:v>
      </x:c>
      <x:c r="AA602" s="11" t="n">
        <x:v>46254.51251577547</x:v>
      </x:c>
      <x:c r="AB602" s="11" t="n">
        <x:v>46254.51251577547</x:v>
      </x:c>
      <x:c r="AC602" t="str">
        <x:v>downtown_yards</x:v>
      </x:c>
    </x:row>
    <x:row r="603" ht="22" customHeight="1">
      <x:c r="A603" t="str">
        <x:v>Downtown Yards</x:v>
      </x:c>
      <x:c r="B603" t="str">
        <x:v>E06.08</x:v>
      </x:c>
      <x:c r="C603" t="str">
        <x:v>sold</x:v>
      </x:c>
      <x:c r="D603" t="str">
        <x:v>present</x:v>
      </x:c>
      <x:c r="E603" t="str">
        <x:v>baseline</x:v>
      </x:c>
      <x:c r="F603" s="11" t="n">
        <x:v>46252.68496519676</x:v>
      </x:c>
      <x:c r="G603" t="str">
        <x:v>flat</x:v>
      </x:c>
      <x:c r="H603" s="12" t="n">
        <x:v>2</x:v>
      </x:c>
      <x:c r="I603" s="13" t="n">
        <x:v>6</x:v>
      </x:c>
      <x:c r="J603" t="str">
        <x:v>E</x:v>
      </x:c>
      <x:c r="K603" s="14" t="n">
        <x:v>52.15</x:v>
      </x:c>
      <x:c r="L603" s="14"/>
      <x:c r="M603" s="14"/>
      <x:c r="N603" s="14"/>
      <x:c r="O603" s="14"/>
      <x:c r="P603" s="14" t="n">
        <x:v>6.58</x:v>
      </x:c>
      <x:c r="Q603" s="14" t="n">
        <x:v>58.73</x:v>
      </x:c>
      <x:c r="R603" s="15"/>
      <x:c r="S603" s="15"/>
      <x:c r="T603" s="15"/>
      <x:c r="U603" s="16"/>
      <x:c r="V603" t="str">
        <x:v>JTRE</x:v>
      </x:c>
      <x:c r="W603" t="str">
        <x:v>Ružinov</x:v>
      </x:c>
      <x:c r="X603" s="11" t="str">
        <x:v>Predaný</x:v>
      </x:c>
      <x:c r="Y603" s="11" t="str">
        <x:v>https://d-y.sk/byty/e06.08/</x:v>
      </x:c>
      <x:c r="Z603" s="11" t="n">
        <x:v>46252.68496519676</x:v>
      </x:c>
      <x:c r="AA603" s="11" t="n">
        <x:v>46254.51251577547</x:v>
      </x:c>
      <x:c r="AB603" s="11" t="n">
        <x:v>46254.51251577547</x:v>
      </x:c>
      <x:c r="AC603" t="str">
        <x:v>downtown_yards</x:v>
      </x:c>
    </x:row>
    <x:row r="604" ht="22" customHeight="1">
      <x:c r="A604" t="str">
        <x:v>Downtown Yards</x:v>
      </x:c>
      <x:c r="B604" t="str">
        <x:v>E06.09</x:v>
      </x:c>
      <x:c r="C604" t="str">
        <x:v>available</x:v>
      </x:c>
      <x:c r="D604" t="str">
        <x:v>present</x:v>
      </x:c>
      <x:c r="E604" t="str">
        <x:v>baseline</x:v>
      </x:c>
      <x:c r="F604" s="11" t="n">
        <x:v>46252.68496519676</x:v>
      </x:c>
      <x:c r="G604" t="str">
        <x:v>flat</x:v>
      </x:c>
      <x:c r="H604" s="12" t="n">
        <x:v>3</x:v>
      </x:c>
      <x:c r="I604" s="13" t="n">
        <x:v>6</x:v>
      </x:c>
      <x:c r="J604" t="str">
        <x:v>E</x:v>
      </x:c>
      <x:c r="K604" s="14" t="n">
        <x:v>79.81</x:v>
      </x:c>
      <x:c r="L604" s="14"/>
      <x:c r="M604" s="14"/>
      <x:c r="N604" s="14"/>
      <x:c r="O604" s="14"/>
      <x:c r="P604" s="14" t="n">
        <x:v>12.1</x:v>
      </x:c>
      <x:c r="Q604" s="14" t="n">
        <x:v>91.91</x:v>
      </x:c>
      <x:c r="R604" s="15" t="n">
        <x:v>535050</x:v>
      </x:c>
      <x:c r="S604" s="15" t="n">
        <x:v>622011</x:v>
      </x:c>
      <x:c r="T604" s="15" t="n">
        <x:v>535050</x:v>
      </x:c>
      <x:c r="U604" s="16" t="n">
        <x:v>6704.05</x:v>
      </x:c>
      <x:c r="V604" t="str">
        <x:v>JTRE</x:v>
      </x:c>
      <x:c r="W604" t="str">
        <x:v>Ružinov</x:v>
      </x:c>
      <x:c r="X604" s="11" t="str">
        <x:v>Voľný</x:v>
      </x:c>
      <x:c r="Y604" s="11" t="str">
        <x:v>https://d-y.sk/byty/e06.09/</x:v>
      </x:c>
      <x:c r="Z604" s="11" t="n">
        <x:v>46252.68496519676</x:v>
      </x:c>
      <x:c r="AA604" s="11" t="n">
        <x:v>46254.51251577547</x:v>
      </x:c>
      <x:c r="AB604" s="11" t="n">
        <x:v>46254.51251577547</x:v>
      </x:c>
      <x:c r="AC604" t="str">
        <x:v>downtown_yards</x:v>
      </x:c>
    </x:row>
    <x:row r="605" ht="22" customHeight="1">
      <x:c r="A605" t="str">
        <x:v>Downtown Yards</x:v>
      </x:c>
      <x:c r="B605" t="str">
        <x:v>E06.10</x:v>
      </x:c>
      <x:c r="C605" t="str">
        <x:v>sold</x:v>
      </x:c>
      <x:c r="D605" t="str">
        <x:v>present</x:v>
      </x:c>
      <x:c r="E605" t="str">
        <x:v>baseline</x:v>
      </x:c>
      <x:c r="F605" s="11" t="n">
        <x:v>46252.68496519676</x:v>
      </x:c>
      <x:c r="G605" t="str">
        <x:v>flat</x:v>
      </x:c>
      <x:c r="H605" s="12" t="n">
        <x:v>1</x:v>
      </x:c>
      <x:c r="I605" s="13" t="n">
        <x:v>6</x:v>
      </x:c>
      <x:c r="J605" t="str">
        <x:v>E</x:v>
      </x:c>
      <x:c r="K605" s="14" t="n">
        <x:v>30.66</x:v>
      </x:c>
      <x:c r="L605" s="14"/>
      <x:c r="M605" s="14"/>
      <x:c r="N605" s="14"/>
      <x:c r="O605" s="14"/>
      <x:c r="P605" s="14" t="n">
        <x:v>3.23</x:v>
      </x:c>
      <x:c r="Q605" s="14" t="n">
        <x:v>33.89</x:v>
      </x:c>
      <x:c r="R605" s="15"/>
      <x:c r="S605" s="15"/>
      <x:c r="T605" s="15"/>
      <x:c r="U605" s="16"/>
      <x:c r="V605" t="str">
        <x:v>JTRE</x:v>
      </x:c>
      <x:c r="W605" t="str">
        <x:v>Ružinov</x:v>
      </x:c>
      <x:c r="X605" s="11" t="str">
        <x:v>Predaný</x:v>
      </x:c>
      <x:c r="Y605" s="11" t="str">
        <x:v>https://d-y.sk/byty/e06.10/</x:v>
      </x:c>
      <x:c r="Z605" s="11" t="n">
        <x:v>46252.68496519676</x:v>
      </x:c>
      <x:c r="AA605" s="11" t="n">
        <x:v>46254.51251577547</x:v>
      </x:c>
      <x:c r="AB605" s="11" t="n">
        <x:v>46254.51251577547</x:v>
      </x:c>
      <x:c r="AC605" t="str">
        <x:v>downtown_yards</x:v>
      </x:c>
    </x:row>
    <x:row r="606" ht="22" customHeight="1">
      <x:c r="A606" t="str">
        <x:v>Downtown Yards</x:v>
      </x:c>
      <x:c r="B606" t="str">
        <x:v>E07.01</x:v>
      </x:c>
      <x:c r="C606" t="str">
        <x:v>pre_reserved</x:v>
      </x:c>
      <x:c r="D606" t="str">
        <x:v>present</x:v>
      </x:c>
      <x:c r="E606" t="str">
        <x:v>baseline</x:v>
      </x:c>
      <x:c r="F606" s="11" t="n">
        <x:v>46252.68496519676</x:v>
      </x:c>
      <x:c r="G606" t="str">
        <x:v>flat</x:v>
      </x:c>
      <x:c r="H606" s="12" t="n">
        <x:v>1</x:v>
      </x:c>
      <x:c r="I606" s="13" t="n">
        <x:v>7</x:v>
      </x:c>
      <x:c r="J606" t="str">
        <x:v>E</x:v>
      </x:c>
      <x:c r="K606" s="14" t="n">
        <x:v>32</x:v>
      </x:c>
      <x:c r="L606" s="14"/>
      <x:c r="M606" s="14"/>
      <x:c r="N606" s="14"/>
      <x:c r="O606" s="14"/>
      <x:c r="P606" s="14" t="n">
        <x:v>3.13</x:v>
      </x:c>
      <x:c r="Q606" s="14" t="n">
        <x:v>35.13</x:v>
      </x:c>
      <x:c r="R606" s="15" t="n">
        <x:v>261498</x:v>
      </x:c>
      <x:c r="S606" s="15" t="n">
        <x:v>278841</x:v>
      </x:c>
      <x:c r="T606" s="15" t="n">
        <x:v>261498</x:v>
      </x:c>
      <x:c r="U606" s="16" t="n">
        <x:v>8171.81</x:v>
      </x:c>
      <x:c r="V606" t="str">
        <x:v>JTRE</x:v>
      </x:c>
      <x:c r="W606" t="str">
        <x:v>Ružinov</x:v>
      </x:c>
      <x:c r="X606" s="11" t="str">
        <x:v>Predrezervovaný</x:v>
      </x:c>
      <x:c r="Y606" s="11" t="str">
        <x:v>https://d-y.sk/byty/e07.01/</x:v>
      </x:c>
      <x:c r="Z606" s="11" t="n">
        <x:v>46252.68496519676</x:v>
      </x:c>
      <x:c r="AA606" s="11" t="n">
        <x:v>46254.51251577547</x:v>
      </x:c>
      <x:c r="AB606" s="11" t="n">
        <x:v>46254.51251577547</x:v>
      </x:c>
      <x:c r="AC606" t="str">
        <x:v>downtown_yards</x:v>
      </x:c>
    </x:row>
    <x:row r="607" ht="22" customHeight="1">
      <x:c r="A607" t="str">
        <x:v>Downtown Yards</x:v>
      </x:c>
      <x:c r="B607" t="str">
        <x:v>E07.02</x:v>
      </x:c>
      <x:c r="C607" t="str">
        <x:v>sold</x:v>
      </x:c>
      <x:c r="D607" t="str">
        <x:v>present</x:v>
      </x:c>
      <x:c r="E607" t="str">
        <x:v>baseline</x:v>
      </x:c>
      <x:c r="F607" s="11" t="n">
        <x:v>46252.68496519676</x:v>
      </x:c>
      <x:c r="G607" t="str">
        <x:v>flat</x:v>
      </x:c>
      <x:c r="H607" s="12" t="n">
        <x:v>3</x:v>
      </x:c>
      <x:c r="I607" s="13" t="n">
        <x:v>7</x:v>
      </x:c>
      <x:c r="J607" t="str">
        <x:v>E</x:v>
      </x:c>
      <x:c r="K607" s="14" t="n">
        <x:v>81.26</x:v>
      </x:c>
      <x:c r="L607" s="14"/>
      <x:c r="M607" s="14"/>
      <x:c r="N607" s="14"/>
      <x:c r="O607" s="14"/>
      <x:c r="P607" s="14" t="n">
        <x:v>13.63</x:v>
      </x:c>
      <x:c r="Q607" s="14" t="n">
        <x:v>94.89</x:v>
      </x:c>
      <x:c r="R607" s="15"/>
      <x:c r="S607" s="15"/>
      <x:c r="T607" s="15"/>
      <x:c r="U607" s="16"/>
      <x:c r="V607" t="str">
        <x:v>JTRE</x:v>
      </x:c>
      <x:c r="W607" t="str">
        <x:v>Ružinov</x:v>
      </x:c>
      <x:c r="X607" s="11" t="str">
        <x:v>Predaný</x:v>
      </x:c>
      <x:c r="Y607" s="11" t="str">
        <x:v>https://d-y.sk/byty/e07.02/</x:v>
      </x:c>
      <x:c r="Z607" s="11" t="n">
        <x:v>46252.68496519676</x:v>
      </x:c>
      <x:c r="AA607" s="11" t="n">
        <x:v>46254.51251577547</x:v>
      </x:c>
      <x:c r="AB607" s="11" t="n">
        <x:v>46254.51251577547</x:v>
      </x:c>
      <x:c r="AC607" t="str">
        <x:v>downtown_yards</x:v>
      </x:c>
    </x:row>
    <x:row r="608" ht="22" customHeight="1">
      <x:c r="A608" t="str">
        <x:v>Downtown Yards</x:v>
      </x:c>
      <x:c r="B608" t="str">
        <x:v>E07.03</x:v>
      </x:c>
      <x:c r="C608" t="str">
        <x:v>sold</x:v>
      </x:c>
      <x:c r="D608" t="str">
        <x:v>present</x:v>
      </x:c>
      <x:c r="E608" t="str">
        <x:v>baseline</x:v>
      </x:c>
      <x:c r="F608" s="11" t="n">
        <x:v>46252.68496519676</x:v>
      </x:c>
      <x:c r="G608" t="str">
        <x:v>flat</x:v>
      </x:c>
      <x:c r="H608" s="12" t="n">
        <x:v>2</x:v>
      </x:c>
      <x:c r="I608" s="13" t="n">
        <x:v>7</x:v>
      </x:c>
      <x:c r="J608" t="str">
        <x:v>E</x:v>
      </x:c>
      <x:c r="K608" s="14" t="n">
        <x:v>52.22</x:v>
      </x:c>
      <x:c r="L608" s="14"/>
      <x:c r="M608" s="14"/>
      <x:c r="N608" s="14"/>
      <x:c r="O608" s="14"/>
      <x:c r="P608" s="14" t="n">
        <x:v>8.67</x:v>
      </x:c>
      <x:c r="Q608" s="14" t="n">
        <x:v>60.89</x:v>
      </x:c>
      <x:c r="R608" s="15"/>
      <x:c r="S608" s="15"/>
      <x:c r="T608" s="15"/>
      <x:c r="U608" s="16"/>
      <x:c r="V608" t="str">
        <x:v>JTRE</x:v>
      </x:c>
      <x:c r="W608" t="str">
        <x:v>Ružinov</x:v>
      </x:c>
      <x:c r="X608" s="11" t="str">
        <x:v>Predaný</x:v>
      </x:c>
      <x:c r="Y608" s="11" t="str">
        <x:v>https://d-y.sk/byty/e07.03/</x:v>
      </x:c>
      <x:c r="Z608" s="11" t="n">
        <x:v>46252.68496519676</x:v>
      </x:c>
      <x:c r="AA608" s="11" t="n">
        <x:v>46254.51251577547</x:v>
      </x:c>
      <x:c r="AB608" s="11" t="n">
        <x:v>46254.51251577547</x:v>
      </x:c>
      <x:c r="AC608" t="str">
        <x:v>downtown_yards</x:v>
      </x:c>
    </x:row>
    <x:row r="609" ht="22" customHeight="1">
      <x:c r="A609" t="str">
        <x:v>Downtown Yards</x:v>
      </x:c>
      <x:c r="B609" t="str">
        <x:v>E07.04</x:v>
      </x:c>
      <x:c r="C609" t="str">
        <x:v>sold</x:v>
      </x:c>
      <x:c r="D609" t="str">
        <x:v>present</x:v>
      </x:c>
      <x:c r="E609" t="str">
        <x:v>baseline</x:v>
      </x:c>
      <x:c r="F609" s="11" t="n">
        <x:v>46252.68496519676</x:v>
      </x:c>
      <x:c r="G609" t="str">
        <x:v>flat</x:v>
      </x:c>
      <x:c r="H609" s="12" t="n">
        <x:v>2</x:v>
      </x:c>
      <x:c r="I609" s="13" t="n">
        <x:v>7</x:v>
      </x:c>
      <x:c r="J609" t="str">
        <x:v>E</x:v>
      </x:c>
      <x:c r="K609" s="14" t="n">
        <x:v>51.73</x:v>
      </x:c>
      <x:c r="L609" s="14"/>
      <x:c r="M609" s="14"/>
      <x:c r="N609" s="14"/>
      <x:c r="O609" s="14"/>
      <x:c r="P609" s="14" t="n">
        <x:v>8.67</x:v>
      </x:c>
      <x:c r="Q609" s="14" t="n">
        <x:v>60.4</x:v>
      </x:c>
      <x:c r="R609" s="15"/>
      <x:c r="S609" s="15"/>
      <x:c r="T609" s="15"/>
      <x:c r="U609" s="16"/>
      <x:c r="V609" t="str">
        <x:v>JTRE</x:v>
      </x:c>
      <x:c r="W609" t="str">
        <x:v>Ružinov</x:v>
      </x:c>
      <x:c r="X609" s="11" t="str">
        <x:v>Predaný</x:v>
      </x:c>
      <x:c r="Y609" s="11" t="str">
        <x:v>https://d-y.sk/byty/e07.04/</x:v>
      </x:c>
      <x:c r="Z609" s="11" t="n">
        <x:v>46252.68496519676</x:v>
      </x:c>
      <x:c r="AA609" s="11" t="n">
        <x:v>46254.51251577547</x:v>
      </x:c>
      <x:c r="AB609" s="11" t="n">
        <x:v>46254.51251577547</x:v>
      </x:c>
      <x:c r="AC609" t="str">
        <x:v>downtown_yards</x:v>
      </x:c>
    </x:row>
    <x:row r="610" ht="22" customHeight="1">
      <x:c r="A610" t="str">
        <x:v>Downtown Yards</x:v>
      </x:c>
      <x:c r="B610" t="str">
        <x:v>E07.05</x:v>
      </x:c>
      <x:c r="C610" t="str">
        <x:v>sold</x:v>
      </x:c>
      <x:c r="D610" t="str">
        <x:v>present</x:v>
      </x:c>
      <x:c r="E610" t="str">
        <x:v>baseline</x:v>
      </x:c>
      <x:c r="F610" s="11" t="n">
        <x:v>46252.68496519676</x:v>
      </x:c>
      <x:c r="G610" t="str">
        <x:v>flat</x:v>
      </x:c>
      <x:c r="H610" s="12" t="n">
        <x:v>3</x:v>
      </x:c>
      <x:c r="I610" s="13" t="n">
        <x:v>7</x:v>
      </x:c>
      <x:c r="J610" t="str">
        <x:v>E</x:v>
      </x:c>
      <x:c r="K610" s="14" t="n">
        <x:v>81.58</x:v>
      </x:c>
      <x:c r="L610" s="14"/>
      <x:c r="M610" s="14"/>
      <x:c r="N610" s="14"/>
      <x:c r="O610" s="14"/>
      <x:c r="P610" s="14" t="n">
        <x:v>8.67</x:v>
      </x:c>
      <x:c r="Q610" s="14" t="n">
        <x:v>90.25</x:v>
      </x:c>
      <x:c r="R610" s="15"/>
      <x:c r="S610" s="15"/>
      <x:c r="T610" s="15"/>
      <x:c r="U610" s="16"/>
      <x:c r="V610" t="str">
        <x:v>JTRE</x:v>
      </x:c>
      <x:c r="W610" t="str">
        <x:v>Ružinov</x:v>
      </x:c>
      <x:c r="X610" s="11" t="str">
        <x:v>Predaný</x:v>
      </x:c>
      <x:c r="Y610" s="11" t="str">
        <x:v>https://d-y.sk/byty/e07.05/</x:v>
      </x:c>
      <x:c r="Z610" s="11" t="n">
        <x:v>46252.68496519676</x:v>
      </x:c>
      <x:c r="AA610" s="11" t="n">
        <x:v>46254.51251577547</x:v>
      </x:c>
      <x:c r="AB610" s="11" t="n">
        <x:v>46254.51251577547</x:v>
      </x:c>
      <x:c r="AC610" t="str">
        <x:v>downtown_yards</x:v>
      </x:c>
    </x:row>
    <x:row r="611" ht="22" customHeight="1">
      <x:c r="A611" t="str">
        <x:v>Downtown Yards</x:v>
      </x:c>
      <x:c r="B611" t="str">
        <x:v>E07.06</x:v>
      </x:c>
      <x:c r="C611" t="str">
        <x:v>available</x:v>
      </x:c>
      <x:c r="D611" t="str">
        <x:v>present</x:v>
      </x:c>
      <x:c r="E611" t="str">
        <x:v>baseline</x:v>
      </x:c>
      <x:c r="F611" s="11" t="n">
        <x:v>46252.68496519676</x:v>
      </x:c>
      <x:c r="G611" t="str">
        <x:v>flat</x:v>
      </x:c>
      <x:c r="H611" s="12" t="n">
        <x:v>3</x:v>
      </x:c>
      <x:c r="I611" s="13" t="n">
        <x:v>7</x:v>
      </x:c>
      <x:c r="J611" t="str">
        <x:v>E</x:v>
      </x:c>
      <x:c r="K611" s="14" t="n">
        <x:v>81.7</x:v>
      </x:c>
      <x:c r="L611" s="14"/>
      <x:c r="M611" s="14"/>
      <x:c r="N611" s="14"/>
      <x:c r="O611" s="14"/>
      <x:c r="P611" s="14" t="n">
        <x:v>6.58</x:v>
      </x:c>
      <x:c r="Q611" s="14" t="n">
        <x:v>88.28</x:v>
      </x:c>
      <x:c r="R611" s="15" t="n">
        <x:v>515493</x:v>
      </x:c>
      <x:c r="S611" s="15" t="n">
        <x:v>599379</x:v>
      </x:c>
      <x:c r="T611" s="15" t="n">
        <x:v>515493</x:v>
      </x:c>
      <x:c r="U611" s="16" t="n">
        <x:v>6309.58</x:v>
      </x:c>
      <x:c r="V611" t="str">
        <x:v>JTRE</x:v>
      </x:c>
      <x:c r="W611" t="str">
        <x:v>Ružinov</x:v>
      </x:c>
      <x:c r="X611" s="11" t="str">
        <x:v>Voľný</x:v>
      </x:c>
      <x:c r="Y611" s="11" t="str">
        <x:v>https://d-y.sk/byty/e07.06/</x:v>
      </x:c>
      <x:c r="Z611" s="11" t="n">
        <x:v>46252.68496519676</x:v>
      </x:c>
      <x:c r="AA611" s="11" t="n">
        <x:v>46254.51251577547</x:v>
      </x:c>
      <x:c r="AB611" s="11" t="n">
        <x:v>46254.51251577547</x:v>
      </x:c>
      <x:c r="AC611" t="str">
        <x:v>downtown_yards</x:v>
      </x:c>
    </x:row>
    <x:row r="612" ht="22" customHeight="1">
      <x:c r="A612" t="str">
        <x:v>Downtown Yards</x:v>
      </x:c>
      <x:c r="B612" t="str">
        <x:v>E07.07</x:v>
      </x:c>
      <x:c r="C612" t="str">
        <x:v>sold</x:v>
      </x:c>
      <x:c r="D612" t="str">
        <x:v>present</x:v>
      </x:c>
      <x:c r="E612" t="str">
        <x:v>baseline</x:v>
      </x:c>
      <x:c r="F612" s="11" t="n">
        <x:v>46252.68496519676</x:v>
      </x:c>
      <x:c r="G612" t="str">
        <x:v>flat</x:v>
      </x:c>
      <x:c r="H612" s="12" t="n">
        <x:v>2</x:v>
      </x:c>
      <x:c r="I612" s="13" t="n">
        <x:v>7</x:v>
      </x:c>
      <x:c r="J612" t="str">
        <x:v>E</x:v>
      </x:c>
      <x:c r="K612" s="14" t="n">
        <x:v>49.88</x:v>
      </x:c>
      <x:c r="L612" s="14"/>
      <x:c r="M612" s="14"/>
      <x:c r="N612" s="14"/>
      <x:c r="O612" s="14"/>
      <x:c r="P612" s="14" t="n">
        <x:v>6.58</x:v>
      </x:c>
      <x:c r="Q612" s="14" t="n">
        <x:v>56.46</x:v>
      </x:c>
      <x:c r="R612" s="15"/>
      <x:c r="S612" s="15"/>
      <x:c r="T612" s="15"/>
      <x:c r="U612" s="16"/>
      <x:c r="V612" t="str">
        <x:v>JTRE</x:v>
      </x:c>
      <x:c r="W612" t="str">
        <x:v>Ružinov</x:v>
      </x:c>
      <x:c r="X612" s="11" t="str">
        <x:v>Predaný</x:v>
      </x:c>
      <x:c r="Y612" s="11" t="str">
        <x:v>https://d-y.sk/byty/e07.07/</x:v>
      </x:c>
      <x:c r="Z612" s="11" t="n">
        <x:v>46252.68496519676</x:v>
      </x:c>
      <x:c r="AA612" s="11" t="n">
        <x:v>46254.51251577547</x:v>
      </x:c>
      <x:c r="AB612" s="11" t="n">
        <x:v>46254.51251577547</x:v>
      </x:c>
      <x:c r="AC612" t="str">
        <x:v>downtown_yards</x:v>
      </x:c>
    </x:row>
    <x:row r="613" ht="22" customHeight="1">
      <x:c r="A613" t="str">
        <x:v>Downtown Yards</x:v>
      </x:c>
      <x:c r="B613" t="str">
        <x:v>E07.08</x:v>
      </x:c>
      <x:c r="C613" t="str">
        <x:v>sold</x:v>
      </x:c>
      <x:c r="D613" t="str">
        <x:v>present</x:v>
      </x:c>
      <x:c r="E613" t="str">
        <x:v>baseline</x:v>
      </x:c>
      <x:c r="F613" s="11" t="n">
        <x:v>46252.68496519676</x:v>
      </x:c>
      <x:c r="G613" t="str">
        <x:v>flat</x:v>
      </x:c>
      <x:c r="H613" s="12" t="n">
        <x:v>2</x:v>
      </x:c>
      <x:c r="I613" s="13" t="n">
        <x:v>7</x:v>
      </x:c>
      <x:c r="J613" t="str">
        <x:v>E</x:v>
      </x:c>
      <x:c r="K613" s="14" t="n">
        <x:v>52.15</x:v>
      </x:c>
      <x:c r="L613" s="14"/>
      <x:c r="M613" s="14"/>
      <x:c r="N613" s="14"/>
      <x:c r="O613" s="14"/>
      <x:c r="P613" s="14" t="n">
        <x:v>6.58</x:v>
      </x:c>
      <x:c r="Q613" s="14" t="n">
        <x:v>58.73</x:v>
      </x:c>
      <x:c r="R613" s="15"/>
      <x:c r="S613" s="15"/>
      <x:c r="T613" s="15"/>
      <x:c r="U613" s="16"/>
      <x:c r="V613" t="str">
        <x:v>JTRE</x:v>
      </x:c>
      <x:c r="W613" t="str">
        <x:v>Ružinov</x:v>
      </x:c>
      <x:c r="X613" s="11" t="str">
        <x:v>Predaný</x:v>
      </x:c>
      <x:c r="Y613" s="11" t="str">
        <x:v>https://d-y.sk/byty/e07.08/</x:v>
      </x:c>
      <x:c r="Z613" s="11" t="n">
        <x:v>46252.68496519676</x:v>
      </x:c>
      <x:c r="AA613" s="11" t="n">
        <x:v>46254.51251577547</x:v>
      </x:c>
      <x:c r="AB613" s="11" t="n">
        <x:v>46254.51251577547</x:v>
      </x:c>
      <x:c r="AC613" t="str">
        <x:v>downtown_yards</x:v>
      </x:c>
    </x:row>
    <x:row r="614" ht="22" customHeight="1">
      <x:c r="A614" t="str">
        <x:v>Downtown Yards</x:v>
      </x:c>
      <x:c r="B614" t="str">
        <x:v>E07.09</x:v>
      </x:c>
      <x:c r="C614" t="str">
        <x:v>available</x:v>
      </x:c>
      <x:c r="D614" t="str">
        <x:v>present</x:v>
      </x:c>
      <x:c r="E614" t="str">
        <x:v>baseline</x:v>
      </x:c>
      <x:c r="F614" s="11" t="n">
        <x:v>46252.68496519676</x:v>
      </x:c>
      <x:c r="G614" t="str">
        <x:v>flat</x:v>
      </x:c>
      <x:c r="H614" s="12" t="n">
        <x:v>3</x:v>
      </x:c>
      <x:c r="I614" s="13" t="n">
        <x:v>7</x:v>
      </x:c>
      <x:c r="J614" t="str">
        <x:v>E</x:v>
      </x:c>
      <x:c r="K614" s="14" t="n">
        <x:v>79.81</x:v>
      </x:c>
      <x:c r="L614" s="14"/>
      <x:c r="M614" s="14"/>
      <x:c r="N614" s="14"/>
      <x:c r="O614" s="14"/>
      <x:c r="P614" s="14" t="n">
        <x:v>12.1</x:v>
      </x:c>
      <x:c r="Q614" s="14" t="n">
        <x:v>91.91</x:v>
      </x:c>
      <x:c r="R614" s="15" t="n">
        <x:v>540462</x:v>
      </x:c>
      <x:c r="S614" s="15" t="n">
        <x:v>628407</x:v>
      </x:c>
      <x:c r="T614" s="15" t="n">
        <x:v>540462</x:v>
      </x:c>
      <x:c r="U614" s="16" t="n">
        <x:v>6771.86</x:v>
      </x:c>
      <x:c r="V614" t="str">
        <x:v>JTRE</x:v>
      </x:c>
      <x:c r="W614" t="str">
        <x:v>Ružinov</x:v>
      </x:c>
      <x:c r="X614" s="11" t="str">
        <x:v>Voľný</x:v>
      </x:c>
      <x:c r="Y614" s="11" t="str">
        <x:v>https://d-y.sk/byty/e07.09/</x:v>
      </x:c>
      <x:c r="Z614" s="11" t="n">
        <x:v>46252.68496519676</x:v>
      </x:c>
      <x:c r="AA614" s="11" t="n">
        <x:v>46254.51251577547</x:v>
      </x:c>
      <x:c r="AB614" s="11" t="n">
        <x:v>46254.51251577547</x:v>
      </x:c>
      <x:c r="AC614" t="str">
        <x:v>downtown_yards</x:v>
      </x:c>
    </x:row>
    <x:row r="615" ht="22" customHeight="1">
      <x:c r="A615" t="str">
        <x:v>Downtown Yards</x:v>
      </x:c>
      <x:c r="B615" t="str">
        <x:v>E07.10</x:v>
      </x:c>
      <x:c r="C615" t="str">
        <x:v>sold</x:v>
      </x:c>
      <x:c r="D615" t="str">
        <x:v>present</x:v>
      </x:c>
      <x:c r="E615" t="str">
        <x:v>baseline</x:v>
      </x:c>
      <x:c r="F615" s="11" t="n">
        <x:v>46252.68496519676</x:v>
      </x:c>
      <x:c r="G615" t="str">
        <x:v>flat</x:v>
      </x:c>
      <x:c r="H615" s="12" t="n">
        <x:v>1</x:v>
      </x:c>
      <x:c r="I615" s="13" t="n">
        <x:v>7</x:v>
      </x:c>
      <x:c r="J615" t="str">
        <x:v>E</x:v>
      </x:c>
      <x:c r="K615" s="14" t="n">
        <x:v>30.66</x:v>
      </x:c>
      <x:c r="L615" s="14"/>
      <x:c r="M615" s="14"/>
      <x:c r="N615" s="14"/>
      <x:c r="O615" s="14"/>
      <x:c r="P615" s="14" t="n">
        <x:v>3.23</x:v>
      </x:c>
      <x:c r="Q615" s="14" t="n">
        <x:v>33.89</x:v>
      </x:c>
      <x:c r="R615" s="15"/>
      <x:c r="S615" s="15"/>
      <x:c r="T615" s="15"/>
      <x:c r="U615" s="16"/>
      <x:c r="V615" t="str">
        <x:v>JTRE</x:v>
      </x:c>
      <x:c r="W615" t="str">
        <x:v>Ružinov</x:v>
      </x:c>
      <x:c r="X615" s="11" t="str">
        <x:v>Predaný</x:v>
      </x:c>
      <x:c r="Y615" s="11" t="str">
        <x:v>https://d-y.sk/byty/e07.10/</x:v>
      </x:c>
      <x:c r="Z615" s="11" t="n">
        <x:v>46252.68496519676</x:v>
      </x:c>
      <x:c r="AA615" s="11" t="n">
        <x:v>46254.51251577547</x:v>
      </x:c>
      <x:c r="AB615" s="11" t="n">
        <x:v>46254.51251577547</x:v>
      </x:c>
      <x:c r="AC615" t="str">
        <x:v>downtown_yards</x:v>
      </x:c>
    </x:row>
    <x:row r="616" ht="22" customHeight="1">
      <x:c r="A616" t="str">
        <x:v>Downtown Yards</x:v>
      </x:c>
      <x:c r="B616" t="str">
        <x:v>E08.01</x:v>
      </x:c>
      <x:c r="C616" t="str">
        <x:v>pre_reserved</x:v>
      </x:c>
      <x:c r="D616" t="str">
        <x:v>present</x:v>
      </x:c>
      <x:c r="E616" t="str">
        <x:v>baseline</x:v>
      </x:c>
      <x:c r="F616" s="11" t="n">
        <x:v>46252.68496519676</x:v>
      </x:c>
      <x:c r="G616" t="str">
        <x:v>flat</x:v>
      </x:c>
      <x:c r="H616" s="12" t="n">
        <x:v>1</x:v>
      </x:c>
      <x:c r="I616" s="13" t="n">
        <x:v>8</x:v>
      </x:c>
      <x:c r="J616" t="str">
        <x:v>E</x:v>
      </x:c>
      <x:c r="K616" s="14" t="n">
        <x:v>32</x:v>
      </x:c>
      <x:c r="L616" s="14"/>
      <x:c r="M616" s="14"/>
      <x:c r="N616" s="14"/>
      <x:c r="O616" s="14"/>
      <x:c r="P616" s="14" t="n">
        <x:v>3.13</x:v>
      </x:c>
      <x:c r="Q616" s="14" t="n">
        <x:v>35.13</x:v>
      </x:c>
      <x:c r="R616" s="15" t="n">
        <x:v>263466</x:v>
      </x:c>
      <x:c r="S616" s="15" t="n">
        <x:v>280932</x:v>
      </x:c>
      <x:c r="T616" s="15" t="n">
        <x:v>263466</x:v>
      </x:c>
      <x:c r="U616" s="16" t="n">
        <x:v>8233.31</x:v>
      </x:c>
      <x:c r="V616" t="str">
        <x:v>JTRE</x:v>
      </x:c>
      <x:c r="W616" t="str">
        <x:v>Ružinov</x:v>
      </x:c>
      <x:c r="X616" s="11" t="str">
        <x:v>Predrezervovaný</x:v>
      </x:c>
      <x:c r="Y616" s="11" t="str">
        <x:v>https://d-y.sk/byty/e08.01/</x:v>
      </x:c>
      <x:c r="Z616" s="11" t="n">
        <x:v>46252.68496519676</x:v>
      </x:c>
      <x:c r="AA616" s="11" t="n">
        <x:v>46254.51251577547</x:v>
      </x:c>
      <x:c r="AB616" s="11" t="n">
        <x:v>46254.51251577547</x:v>
      </x:c>
      <x:c r="AC616" t="str">
        <x:v>downtown_yards</x:v>
      </x:c>
    </x:row>
    <x:row r="617" ht="22" customHeight="1">
      <x:c r="A617" t="str">
        <x:v>Downtown Yards</x:v>
      </x:c>
      <x:c r="B617" t="str">
        <x:v>E08.02</x:v>
      </x:c>
      <x:c r="C617" t="str">
        <x:v>sold</x:v>
      </x:c>
      <x:c r="D617" t="str">
        <x:v>present</x:v>
      </x:c>
      <x:c r="E617" t="str">
        <x:v>baseline</x:v>
      </x:c>
      <x:c r="F617" s="11" t="n">
        <x:v>46252.68496519676</x:v>
      </x:c>
      <x:c r="G617" t="str">
        <x:v>flat</x:v>
      </x:c>
      <x:c r="H617" s="12" t="n">
        <x:v>3</x:v>
      </x:c>
      <x:c r="I617" s="13" t="n">
        <x:v>8</x:v>
      </x:c>
      <x:c r="J617" t="str">
        <x:v>E</x:v>
      </x:c>
      <x:c r="K617" s="14" t="n">
        <x:v>81.26</x:v>
      </x:c>
      <x:c r="L617" s="14"/>
      <x:c r="M617" s="14"/>
      <x:c r="N617" s="14"/>
      <x:c r="O617" s="14"/>
      <x:c r="P617" s="14" t="n">
        <x:v>13.63</x:v>
      </x:c>
      <x:c r="Q617" s="14" t="n">
        <x:v>94.89</x:v>
      </x:c>
      <x:c r="R617" s="15"/>
      <x:c r="S617" s="15"/>
      <x:c r="T617" s="15"/>
      <x:c r="U617" s="16"/>
      <x:c r="V617" t="str">
        <x:v>JTRE</x:v>
      </x:c>
      <x:c r="W617" t="str">
        <x:v>Ružinov</x:v>
      </x:c>
      <x:c r="X617" s="11" t="str">
        <x:v>Predaný</x:v>
      </x:c>
      <x:c r="Y617" s="11" t="str">
        <x:v>https://d-y.sk/byty/e08.02/</x:v>
      </x:c>
      <x:c r="Z617" s="11" t="n">
        <x:v>46252.68496519676</x:v>
      </x:c>
      <x:c r="AA617" s="11" t="n">
        <x:v>46254.51251577547</x:v>
      </x:c>
      <x:c r="AB617" s="11" t="n">
        <x:v>46254.51251577547</x:v>
      </x:c>
      <x:c r="AC617" t="str">
        <x:v>downtown_yards</x:v>
      </x:c>
    </x:row>
    <x:row r="618" ht="22" customHeight="1">
      <x:c r="A618" t="str">
        <x:v>Downtown Yards</x:v>
      </x:c>
      <x:c r="B618" t="str">
        <x:v>E08.03</x:v>
      </x:c>
      <x:c r="C618" t="str">
        <x:v>sold</x:v>
      </x:c>
      <x:c r="D618" t="str">
        <x:v>present</x:v>
      </x:c>
      <x:c r="E618" t="str">
        <x:v>baseline</x:v>
      </x:c>
      <x:c r="F618" s="11" t="n">
        <x:v>46252.68496519676</x:v>
      </x:c>
      <x:c r="G618" t="str">
        <x:v>flat</x:v>
      </x:c>
      <x:c r="H618" s="12" t="n">
        <x:v>2</x:v>
      </x:c>
      <x:c r="I618" s="13" t="n">
        <x:v>8</x:v>
      </x:c>
      <x:c r="J618" t="str">
        <x:v>E</x:v>
      </x:c>
      <x:c r="K618" s="14" t="n">
        <x:v>52.22</x:v>
      </x:c>
      <x:c r="L618" s="14"/>
      <x:c r="M618" s="14"/>
      <x:c r="N618" s="14"/>
      <x:c r="O618" s="14"/>
      <x:c r="P618" s="14" t="n">
        <x:v>8.67</x:v>
      </x:c>
      <x:c r="Q618" s="14" t="n">
        <x:v>60.89</x:v>
      </x:c>
      <x:c r="R618" s="15"/>
      <x:c r="S618" s="15"/>
      <x:c r="T618" s="15"/>
      <x:c r="U618" s="16"/>
      <x:c r="V618" t="str">
        <x:v>JTRE</x:v>
      </x:c>
      <x:c r="W618" t="str">
        <x:v>Ružinov</x:v>
      </x:c>
      <x:c r="X618" s="11" t="str">
        <x:v>Predaný</x:v>
      </x:c>
      <x:c r="Y618" s="11" t="str">
        <x:v>https://d-y.sk/byty/e08.03/</x:v>
      </x:c>
      <x:c r="Z618" s="11" t="n">
        <x:v>46252.68496519676</x:v>
      </x:c>
      <x:c r="AA618" s="11" t="n">
        <x:v>46254.51251577547</x:v>
      </x:c>
      <x:c r="AB618" s="11" t="n">
        <x:v>46254.51251577547</x:v>
      </x:c>
      <x:c r="AC618" t="str">
        <x:v>downtown_yards</x:v>
      </x:c>
    </x:row>
    <x:row r="619" ht="22" customHeight="1">
      <x:c r="A619" t="str">
        <x:v>Downtown Yards</x:v>
      </x:c>
      <x:c r="B619" t="str">
        <x:v>E08.04</x:v>
      </x:c>
      <x:c r="C619" t="str">
        <x:v>sold</x:v>
      </x:c>
      <x:c r="D619" t="str">
        <x:v>present</x:v>
      </x:c>
      <x:c r="E619" t="str">
        <x:v>baseline</x:v>
      </x:c>
      <x:c r="F619" s="11" t="n">
        <x:v>46252.68496519676</x:v>
      </x:c>
      <x:c r="G619" t="str">
        <x:v>flat</x:v>
      </x:c>
      <x:c r="H619" s="12" t="n">
        <x:v>2</x:v>
      </x:c>
      <x:c r="I619" s="13" t="n">
        <x:v>8</x:v>
      </x:c>
      <x:c r="J619" t="str">
        <x:v>E</x:v>
      </x:c>
      <x:c r="K619" s="14" t="n">
        <x:v>51.73</x:v>
      </x:c>
      <x:c r="L619" s="14"/>
      <x:c r="M619" s="14"/>
      <x:c r="N619" s="14"/>
      <x:c r="O619" s="14"/>
      <x:c r="P619" s="14" t="n">
        <x:v>8.67</x:v>
      </x:c>
      <x:c r="Q619" s="14" t="n">
        <x:v>60.4</x:v>
      </x:c>
      <x:c r="R619" s="15"/>
      <x:c r="S619" s="15"/>
      <x:c r="T619" s="15"/>
      <x:c r="U619" s="16"/>
      <x:c r="V619" t="str">
        <x:v>JTRE</x:v>
      </x:c>
      <x:c r="W619" t="str">
        <x:v>Ružinov</x:v>
      </x:c>
      <x:c r="X619" s="11" t="str">
        <x:v>Predaný</x:v>
      </x:c>
      <x:c r="Y619" s="11" t="str">
        <x:v>https://d-y.sk/byty/e08.04/</x:v>
      </x:c>
      <x:c r="Z619" s="11" t="n">
        <x:v>46252.68496519676</x:v>
      </x:c>
      <x:c r="AA619" s="11" t="n">
        <x:v>46254.51251577547</x:v>
      </x:c>
      <x:c r="AB619" s="11" t="n">
        <x:v>46254.51251577547</x:v>
      </x:c>
      <x:c r="AC619" t="str">
        <x:v>downtown_yards</x:v>
      </x:c>
    </x:row>
    <x:row r="620" ht="22" customHeight="1">
      <x:c r="A620" t="str">
        <x:v>Downtown Yards</x:v>
      </x:c>
      <x:c r="B620" t="str">
        <x:v>E08.05</x:v>
      </x:c>
      <x:c r="C620" t="str">
        <x:v>sold</x:v>
      </x:c>
      <x:c r="D620" t="str">
        <x:v>present</x:v>
      </x:c>
      <x:c r="E620" t="str">
        <x:v>baseline</x:v>
      </x:c>
      <x:c r="F620" s="11" t="n">
        <x:v>46252.68496519676</x:v>
      </x:c>
      <x:c r="G620" t="str">
        <x:v>flat</x:v>
      </x:c>
      <x:c r="H620" s="12" t="n">
        <x:v>3</x:v>
      </x:c>
      <x:c r="I620" s="13" t="n">
        <x:v>8</x:v>
      </x:c>
      <x:c r="J620" t="str">
        <x:v>E</x:v>
      </x:c>
      <x:c r="K620" s="14" t="n">
        <x:v>81.58</x:v>
      </x:c>
      <x:c r="L620" s="14"/>
      <x:c r="M620" s="14"/>
      <x:c r="N620" s="14"/>
      <x:c r="O620" s="14"/>
      <x:c r="P620" s="14" t="n">
        <x:v>8.67</x:v>
      </x:c>
      <x:c r="Q620" s="14" t="n">
        <x:v>90.25</x:v>
      </x:c>
      <x:c r="R620" s="15"/>
      <x:c r="S620" s="15"/>
      <x:c r="T620" s="15"/>
      <x:c r="U620" s="16"/>
      <x:c r="V620" t="str">
        <x:v>JTRE</x:v>
      </x:c>
      <x:c r="W620" t="str">
        <x:v>Ružinov</x:v>
      </x:c>
      <x:c r="X620" s="11" t="str">
        <x:v>Predaný</x:v>
      </x:c>
      <x:c r="Y620" s="11" t="str">
        <x:v>https://d-y.sk/byty/e08.05/</x:v>
      </x:c>
      <x:c r="Z620" s="11" t="n">
        <x:v>46252.68496519676</x:v>
      </x:c>
      <x:c r="AA620" s="11" t="n">
        <x:v>46254.51251577547</x:v>
      </x:c>
      <x:c r="AB620" s="11" t="n">
        <x:v>46254.51251577547</x:v>
      </x:c>
      <x:c r="AC620" t="str">
        <x:v>downtown_yards</x:v>
      </x:c>
    </x:row>
    <x:row r="621" ht="22" customHeight="1">
      <x:c r="A621" t="str">
        <x:v>Downtown Yards</x:v>
      </x:c>
      <x:c r="B621" t="str">
        <x:v>E08.06</x:v>
      </x:c>
      <x:c r="C621" t="str">
        <x:v>sold</x:v>
      </x:c>
      <x:c r="D621" t="str">
        <x:v>present</x:v>
      </x:c>
      <x:c r="E621" t="str">
        <x:v>baseline</x:v>
      </x:c>
      <x:c r="F621" s="11" t="n">
        <x:v>46252.68496519676</x:v>
      </x:c>
      <x:c r="G621" t="str">
        <x:v>flat</x:v>
      </x:c>
      <x:c r="H621" s="12" t="n">
        <x:v>3</x:v>
      </x:c>
      <x:c r="I621" s="13" t="n">
        <x:v>8</x:v>
      </x:c>
      <x:c r="J621" t="str">
        <x:v>E</x:v>
      </x:c>
      <x:c r="K621" s="14" t="n">
        <x:v>81.7</x:v>
      </x:c>
      <x:c r="L621" s="14"/>
      <x:c r="M621" s="14"/>
      <x:c r="N621" s="14"/>
      <x:c r="O621" s="14"/>
      <x:c r="P621" s="14" t="n">
        <x:v>6.58</x:v>
      </x:c>
      <x:c r="Q621" s="14" t="n">
        <x:v>88.28</x:v>
      </x:c>
      <x:c r="R621" s="15"/>
      <x:c r="S621" s="15"/>
      <x:c r="T621" s="15"/>
      <x:c r="U621" s="16"/>
      <x:c r="V621" t="str">
        <x:v>JTRE</x:v>
      </x:c>
      <x:c r="W621" t="str">
        <x:v>Ružinov</x:v>
      </x:c>
      <x:c r="X621" s="11" t="str">
        <x:v>Predaný</x:v>
      </x:c>
      <x:c r="Y621" s="11" t="str">
        <x:v>https://d-y.sk/byty/e08.06/</x:v>
      </x:c>
      <x:c r="Z621" s="11" t="n">
        <x:v>46252.68496519676</x:v>
      </x:c>
      <x:c r="AA621" s="11" t="n">
        <x:v>46254.51251577547</x:v>
      </x:c>
      <x:c r="AB621" s="11" t="n">
        <x:v>46254.51251577547</x:v>
      </x:c>
      <x:c r="AC621" t="str">
        <x:v>downtown_yards</x:v>
      </x:c>
    </x:row>
    <x:row r="622" ht="22" customHeight="1">
      <x:c r="A622" t="str">
        <x:v>Downtown Yards</x:v>
      </x:c>
      <x:c r="B622" t="str">
        <x:v>E08.07</x:v>
      </x:c>
      <x:c r="C622" t="str">
        <x:v>sold</x:v>
      </x:c>
      <x:c r="D622" t="str">
        <x:v>present</x:v>
      </x:c>
      <x:c r="E622" t="str">
        <x:v>baseline</x:v>
      </x:c>
      <x:c r="F622" s="11" t="n">
        <x:v>46252.68496519676</x:v>
      </x:c>
      <x:c r="G622" t="str">
        <x:v>flat</x:v>
      </x:c>
      <x:c r="H622" s="12" t="n">
        <x:v>2</x:v>
      </x:c>
      <x:c r="I622" s="13" t="n">
        <x:v>8</x:v>
      </x:c>
      <x:c r="J622" t="str">
        <x:v>E</x:v>
      </x:c>
      <x:c r="K622" s="14" t="n">
        <x:v>49.88</x:v>
      </x:c>
      <x:c r="L622" s="14"/>
      <x:c r="M622" s="14"/>
      <x:c r="N622" s="14"/>
      <x:c r="O622" s="14"/>
      <x:c r="P622" s="14" t="n">
        <x:v>6.58</x:v>
      </x:c>
      <x:c r="Q622" s="14" t="n">
        <x:v>56.46</x:v>
      </x:c>
      <x:c r="R622" s="15"/>
      <x:c r="S622" s="15"/>
      <x:c r="T622" s="15"/>
      <x:c r="U622" s="16"/>
      <x:c r="V622" t="str">
        <x:v>JTRE</x:v>
      </x:c>
      <x:c r="W622" t="str">
        <x:v>Ružinov</x:v>
      </x:c>
      <x:c r="X622" s="11" t="str">
        <x:v>Predaný</x:v>
      </x:c>
      <x:c r="Y622" s="11" t="str">
        <x:v>https://d-y.sk/byty/e08.07/</x:v>
      </x:c>
      <x:c r="Z622" s="11" t="n">
        <x:v>46252.68496519676</x:v>
      </x:c>
      <x:c r="AA622" s="11" t="n">
        <x:v>46254.51251577547</x:v>
      </x:c>
      <x:c r="AB622" s="11" t="n">
        <x:v>46254.51251577547</x:v>
      </x:c>
      <x:c r="AC622" t="str">
        <x:v>downtown_yards</x:v>
      </x:c>
    </x:row>
    <x:row r="623" ht="22" customHeight="1">
      <x:c r="A623" t="str">
        <x:v>Downtown Yards</x:v>
      </x:c>
      <x:c r="B623" t="str">
        <x:v>E08.08</x:v>
      </x:c>
      <x:c r="C623" t="str">
        <x:v>sold</x:v>
      </x:c>
      <x:c r="D623" t="str">
        <x:v>present</x:v>
      </x:c>
      <x:c r="E623" t="str">
        <x:v>baseline</x:v>
      </x:c>
      <x:c r="F623" s="11" t="n">
        <x:v>46252.68496519676</x:v>
      </x:c>
      <x:c r="G623" t="str">
        <x:v>flat</x:v>
      </x:c>
      <x:c r="H623" s="12" t="n">
        <x:v>2</x:v>
      </x:c>
      <x:c r="I623" s="13" t="n">
        <x:v>8</x:v>
      </x:c>
      <x:c r="J623" t="str">
        <x:v>E</x:v>
      </x:c>
      <x:c r="K623" s="14" t="n">
        <x:v>52.15</x:v>
      </x:c>
      <x:c r="L623" s="14"/>
      <x:c r="M623" s="14"/>
      <x:c r="N623" s="14"/>
      <x:c r="O623" s="14"/>
      <x:c r="P623" s="14" t="n">
        <x:v>6.58</x:v>
      </x:c>
      <x:c r="Q623" s="14" t="n">
        <x:v>58.73</x:v>
      </x:c>
      <x:c r="R623" s="15"/>
      <x:c r="S623" s="15"/>
      <x:c r="T623" s="15"/>
      <x:c r="U623" s="16"/>
      <x:c r="V623" t="str">
        <x:v>JTRE</x:v>
      </x:c>
      <x:c r="W623" t="str">
        <x:v>Ružinov</x:v>
      </x:c>
      <x:c r="X623" s="11" t="str">
        <x:v>Predaný</x:v>
      </x:c>
      <x:c r="Y623" s="11" t="str">
        <x:v>https://d-y.sk/byty/e08.08/</x:v>
      </x:c>
      <x:c r="Z623" s="11" t="n">
        <x:v>46252.68496519676</x:v>
      </x:c>
      <x:c r="AA623" s="11" t="n">
        <x:v>46254.51251577547</x:v>
      </x:c>
      <x:c r="AB623" s="11" t="n">
        <x:v>46254.51251577547</x:v>
      </x:c>
      <x:c r="AC623" t="str">
        <x:v>downtown_yards</x:v>
      </x:c>
    </x:row>
    <x:row r="624" ht="22" customHeight="1">
      <x:c r="A624" t="str">
        <x:v>Downtown Yards</x:v>
      </x:c>
      <x:c r="B624" t="str">
        <x:v>E08.09</x:v>
      </x:c>
      <x:c r="C624" t="str">
        <x:v>sold</x:v>
      </x:c>
      <x:c r="D624" t="str">
        <x:v>present</x:v>
      </x:c>
      <x:c r="E624" t="str">
        <x:v>baseline</x:v>
      </x:c>
      <x:c r="F624" s="11" t="n">
        <x:v>46252.68496519676</x:v>
      </x:c>
      <x:c r="G624" t="str">
        <x:v>flat</x:v>
      </x:c>
      <x:c r="H624" s="12" t="n">
        <x:v>3</x:v>
      </x:c>
      <x:c r="I624" s="13" t="n">
        <x:v>8</x:v>
      </x:c>
      <x:c r="J624" t="str">
        <x:v>E</x:v>
      </x:c>
      <x:c r="K624" s="14" t="n">
        <x:v>79.81</x:v>
      </x:c>
      <x:c r="L624" s="14"/>
      <x:c r="M624" s="14"/>
      <x:c r="N624" s="14"/>
      <x:c r="O624" s="14"/>
      <x:c r="P624" s="14" t="n">
        <x:v>12.1</x:v>
      </x:c>
      <x:c r="Q624" s="14" t="n">
        <x:v>91.91</x:v>
      </x:c>
      <x:c r="R624" s="15"/>
      <x:c r="S624" s="15"/>
      <x:c r="T624" s="15"/>
      <x:c r="U624" s="16"/>
      <x:c r="V624" t="str">
        <x:v>JTRE</x:v>
      </x:c>
      <x:c r="W624" t="str">
        <x:v>Ružinov</x:v>
      </x:c>
      <x:c r="X624" s="11" t="str">
        <x:v>Predaný</x:v>
      </x:c>
      <x:c r="Y624" s="11" t="str">
        <x:v>https://d-y.sk/byty/e08.09/</x:v>
      </x:c>
      <x:c r="Z624" s="11" t="n">
        <x:v>46252.68496519676</x:v>
      </x:c>
      <x:c r="AA624" s="11" t="n">
        <x:v>46254.51251577547</x:v>
      </x:c>
      <x:c r="AB624" s="11" t="n">
        <x:v>46254.51251577547</x:v>
      </x:c>
      <x:c r="AC624" t="str">
        <x:v>downtown_yards</x:v>
      </x:c>
    </x:row>
    <x:row r="625" ht="22" customHeight="1">
      <x:c r="A625" t="str">
        <x:v>Downtown Yards</x:v>
      </x:c>
      <x:c r="B625" t="str">
        <x:v>E08.10</x:v>
      </x:c>
      <x:c r="C625" t="str">
        <x:v>sold</x:v>
      </x:c>
      <x:c r="D625" t="str">
        <x:v>present</x:v>
      </x:c>
      <x:c r="E625" t="str">
        <x:v>baseline</x:v>
      </x:c>
      <x:c r="F625" s="11" t="n">
        <x:v>46252.68496519676</x:v>
      </x:c>
      <x:c r="G625" t="str">
        <x:v>flat</x:v>
      </x:c>
      <x:c r="H625" s="12" t="n">
        <x:v>1</x:v>
      </x:c>
      <x:c r="I625" s="13" t="n">
        <x:v>8</x:v>
      </x:c>
      <x:c r="J625" t="str">
        <x:v>E</x:v>
      </x:c>
      <x:c r="K625" s="14" t="n">
        <x:v>30.66</x:v>
      </x:c>
      <x:c r="L625" s="14"/>
      <x:c r="M625" s="14"/>
      <x:c r="N625" s="14"/>
      <x:c r="O625" s="14"/>
      <x:c r="P625" s="14" t="n">
        <x:v>3.23</x:v>
      </x:c>
      <x:c r="Q625" s="14" t="n">
        <x:v>33.89</x:v>
      </x:c>
      <x:c r="R625" s="15"/>
      <x:c r="S625" s="15"/>
      <x:c r="T625" s="15"/>
      <x:c r="U625" s="16"/>
      <x:c r="V625" t="str">
        <x:v>JTRE</x:v>
      </x:c>
      <x:c r="W625" t="str">
        <x:v>Ružinov</x:v>
      </x:c>
      <x:c r="X625" s="11" t="str">
        <x:v>Predaný</x:v>
      </x:c>
      <x:c r="Y625" s="11" t="str">
        <x:v>https://d-y.sk/byty/e08.10/</x:v>
      </x:c>
      <x:c r="Z625" s="11" t="n">
        <x:v>46252.68496519676</x:v>
      </x:c>
      <x:c r="AA625" s="11" t="n">
        <x:v>46254.51251577547</x:v>
      </x:c>
      <x:c r="AB625" s="11" t="n">
        <x:v>46254.51251577547</x:v>
      </x:c>
      <x:c r="AC625" t="str">
        <x:v>downtown_yards</x:v>
      </x:c>
    </x:row>
    <x:row r="626" ht="22" customHeight="1">
      <x:c r="A626" t="str">
        <x:v>Downtown Yards</x:v>
      </x:c>
      <x:c r="B626" t="str">
        <x:v>E09.01</x:v>
      </x:c>
      <x:c r="C626" t="str">
        <x:v>sold</x:v>
      </x:c>
      <x:c r="D626" t="str">
        <x:v>present</x:v>
      </x:c>
      <x:c r="E626" t="str">
        <x:v>baseline</x:v>
      </x:c>
      <x:c r="F626" s="11" t="n">
        <x:v>46252.68496519676</x:v>
      </x:c>
      <x:c r="G626" t="str">
        <x:v>flat</x:v>
      </x:c>
      <x:c r="H626" s="12" t="n">
        <x:v>1</x:v>
      </x:c>
      <x:c r="I626" s="13" t="n">
        <x:v>9</x:v>
      </x:c>
      <x:c r="J626" t="str">
        <x:v>E</x:v>
      </x:c>
      <x:c r="K626" s="14" t="n">
        <x:v>32</x:v>
      </x:c>
      <x:c r="L626" s="14"/>
      <x:c r="M626" s="14"/>
      <x:c r="N626" s="14"/>
      <x:c r="O626" s="14"/>
      <x:c r="P626" s="14" t="n">
        <x:v>3.13</x:v>
      </x:c>
      <x:c r="Q626" s="14" t="n">
        <x:v>35.13</x:v>
      </x:c>
      <x:c r="R626" s="15"/>
      <x:c r="S626" s="15"/>
      <x:c r="T626" s="15"/>
      <x:c r="U626" s="16"/>
      <x:c r="V626" t="str">
        <x:v>JTRE</x:v>
      </x:c>
      <x:c r="W626" t="str">
        <x:v>Ružinov</x:v>
      </x:c>
      <x:c r="X626" s="11" t="str">
        <x:v>Predaný</x:v>
      </x:c>
      <x:c r="Y626" s="11" t="str">
        <x:v>https://d-y.sk/byty/e09.01/</x:v>
      </x:c>
      <x:c r="Z626" s="11" t="n">
        <x:v>46252.68496519676</x:v>
      </x:c>
      <x:c r="AA626" s="11" t="n">
        <x:v>46254.51251577547</x:v>
      </x:c>
      <x:c r="AB626" s="11" t="n">
        <x:v>46254.51251577547</x:v>
      </x:c>
      <x:c r="AC626" t="str">
        <x:v>downtown_yards</x:v>
      </x:c>
    </x:row>
    <x:row r="627" ht="22" customHeight="1">
      <x:c r="A627" t="str">
        <x:v>Downtown Yards</x:v>
      </x:c>
      <x:c r="B627" t="str">
        <x:v>E09.02</x:v>
      </x:c>
      <x:c r="C627" t="str">
        <x:v>sold</x:v>
      </x:c>
      <x:c r="D627" t="str">
        <x:v>present</x:v>
      </x:c>
      <x:c r="E627" t="str">
        <x:v>baseline</x:v>
      </x:c>
      <x:c r="F627" s="11" t="n">
        <x:v>46252.68496519676</x:v>
      </x:c>
      <x:c r="G627" t="str">
        <x:v>flat</x:v>
      </x:c>
      <x:c r="H627" s="12" t="n">
        <x:v>3</x:v>
      </x:c>
      <x:c r="I627" s="13" t="n">
        <x:v>9</x:v>
      </x:c>
      <x:c r="J627" t="str">
        <x:v>E</x:v>
      </x:c>
      <x:c r="K627" s="14" t="n">
        <x:v>81.26</x:v>
      </x:c>
      <x:c r="L627" s="14"/>
      <x:c r="M627" s="14"/>
      <x:c r="N627" s="14"/>
      <x:c r="O627" s="14"/>
      <x:c r="P627" s="14" t="n">
        <x:v>13.63</x:v>
      </x:c>
      <x:c r="Q627" s="14" t="n">
        <x:v>94.89</x:v>
      </x:c>
      <x:c r="R627" s="15"/>
      <x:c r="S627" s="15"/>
      <x:c r="T627" s="15"/>
      <x:c r="U627" s="16"/>
      <x:c r="V627" t="str">
        <x:v>JTRE</x:v>
      </x:c>
      <x:c r="W627" t="str">
        <x:v>Ružinov</x:v>
      </x:c>
      <x:c r="X627" s="11" t="str">
        <x:v>Predaný</x:v>
      </x:c>
      <x:c r="Y627" s="11" t="str">
        <x:v>https://d-y.sk/byty/e09.02/</x:v>
      </x:c>
      <x:c r="Z627" s="11" t="n">
        <x:v>46252.68496519676</x:v>
      </x:c>
      <x:c r="AA627" s="11" t="n">
        <x:v>46254.51251577547</x:v>
      </x:c>
      <x:c r="AB627" s="11" t="n">
        <x:v>46254.51251577547</x:v>
      </x:c>
      <x:c r="AC627" t="str">
        <x:v>downtown_yards</x:v>
      </x:c>
    </x:row>
    <x:row r="628" ht="22" customHeight="1">
      <x:c r="A628" t="str">
        <x:v>Downtown Yards</x:v>
      </x:c>
      <x:c r="B628" t="str">
        <x:v>E09.03</x:v>
      </x:c>
      <x:c r="C628" t="str">
        <x:v>sold</x:v>
      </x:c>
      <x:c r="D628" t="str">
        <x:v>present</x:v>
      </x:c>
      <x:c r="E628" t="str">
        <x:v>baseline</x:v>
      </x:c>
      <x:c r="F628" s="11" t="n">
        <x:v>46252.68496519676</x:v>
      </x:c>
      <x:c r="G628" t="str">
        <x:v>flat</x:v>
      </x:c>
      <x:c r="H628" s="12" t="n">
        <x:v>2</x:v>
      </x:c>
      <x:c r="I628" s="13" t="n">
        <x:v>9</x:v>
      </x:c>
      <x:c r="J628" t="str">
        <x:v>E</x:v>
      </x:c>
      <x:c r="K628" s="14" t="n">
        <x:v>52.22</x:v>
      </x:c>
      <x:c r="L628" s="14"/>
      <x:c r="M628" s="14"/>
      <x:c r="N628" s="14"/>
      <x:c r="O628" s="14"/>
      <x:c r="P628" s="14" t="n">
        <x:v>8.67</x:v>
      </x:c>
      <x:c r="Q628" s="14" t="n">
        <x:v>60.89</x:v>
      </x:c>
      <x:c r="R628" s="15"/>
      <x:c r="S628" s="15"/>
      <x:c r="T628" s="15"/>
      <x:c r="U628" s="16"/>
      <x:c r="V628" t="str">
        <x:v>JTRE</x:v>
      </x:c>
      <x:c r="W628" t="str">
        <x:v>Ružinov</x:v>
      </x:c>
      <x:c r="X628" s="11" t="str">
        <x:v>Predaný</x:v>
      </x:c>
      <x:c r="Y628" s="11" t="str">
        <x:v>https://d-y.sk/byty/e09.03/</x:v>
      </x:c>
      <x:c r="Z628" s="11" t="n">
        <x:v>46252.68496519676</x:v>
      </x:c>
      <x:c r="AA628" s="11" t="n">
        <x:v>46254.51251577547</x:v>
      </x:c>
      <x:c r="AB628" s="11" t="n">
        <x:v>46254.51251577547</x:v>
      </x:c>
      <x:c r="AC628" t="str">
        <x:v>downtown_yards</x:v>
      </x:c>
    </x:row>
    <x:row r="629" ht="22" customHeight="1">
      <x:c r="A629" t="str">
        <x:v>Downtown Yards</x:v>
      </x:c>
      <x:c r="B629" t="str">
        <x:v>E09.04</x:v>
      </x:c>
      <x:c r="C629" t="str">
        <x:v>sold</x:v>
      </x:c>
      <x:c r="D629" t="str">
        <x:v>present</x:v>
      </x:c>
      <x:c r="E629" t="str">
        <x:v>baseline</x:v>
      </x:c>
      <x:c r="F629" s="11" t="n">
        <x:v>46252.68496519676</x:v>
      </x:c>
      <x:c r="G629" t="str">
        <x:v>flat</x:v>
      </x:c>
      <x:c r="H629" s="12" t="n">
        <x:v>2</x:v>
      </x:c>
      <x:c r="I629" s="13" t="n">
        <x:v>9</x:v>
      </x:c>
      <x:c r="J629" t="str">
        <x:v>E</x:v>
      </x:c>
      <x:c r="K629" s="14" t="n">
        <x:v>51.73</x:v>
      </x:c>
      <x:c r="L629" s="14"/>
      <x:c r="M629" s="14"/>
      <x:c r="N629" s="14"/>
      <x:c r="O629" s="14"/>
      <x:c r="P629" s="14" t="n">
        <x:v>8.67</x:v>
      </x:c>
      <x:c r="Q629" s="14" t="n">
        <x:v>60.4</x:v>
      </x:c>
      <x:c r="R629" s="15"/>
      <x:c r="S629" s="15"/>
      <x:c r="T629" s="15"/>
      <x:c r="U629" s="16"/>
      <x:c r="V629" t="str">
        <x:v>JTRE</x:v>
      </x:c>
      <x:c r="W629" t="str">
        <x:v>Ružinov</x:v>
      </x:c>
      <x:c r="X629" s="11" t="str">
        <x:v>Predaný</x:v>
      </x:c>
      <x:c r="Y629" s="11" t="str">
        <x:v>https://d-y.sk/byty/e09.04/</x:v>
      </x:c>
      <x:c r="Z629" s="11" t="n">
        <x:v>46252.68496519676</x:v>
      </x:c>
      <x:c r="AA629" s="11" t="n">
        <x:v>46254.51251577547</x:v>
      </x:c>
      <x:c r="AB629" s="11" t="n">
        <x:v>46254.51251577547</x:v>
      </x:c>
      <x:c r="AC629" t="str">
        <x:v>downtown_yards</x:v>
      </x:c>
    </x:row>
    <x:row r="630" ht="22" customHeight="1">
      <x:c r="A630" t="str">
        <x:v>Downtown Yards</x:v>
      </x:c>
      <x:c r="B630" t="str">
        <x:v>E09.05</x:v>
      </x:c>
      <x:c r="C630" t="str">
        <x:v>sold</x:v>
      </x:c>
      <x:c r="D630" t="str">
        <x:v>present</x:v>
      </x:c>
      <x:c r="E630" t="str">
        <x:v>baseline</x:v>
      </x:c>
      <x:c r="F630" s="11" t="n">
        <x:v>46252.68496519676</x:v>
      </x:c>
      <x:c r="G630" t="str">
        <x:v>flat</x:v>
      </x:c>
      <x:c r="H630" s="12" t="n">
        <x:v>3</x:v>
      </x:c>
      <x:c r="I630" s="13" t="n">
        <x:v>9</x:v>
      </x:c>
      <x:c r="J630" t="str">
        <x:v>E</x:v>
      </x:c>
      <x:c r="K630" s="14" t="n">
        <x:v>81.58</x:v>
      </x:c>
      <x:c r="L630" s="14"/>
      <x:c r="M630" s="14"/>
      <x:c r="N630" s="14"/>
      <x:c r="O630" s="14"/>
      <x:c r="P630" s="14" t="n">
        <x:v>8.67</x:v>
      </x:c>
      <x:c r="Q630" s="14" t="n">
        <x:v>90.25</x:v>
      </x:c>
      <x:c r="R630" s="15"/>
      <x:c r="S630" s="15"/>
      <x:c r="T630" s="15"/>
      <x:c r="U630" s="16"/>
      <x:c r="V630" t="str">
        <x:v>JTRE</x:v>
      </x:c>
      <x:c r="W630" t="str">
        <x:v>Ružinov</x:v>
      </x:c>
      <x:c r="X630" s="11" t="str">
        <x:v>Predaný</x:v>
      </x:c>
      <x:c r="Y630" s="11" t="str">
        <x:v>https://d-y.sk/byty/e09.05/</x:v>
      </x:c>
      <x:c r="Z630" s="11" t="n">
        <x:v>46252.68496519676</x:v>
      </x:c>
      <x:c r="AA630" s="11" t="n">
        <x:v>46254.51251577547</x:v>
      </x:c>
      <x:c r="AB630" s="11" t="n">
        <x:v>46254.51251577547</x:v>
      </x:c>
      <x:c r="AC630" t="str">
        <x:v>downtown_yards</x:v>
      </x:c>
    </x:row>
    <x:row r="631" ht="22" customHeight="1">
      <x:c r="A631" t="str">
        <x:v>Downtown Yards</x:v>
      </x:c>
      <x:c r="B631" t="str">
        <x:v>E09.06</x:v>
      </x:c>
      <x:c r="C631" t="str">
        <x:v>available</x:v>
      </x:c>
      <x:c r="D631" t="str">
        <x:v>present</x:v>
      </x:c>
      <x:c r="E631" t="str">
        <x:v>baseline</x:v>
      </x:c>
      <x:c r="F631" s="11" t="n">
        <x:v>46252.68496519676</x:v>
      </x:c>
      <x:c r="G631" t="str">
        <x:v>flat</x:v>
      </x:c>
      <x:c r="H631" s="12" t="n">
        <x:v>3</x:v>
      </x:c>
      <x:c r="I631" s="13" t="n">
        <x:v>9</x:v>
      </x:c>
      <x:c r="J631" t="str">
        <x:v>E</x:v>
      </x:c>
      <x:c r="K631" s="14" t="n">
        <x:v>81.7</x:v>
      </x:c>
      <x:c r="L631" s="14"/>
      <x:c r="M631" s="14"/>
      <x:c r="N631" s="14"/>
      <x:c r="O631" s="14"/>
      <x:c r="P631" s="14" t="n">
        <x:v>6.58</x:v>
      </x:c>
      <x:c r="Q631" s="14" t="n">
        <x:v>88.28</x:v>
      </x:c>
      <x:c r="R631" s="15" t="n">
        <x:v>527301</x:v>
      </x:c>
      <x:c r="S631" s="15" t="n">
        <x:v>613032</x:v>
      </x:c>
      <x:c r="T631" s="15" t="n">
        <x:v>527301</x:v>
      </x:c>
      <x:c r="U631" s="16" t="n">
        <x:v>6454.11</x:v>
      </x:c>
      <x:c r="V631" t="str">
        <x:v>JTRE</x:v>
      </x:c>
      <x:c r="W631" t="str">
        <x:v>Ružinov</x:v>
      </x:c>
      <x:c r="X631" s="11" t="str">
        <x:v>Voľný</x:v>
      </x:c>
      <x:c r="Y631" s="11" t="str">
        <x:v>https://d-y.sk/byty/e09.06/</x:v>
      </x:c>
      <x:c r="Z631" s="11" t="n">
        <x:v>46252.68496519676</x:v>
      </x:c>
      <x:c r="AA631" s="11" t="n">
        <x:v>46254.51251577547</x:v>
      </x:c>
      <x:c r="AB631" s="11" t="n">
        <x:v>46254.51251577547</x:v>
      </x:c>
      <x:c r="AC631" t="str">
        <x:v>downtown_yards</x:v>
      </x:c>
    </x:row>
    <x:row r="632" ht="22" customHeight="1">
      <x:c r="A632" t="str">
        <x:v>Downtown Yards</x:v>
      </x:c>
      <x:c r="B632" t="str">
        <x:v>E09.07</x:v>
      </x:c>
      <x:c r="C632" t="str">
        <x:v>sold</x:v>
      </x:c>
      <x:c r="D632" t="str">
        <x:v>present</x:v>
      </x:c>
      <x:c r="E632" t="str">
        <x:v>baseline</x:v>
      </x:c>
      <x:c r="F632" s="11" t="n">
        <x:v>46252.68496519676</x:v>
      </x:c>
      <x:c r="G632" t="str">
        <x:v>flat</x:v>
      </x:c>
      <x:c r="H632" s="12" t="n">
        <x:v>2</x:v>
      </x:c>
      <x:c r="I632" s="13" t="n">
        <x:v>9</x:v>
      </x:c>
      <x:c r="J632" t="str">
        <x:v>E</x:v>
      </x:c>
      <x:c r="K632" s="14" t="n">
        <x:v>49.88</x:v>
      </x:c>
      <x:c r="L632" s="14"/>
      <x:c r="M632" s="14"/>
      <x:c r="N632" s="14"/>
      <x:c r="O632" s="14"/>
      <x:c r="P632" s="14" t="n">
        <x:v>6.58</x:v>
      </x:c>
      <x:c r="Q632" s="14" t="n">
        <x:v>56.46</x:v>
      </x:c>
      <x:c r="R632" s="15"/>
      <x:c r="S632" s="15"/>
      <x:c r="T632" s="15"/>
      <x:c r="U632" s="16"/>
      <x:c r="V632" t="str">
        <x:v>JTRE</x:v>
      </x:c>
      <x:c r="W632" t="str">
        <x:v>Ružinov</x:v>
      </x:c>
      <x:c r="X632" s="11" t="str">
        <x:v>Predaný</x:v>
      </x:c>
      <x:c r="Y632" s="11" t="str">
        <x:v>https://d-y.sk/byty/e09.07/</x:v>
      </x:c>
      <x:c r="Z632" s="11" t="n">
        <x:v>46252.68496519676</x:v>
      </x:c>
      <x:c r="AA632" s="11" t="n">
        <x:v>46254.51251577547</x:v>
      </x:c>
      <x:c r="AB632" s="11" t="n">
        <x:v>46254.51251577547</x:v>
      </x:c>
      <x:c r="AC632" t="str">
        <x:v>downtown_yards</x:v>
      </x:c>
    </x:row>
    <x:row r="633" ht="22" customHeight="1">
      <x:c r="A633" t="str">
        <x:v>Downtown Yards</x:v>
      </x:c>
      <x:c r="B633" t="str">
        <x:v>E09.08</x:v>
      </x:c>
      <x:c r="C633" t="str">
        <x:v>sold</x:v>
      </x:c>
      <x:c r="D633" t="str">
        <x:v>present</x:v>
      </x:c>
      <x:c r="E633" t="str">
        <x:v>baseline</x:v>
      </x:c>
      <x:c r="F633" s="11" t="n">
        <x:v>46252.68496519676</x:v>
      </x:c>
      <x:c r="G633" t="str">
        <x:v>flat</x:v>
      </x:c>
      <x:c r="H633" s="12" t="n">
        <x:v>2</x:v>
      </x:c>
      <x:c r="I633" s="13" t="n">
        <x:v>9</x:v>
      </x:c>
      <x:c r="J633" t="str">
        <x:v>E</x:v>
      </x:c>
      <x:c r="K633" s="14" t="n">
        <x:v>52.15</x:v>
      </x:c>
      <x:c r="L633" s="14"/>
      <x:c r="M633" s="14"/>
      <x:c r="N633" s="14"/>
      <x:c r="O633" s="14"/>
      <x:c r="P633" s="14" t="n">
        <x:v>6.58</x:v>
      </x:c>
      <x:c r="Q633" s="14" t="n">
        <x:v>58.73</x:v>
      </x:c>
      <x:c r="R633" s="15"/>
      <x:c r="S633" s="15"/>
      <x:c r="T633" s="15"/>
      <x:c r="U633" s="16"/>
      <x:c r="V633" t="str">
        <x:v>JTRE</x:v>
      </x:c>
      <x:c r="W633" t="str">
        <x:v>Ružinov</x:v>
      </x:c>
      <x:c r="X633" s="11" t="str">
        <x:v>Predaný</x:v>
      </x:c>
      <x:c r="Y633" s="11" t="str">
        <x:v>https://d-y.sk/byty/e09.08/</x:v>
      </x:c>
      <x:c r="Z633" s="11" t="n">
        <x:v>46252.68496519676</x:v>
      </x:c>
      <x:c r="AA633" s="11" t="n">
        <x:v>46254.51251577547</x:v>
      </x:c>
      <x:c r="AB633" s="11" t="n">
        <x:v>46254.51251577547</x:v>
      </x:c>
      <x:c r="AC633" t="str">
        <x:v>downtown_yards</x:v>
      </x:c>
    </x:row>
    <x:row r="634" ht="22" customHeight="1">
      <x:c r="A634" t="str">
        <x:v>Downtown Yards</x:v>
      </x:c>
      <x:c r="B634" t="str">
        <x:v>E09.09</x:v>
      </x:c>
      <x:c r="C634" t="str">
        <x:v>sold</x:v>
      </x:c>
      <x:c r="D634" t="str">
        <x:v>present</x:v>
      </x:c>
      <x:c r="E634" t="str">
        <x:v>baseline</x:v>
      </x:c>
      <x:c r="F634" s="11" t="n">
        <x:v>46252.68496519676</x:v>
      </x:c>
      <x:c r="G634" t="str">
        <x:v>flat</x:v>
      </x:c>
      <x:c r="H634" s="12" t="n">
        <x:v>3</x:v>
      </x:c>
      <x:c r="I634" s="13" t="n">
        <x:v>9</x:v>
      </x:c>
      <x:c r="J634" t="str">
        <x:v>E</x:v>
      </x:c>
      <x:c r="K634" s="14" t="n">
        <x:v>79.81</x:v>
      </x:c>
      <x:c r="L634" s="14"/>
      <x:c r="M634" s="14"/>
      <x:c r="N634" s="14"/>
      <x:c r="O634" s="14"/>
      <x:c r="P634" s="14" t="n">
        <x:v>12.1</x:v>
      </x:c>
      <x:c r="Q634" s="14" t="n">
        <x:v>91.91</x:v>
      </x:c>
      <x:c r="R634" s="15"/>
      <x:c r="S634" s="15"/>
      <x:c r="T634" s="15"/>
      <x:c r="U634" s="16"/>
      <x:c r="V634" t="str">
        <x:v>JTRE</x:v>
      </x:c>
      <x:c r="W634" t="str">
        <x:v>Ružinov</x:v>
      </x:c>
      <x:c r="X634" s="11" t="str">
        <x:v>Predaný</x:v>
      </x:c>
      <x:c r="Y634" s="11" t="str">
        <x:v>https://d-y.sk/byty/e09.09/</x:v>
      </x:c>
      <x:c r="Z634" s="11" t="n">
        <x:v>46252.68496519676</x:v>
      </x:c>
      <x:c r="AA634" s="11" t="n">
        <x:v>46254.51251577547</x:v>
      </x:c>
      <x:c r="AB634" s="11" t="n">
        <x:v>46254.51251577547</x:v>
      </x:c>
      <x:c r="AC634" t="str">
        <x:v>downtown_yards</x:v>
      </x:c>
    </x:row>
    <x:row r="635" ht="22" customHeight="1">
      <x:c r="A635" t="str">
        <x:v>Downtown Yards</x:v>
      </x:c>
      <x:c r="B635" t="str">
        <x:v>E09.10</x:v>
      </x:c>
      <x:c r="C635" t="str">
        <x:v>sold</x:v>
      </x:c>
      <x:c r="D635" t="str">
        <x:v>present</x:v>
      </x:c>
      <x:c r="E635" t="str">
        <x:v>baseline</x:v>
      </x:c>
      <x:c r="F635" s="11" t="n">
        <x:v>46252.68496519676</x:v>
      </x:c>
      <x:c r="G635" t="str">
        <x:v>flat</x:v>
      </x:c>
      <x:c r="H635" s="12" t="n">
        <x:v>1</x:v>
      </x:c>
      <x:c r="I635" s="13" t="n">
        <x:v>9</x:v>
      </x:c>
      <x:c r="J635" t="str">
        <x:v>E</x:v>
      </x:c>
      <x:c r="K635" s="14" t="n">
        <x:v>30.66</x:v>
      </x:c>
      <x:c r="L635" s="14"/>
      <x:c r="M635" s="14"/>
      <x:c r="N635" s="14"/>
      <x:c r="O635" s="14"/>
      <x:c r="P635" s="14" t="n">
        <x:v>3.23</x:v>
      </x:c>
      <x:c r="Q635" s="14" t="n">
        <x:v>33.89</x:v>
      </x:c>
      <x:c r="R635" s="15"/>
      <x:c r="S635" s="15"/>
      <x:c r="T635" s="15"/>
      <x:c r="U635" s="16"/>
      <x:c r="V635" t="str">
        <x:v>JTRE</x:v>
      </x:c>
      <x:c r="W635" t="str">
        <x:v>Ružinov</x:v>
      </x:c>
      <x:c r="X635" s="11" t="str">
        <x:v>Predaný</x:v>
      </x:c>
      <x:c r="Y635" s="11" t="str">
        <x:v>https://d-y.sk/byty/e09.10/</x:v>
      </x:c>
      <x:c r="Z635" s="11" t="n">
        <x:v>46252.68496519676</x:v>
      </x:c>
      <x:c r="AA635" s="11" t="n">
        <x:v>46254.51251577547</x:v>
      </x:c>
      <x:c r="AB635" s="11" t="n">
        <x:v>46254.51251577547</x:v>
      </x:c>
      <x:c r="AC635" t="str">
        <x:v>downtown_yards</x:v>
      </x:c>
    </x:row>
    <x:row r="636" ht="22" customHeight="1">
      <x:c r="A636" t="str">
        <x:v>Downtown Yards</x:v>
      </x:c>
      <x:c r="B636" t="str">
        <x:v>E10.01</x:v>
      </x:c>
      <x:c r="C636" t="str">
        <x:v>pre_reserved</x:v>
      </x:c>
      <x:c r="D636" t="str">
        <x:v>present</x:v>
      </x:c>
      <x:c r="E636" t="str">
        <x:v>baseline</x:v>
      </x:c>
      <x:c r="F636" s="11" t="n">
        <x:v>46252.68496519676</x:v>
      </x:c>
      <x:c r="G636" t="str">
        <x:v>flat</x:v>
      </x:c>
      <x:c r="H636" s="12" t="n">
        <x:v>1</x:v>
      </x:c>
      <x:c r="I636" s="13" t="n">
        <x:v>10</x:v>
      </x:c>
      <x:c r="J636" t="str">
        <x:v>E</x:v>
      </x:c>
      <x:c r="K636" s="14" t="n">
        <x:v>30.91</x:v>
      </x:c>
      <x:c r="L636" s="14"/>
      <x:c r="M636" s="14"/>
      <x:c r="N636" s="14"/>
      <x:c r="O636" s="14"/>
      <x:c r="P636" s="14" t="n">
        <x:v>3.13</x:v>
      </x:c>
      <x:c r="Q636" s="14" t="n">
        <x:v>34.04</x:v>
      </x:c>
      <x:c r="R636" s="15" t="n">
        <x:v>263466</x:v>
      </x:c>
      <x:c r="S636" s="15" t="n">
        <x:v>280932</x:v>
      </x:c>
      <x:c r="T636" s="15" t="n">
        <x:v>263466</x:v>
      </x:c>
      <x:c r="U636" s="16" t="n">
        <x:v>8523.65</x:v>
      </x:c>
      <x:c r="V636" t="str">
        <x:v>JTRE</x:v>
      </x:c>
      <x:c r="W636" t="str">
        <x:v>Ružinov</x:v>
      </x:c>
      <x:c r="X636" s="11" t="str">
        <x:v>Predrezervovaný</x:v>
      </x:c>
      <x:c r="Y636" s="11" t="str">
        <x:v>https://d-y.sk/byty/e10.01/</x:v>
      </x:c>
      <x:c r="Z636" s="11" t="n">
        <x:v>46252.68496519676</x:v>
      </x:c>
      <x:c r="AA636" s="11" t="n">
        <x:v>46254.51251577547</x:v>
      </x:c>
      <x:c r="AB636" s="11" t="n">
        <x:v>46254.51251577547</x:v>
      </x:c>
      <x:c r="AC636" t="str">
        <x:v>downtown_yards</x:v>
      </x:c>
    </x:row>
    <x:row r="637" ht="22" customHeight="1">
      <x:c r="A637" t="str">
        <x:v>Downtown Yards</x:v>
      </x:c>
      <x:c r="B637" t="str">
        <x:v>E10.02</x:v>
      </x:c>
      <x:c r="C637" t="str">
        <x:v>sold</x:v>
      </x:c>
      <x:c r="D637" t="str">
        <x:v>present</x:v>
      </x:c>
      <x:c r="E637" t="str">
        <x:v>baseline</x:v>
      </x:c>
      <x:c r="F637" s="11" t="n">
        <x:v>46252.68496519676</x:v>
      </x:c>
      <x:c r="G637" t="str">
        <x:v>flat</x:v>
      </x:c>
      <x:c r="H637" s="12" t="n">
        <x:v>3</x:v>
      </x:c>
      <x:c r="I637" s="13" t="n">
        <x:v>10</x:v>
      </x:c>
      <x:c r="J637" t="str">
        <x:v>E</x:v>
      </x:c>
      <x:c r="K637" s="14" t="n">
        <x:v>82.03</x:v>
      </x:c>
      <x:c r="L637" s="14"/>
      <x:c r="M637" s="14"/>
      <x:c r="N637" s="14"/>
      <x:c r="O637" s="14"/>
      <x:c r="P637" s="14" t="n">
        <x:v>13.63</x:v>
      </x:c>
      <x:c r="Q637" s="14" t="n">
        <x:v>95.66</x:v>
      </x:c>
      <x:c r="R637" s="15"/>
      <x:c r="S637" s="15"/>
      <x:c r="T637" s="15"/>
      <x:c r="U637" s="16"/>
      <x:c r="V637" t="str">
        <x:v>JTRE</x:v>
      </x:c>
      <x:c r="W637" t="str">
        <x:v>Ružinov</x:v>
      </x:c>
      <x:c r="X637" s="11" t="str">
        <x:v>Predaný</x:v>
      </x:c>
      <x:c r="Y637" s="11" t="str">
        <x:v>https://d-y.sk/byty/e10.02/</x:v>
      </x:c>
      <x:c r="Z637" s="11" t="n">
        <x:v>46252.68496519676</x:v>
      </x:c>
      <x:c r="AA637" s="11" t="n">
        <x:v>46254.51251577547</x:v>
      </x:c>
      <x:c r="AB637" s="11" t="n">
        <x:v>46254.51251577547</x:v>
      </x:c>
      <x:c r="AC637" t="str">
        <x:v>downtown_yards</x:v>
      </x:c>
    </x:row>
    <x:row r="638" ht="22" customHeight="1">
      <x:c r="A638" t="str">
        <x:v>Downtown Yards</x:v>
      </x:c>
      <x:c r="B638" t="str">
        <x:v>E10.03</x:v>
      </x:c>
      <x:c r="C638" t="str">
        <x:v>sold</x:v>
      </x:c>
      <x:c r="D638" t="str">
        <x:v>present</x:v>
      </x:c>
      <x:c r="E638" t="str">
        <x:v>baseline</x:v>
      </x:c>
      <x:c r="F638" s="11" t="n">
        <x:v>46252.68496519676</x:v>
      </x:c>
      <x:c r="G638" t="str">
        <x:v>flat</x:v>
      </x:c>
      <x:c r="H638" s="12" t="n">
        <x:v>2</x:v>
      </x:c>
      <x:c r="I638" s="13" t="n">
        <x:v>10</x:v>
      </x:c>
      <x:c r="J638" t="str">
        <x:v>E</x:v>
      </x:c>
      <x:c r="K638" s="14" t="n">
        <x:v>52.9</x:v>
      </x:c>
      <x:c r="L638" s="14"/>
      <x:c r="M638" s="14"/>
      <x:c r="N638" s="14"/>
      <x:c r="O638" s="14"/>
      <x:c r="P638" s="14" t="n">
        <x:v>8.67</x:v>
      </x:c>
      <x:c r="Q638" s="14" t="n">
        <x:v>61.57</x:v>
      </x:c>
      <x:c r="R638" s="15"/>
      <x:c r="S638" s="15"/>
      <x:c r="T638" s="15"/>
      <x:c r="U638" s="16"/>
      <x:c r="V638" t="str">
        <x:v>JTRE</x:v>
      </x:c>
      <x:c r="W638" t="str">
        <x:v>Ružinov</x:v>
      </x:c>
      <x:c r="X638" s="11" t="str">
        <x:v>Predaný</x:v>
      </x:c>
      <x:c r="Y638" s="11" t="str">
        <x:v>https://d-y.sk/byty/e10.03/</x:v>
      </x:c>
      <x:c r="Z638" s="11" t="n">
        <x:v>46252.68496519676</x:v>
      </x:c>
      <x:c r="AA638" s="11" t="n">
        <x:v>46254.51251577547</x:v>
      </x:c>
      <x:c r="AB638" s="11" t="n">
        <x:v>46254.51251577547</x:v>
      </x:c>
      <x:c r="AC638" t="str">
        <x:v>downtown_yards</x:v>
      </x:c>
    </x:row>
    <x:row r="639" ht="22" customHeight="1">
      <x:c r="A639" t="str">
        <x:v>Downtown Yards</x:v>
      </x:c>
      <x:c r="B639" t="str">
        <x:v>E10.04</x:v>
      </x:c>
      <x:c r="C639" t="str">
        <x:v>sold</x:v>
      </x:c>
      <x:c r="D639" t="str">
        <x:v>present</x:v>
      </x:c>
      <x:c r="E639" t="str">
        <x:v>baseline</x:v>
      </x:c>
      <x:c r="F639" s="11" t="n">
        <x:v>46252.68496519676</x:v>
      </x:c>
      <x:c r="G639" t="str">
        <x:v>flat</x:v>
      </x:c>
      <x:c r="H639" s="12" t="n">
        <x:v>2</x:v>
      </x:c>
      <x:c r="I639" s="13" t="n">
        <x:v>10</x:v>
      </x:c>
      <x:c r="J639" t="str">
        <x:v>E</x:v>
      </x:c>
      <x:c r="K639" s="14" t="n">
        <x:v>52.34</x:v>
      </x:c>
      <x:c r="L639" s="14"/>
      <x:c r="M639" s="14"/>
      <x:c r="N639" s="14"/>
      <x:c r="O639" s="14"/>
      <x:c r="P639" s="14" t="n">
        <x:v>8.67</x:v>
      </x:c>
      <x:c r="Q639" s="14" t="n">
        <x:v>61.01</x:v>
      </x:c>
      <x:c r="R639" s="15"/>
      <x:c r="S639" s="15"/>
      <x:c r="T639" s="15"/>
      <x:c r="U639" s="16"/>
      <x:c r="V639" t="str">
        <x:v>JTRE</x:v>
      </x:c>
      <x:c r="W639" t="str">
        <x:v>Ružinov</x:v>
      </x:c>
      <x:c r="X639" s="11" t="str">
        <x:v>Predaný</x:v>
      </x:c>
      <x:c r="Y639" s="11" t="str">
        <x:v>https://d-y.sk/byty/e10.04/</x:v>
      </x:c>
      <x:c r="Z639" s="11" t="n">
        <x:v>46252.68496519676</x:v>
      </x:c>
      <x:c r="AA639" s="11" t="n">
        <x:v>46254.51251577547</x:v>
      </x:c>
      <x:c r="AB639" s="11" t="n">
        <x:v>46254.51251577547</x:v>
      </x:c>
      <x:c r="AC639" t="str">
        <x:v>downtown_yards</x:v>
      </x:c>
    </x:row>
    <x:row r="640" ht="22" customHeight="1">
      <x:c r="A640" t="str">
        <x:v>Downtown Yards</x:v>
      </x:c>
      <x:c r="B640" t="str">
        <x:v>E10.05</x:v>
      </x:c>
      <x:c r="C640" t="str">
        <x:v>sold</x:v>
      </x:c>
      <x:c r="D640" t="str">
        <x:v>present</x:v>
      </x:c>
      <x:c r="E640" t="str">
        <x:v>baseline</x:v>
      </x:c>
      <x:c r="F640" s="11" t="n">
        <x:v>46252.68496519676</x:v>
      </x:c>
      <x:c r="G640" t="str">
        <x:v>flat</x:v>
      </x:c>
      <x:c r="H640" s="12" t="n">
        <x:v>3</x:v>
      </x:c>
      <x:c r="I640" s="13" t="n">
        <x:v>10</x:v>
      </x:c>
      <x:c r="J640" t="str">
        <x:v>E</x:v>
      </x:c>
      <x:c r="K640" s="14" t="n">
        <x:v>82.18</x:v>
      </x:c>
      <x:c r="L640" s="14"/>
      <x:c r="M640" s="14"/>
      <x:c r="N640" s="14"/>
      <x:c r="O640" s="14"/>
      <x:c r="P640" s="14" t="n">
        <x:v>8.67</x:v>
      </x:c>
      <x:c r="Q640" s="14" t="n">
        <x:v>90.85</x:v>
      </x:c>
      <x:c r="R640" s="15"/>
      <x:c r="S640" s="15"/>
      <x:c r="T640" s="15"/>
      <x:c r="U640" s="16"/>
      <x:c r="V640" t="str">
        <x:v>JTRE</x:v>
      </x:c>
      <x:c r="W640" t="str">
        <x:v>Ružinov</x:v>
      </x:c>
      <x:c r="X640" s="11" t="str">
        <x:v>Predaný</x:v>
      </x:c>
      <x:c r="Y640" s="11" t="str">
        <x:v>https://d-y.sk/byty/e10.05/</x:v>
      </x:c>
      <x:c r="Z640" s="11" t="n">
        <x:v>46252.68496519676</x:v>
      </x:c>
      <x:c r="AA640" s="11" t="n">
        <x:v>46254.51251577547</x:v>
      </x:c>
      <x:c r="AB640" s="11" t="n">
        <x:v>46254.51251577547</x:v>
      </x:c>
      <x:c r="AC640" t="str">
        <x:v>downtown_yards</x:v>
      </x:c>
    </x:row>
    <x:row r="641" ht="22" customHeight="1">
      <x:c r="A641" t="str">
        <x:v>Downtown Yards</x:v>
      </x:c>
      <x:c r="B641" t="str">
        <x:v>E10.06</x:v>
      </x:c>
      <x:c r="C641" t="str">
        <x:v>sold</x:v>
      </x:c>
      <x:c r="D641" t="str">
        <x:v>present</x:v>
      </x:c>
      <x:c r="E641" t="str">
        <x:v>baseline</x:v>
      </x:c>
      <x:c r="F641" s="11" t="n">
        <x:v>46252.68496519676</x:v>
      </x:c>
      <x:c r="G641" t="str">
        <x:v>flat</x:v>
      </x:c>
      <x:c r="H641" s="12" t="n">
        <x:v>3</x:v>
      </x:c>
      <x:c r="I641" s="13" t="n">
        <x:v>10</x:v>
      </x:c>
      <x:c r="J641" t="str">
        <x:v>E</x:v>
      </x:c>
      <x:c r="K641" s="14" t="n">
        <x:v>82.45</x:v>
      </x:c>
      <x:c r="L641" s="14"/>
      <x:c r="M641" s="14"/>
      <x:c r="N641" s="14"/>
      <x:c r="O641" s="14"/>
      <x:c r="P641" s="14" t="n">
        <x:v>6.58</x:v>
      </x:c>
      <x:c r="Q641" s="14" t="n">
        <x:v>89.03</x:v>
      </x:c>
      <x:c r="R641" s="15"/>
      <x:c r="S641" s="15"/>
      <x:c r="T641" s="15"/>
      <x:c r="U641" s="16"/>
      <x:c r="V641" t="str">
        <x:v>JTRE</x:v>
      </x:c>
      <x:c r="W641" t="str">
        <x:v>Ružinov</x:v>
      </x:c>
      <x:c r="X641" s="11" t="str">
        <x:v>Predaný</x:v>
      </x:c>
      <x:c r="Y641" s="11" t="str">
        <x:v>https://d-y.sk/byty/e10.06/</x:v>
      </x:c>
      <x:c r="Z641" s="11" t="n">
        <x:v>46252.68496519676</x:v>
      </x:c>
      <x:c r="AA641" s="11" t="n">
        <x:v>46254.51251577547</x:v>
      </x:c>
      <x:c r="AB641" s="11" t="n">
        <x:v>46254.51251577547</x:v>
      </x:c>
      <x:c r="AC641" t="str">
        <x:v>downtown_yards</x:v>
      </x:c>
    </x:row>
    <x:row r="642" ht="22" customHeight="1">
      <x:c r="A642" t="str">
        <x:v>Downtown Yards</x:v>
      </x:c>
      <x:c r="B642" t="str">
        <x:v>E10.07</x:v>
      </x:c>
      <x:c r="C642" t="str">
        <x:v>sold</x:v>
      </x:c>
      <x:c r="D642" t="str">
        <x:v>present</x:v>
      </x:c>
      <x:c r="E642" t="str">
        <x:v>baseline</x:v>
      </x:c>
      <x:c r="F642" s="11" t="n">
        <x:v>46252.68496519676</x:v>
      </x:c>
      <x:c r="G642" t="str">
        <x:v>flat</x:v>
      </x:c>
      <x:c r="H642" s="12" t="n">
        <x:v>2</x:v>
      </x:c>
      <x:c r="I642" s="13" t="n">
        <x:v>10</x:v>
      </x:c>
      <x:c r="J642" t="str">
        <x:v>E</x:v>
      </x:c>
      <x:c r="K642" s="14" t="n">
        <x:v>50.55</x:v>
      </x:c>
      <x:c r="L642" s="14"/>
      <x:c r="M642" s="14"/>
      <x:c r="N642" s="14"/>
      <x:c r="O642" s="14"/>
      <x:c r="P642" s="14" t="n">
        <x:v>6.58</x:v>
      </x:c>
      <x:c r="Q642" s="14" t="n">
        <x:v>57.13</x:v>
      </x:c>
      <x:c r="R642" s="15"/>
      <x:c r="S642" s="15"/>
      <x:c r="T642" s="15"/>
      <x:c r="U642" s="16"/>
      <x:c r="V642" t="str">
        <x:v>JTRE</x:v>
      </x:c>
      <x:c r="W642" t="str">
        <x:v>Ružinov</x:v>
      </x:c>
      <x:c r="X642" s="11" t="str">
        <x:v>Predaný</x:v>
      </x:c>
      <x:c r="Y642" s="11" t="str">
        <x:v>https://d-y.sk/byty/e10.07/</x:v>
      </x:c>
      <x:c r="Z642" s="11" t="n">
        <x:v>46252.68496519676</x:v>
      </x:c>
      <x:c r="AA642" s="11" t="n">
        <x:v>46254.51251577547</x:v>
      </x:c>
      <x:c r="AB642" s="11" t="n">
        <x:v>46254.51251577547</x:v>
      </x:c>
      <x:c r="AC642" t="str">
        <x:v>downtown_yards</x:v>
      </x:c>
    </x:row>
    <x:row r="643" ht="22" customHeight="1">
      <x:c r="A643" t="str">
        <x:v>Downtown Yards</x:v>
      </x:c>
      <x:c r="B643" t="str">
        <x:v>E10.08</x:v>
      </x:c>
      <x:c r="C643" t="str">
        <x:v>sold</x:v>
      </x:c>
      <x:c r="D643" t="str">
        <x:v>present</x:v>
      </x:c>
      <x:c r="E643" t="str">
        <x:v>baseline</x:v>
      </x:c>
      <x:c r="F643" s="11" t="n">
        <x:v>46252.68496519676</x:v>
      </x:c>
      <x:c r="G643" t="str">
        <x:v>flat</x:v>
      </x:c>
      <x:c r="H643" s="12" t="n">
        <x:v>2</x:v>
      </x:c>
      <x:c r="I643" s="13" t="n">
        <x:v>10</x:v>
      </x:c>
      <x:c r="J643" t="str">
        <x:v>E</x:v>
      </x:c>
      <x:c r="K643" s="14" t="n">
        <x:v>52.73</x:v>
      </x:c>
      <x:c r="L643" s="14"/>
      <x:c r="M643" s="14"/>
      <x:c r="N643" s="14"/>
      <x:c r="O643" s="14"/>
      <x:c r="P643" s="14" t="n">
        <x:v>6.58</x:v>
      </x:c>
      <x:c r="Q643" s="14" t="n">
        <x:v>59.31</x:v>
      </x:c>
      <x:c r="R643" s="15"/>
      <x:c r="S643" s="15"/>
      <x:c r="T643" s="15"/>
      <x:c r="U643" s="16"/>
      <x:c r="V643" t="str">
        <x:v>JTRE</x:v>
      </x:c>
      <x:c r="W643" t="str">
        <x:v>Ružinov</x:v>
      </x:c>
      <x:c r="X643" s="11" t="str">
        <x:v>Predaný</x:v>
      </x:c>
      <x:c r="Y643" s="11" t="str">
        <x:v>https://d-y.sk/byty/e10.08/</x:v>
      </x:c>
      <x:c r="Z643" s="11" t="n">
        <x:v>46252.68496519676</x:v>
      </x:c>
      <x:c r="AA643" s="11" t="n">
        <x:v>46254.51251577547</x:v>
      </x:c>
      <x:c r="AB643" s="11" t="n">
        <x:v>46254.51251577547</x:v>
      </x:c>
      <x:c r="AC643" t="str">
        <x:v>downtown_yards</x:v>
      </x:c>
    </x:row>
    <x:row r="644" ht="22" customHeight="1">
      <x:c r="A644" t="str">
        <x:v>Downtown Yards</x:v>
      </x:c>
      <x:c r="B644" t="str">
        <x:v>E10.09</x:v>
      </x:c>
      <x:c r="C644" t="str">
        <x:v>sold</x:v>
      </x:c>
      <x:c r="D644" t="str">
        <x:v>present</x:v>
      </x:c>
      <x:c r="E644" t="str">
        <x:v>baseline</x:v>
      </x:c>
      <x:c r="F644" s="11" t="n">
        <x:v>46252.68496519676</x:v>
      </x:c>
      <x:c r="G644" t="str">
        <x:v>flat</x:v>
      </x:c>
      <x:c r="H644" s="12" t="n">
        <x:v>3</x:v>
      </x:c>
      <x:c r="I644" s="13" t="n">
        <x:v>10</x:v>
      </x:c>
      <x:c r="J644" t="str">
        <x:v>E</x:v>
      </x:c>
      <x:c r="K644" s="14" t="n">
        <x:v>80.49</x:v>
      </x:c>
      <x:c r="L644" s="14"/>
      <x:c r="M644" s="14"/>
      <x:c r="N644" s="14"/>
      <x:c r="O644" s="14"/>
      <x:c r="P644" s="14" t="n">
        <x:v>12.1</x:v>
      </x:c>
      <x:c r="Q644" s="14" t="n">
        <x:v>92.59</x:v>
      </x:c>
      <x:c r="R644" s="15"/>
      <x:c r="S644" s="15"/>
      <x:c r="T644" s="15"/>
      <x:c r="U644" s="16"/>
      <x:c r="V644" t="str">
        <x:v>JTRE</x:v>
      </x:c>
      <x:c r="W644" t="str">
        <x:v>Ružinov</x:v>
      </x:c>
      <x:c r="X644" s="11" t="str">
        <x:v>Predaný</x:v>
      </x:c>
      <x:c r="Y644" s="11" t="str">
        <x:v>https://d-y.sk/byty/e10.09/</x:v>
      </x:c>
      <x:c r="Z644" s="11" t="n">
        <x:v>46252.68496519676</x:v>
      </x:c>
      <x:c r="AA644" s="11" t="n">
        <x:v>46254.51251577547</x:v>
      </x:c>
      <x:c r="AB644" s="11" t="n">
        <x:v>46254.51251577547</x:v>
      </x:c>
      <x:c r="AC644" t="str">
        <x:v>downtown_yards</x:v>
      </x:c>
    </x:row>
    <x:row r="645" ht="22" customHeight="1">
      <x:c r="A645" t="str">
        <x:v>Downtown Yards</x:v>
      </x:c>
      <x:c r="B645" t="str">
        <x:v>E10.10</x:v>
      </x:c>
      <x:c r="C645" t="str">
        <x:v>sold</x:v>
      </x:c>
      <x:c r="D645" t="str">
        <x:v>present</x:v>
      </x:c>
      <x:c r="E645" t="str">
        <x:v>baseline</x:v>
      </x:c>
      <x:c r="F645" s="11" t="n">
        <x:v>46252.68496519676</x:v>
      </x:c>
      <x:c r="G645" t="str">
        <x:v>flat</x:v>
      </x:c>
      <x:c r="H645" s="12" t="n">
        <x:v>1</x:v>
      </x:c>
      <x:c r="I645" s="13" t="n">
        <x:v>10</x:v>
      </x:c>
      <x:c r="J645" t="str">
        <x:v>E</x:v>
      </x:c>
      <x:c r="K645" s="14" t="n">
        <x:v>30.66</x:v>
      </x:c>
      <x:c r="L645" s="14"/>
      <x:c r="M645" s="14"/>
      <x:c r="N645" s="14"/>
      <x:c r="O645" s="14"/>
      <x:c r="P645" s="14" t="n">
        <x:v>3.23</x:v>
      </x:c>
      <x:c r="Q645" s="14" t="n">
        <x:v>33.89</x:v>
      </x:c>
      <x:c r="R645" s="15"/>
      <x:c r="S645" s="15"/>
      <x:c r="T645" s="15"/>
      <x:c r="U645" s="16"/>
      <x:c r="V645" t="str">
        <x:v>JTRE</x:v>
      </x:c>
      <x:c r="W645" t="str">
        <x:v>Ružinov</x:v>
      </x:c>
      <x:c r="X645" s="11" t="str">
        <x:v>Predaný</x:v>
      </x:c>
      <x:c r="Y645" s="11" t="str">
        <x:v>https://d-y.sk/byty/e10.10/</x:v>
      </x:c>
      <x:c r="Z645" s="11" t="n">
        <x:v>46252.68496519676</x:v>
      </x:c>
      <x:c r="AA645" s="11" t="n">
        <x:v>46254.51251577547</x:v>
      </x:c>
      <x:c r="AB645" s="11" t="n">
        <x:v>46254.51251577547</x:v>
      </x:c>
      <x:c r="AC645" t="str">
        <x:v>downtown_yards</x:v>
      </x:c>
    </x:row>
    <x:row r="646" ht="22" customHeight="1">
      <x:c r="A646" t="str">
        <x:v>Downtown Yards</x:v>
      </x:c>
      <x:c r="B646" t="str">
        <x:v>E11.01</x:v>
      </x:c>
      <x:c r="C646" t="str">
        <x:v>sold</x:v>
      </x:c>
      <x:c r="D646" t="str">
        <x:v>present</x:v>
      </x:c>
      <x:c r="E646" t="str">
        <x:v>baseline</x:v>
      </x:c>
      <x:c r="F646" s="11" t="n">
        <x:v>46252.68496519676</x:v>
      </x:c>
      <x:c r="G646" t="str">
        <x:v>flat</x:v>
      </x:c>
      <x:c r="H646" s="12" t="n">
        <x:v>1</x:v>
      </x:c>
      <x:c r="I646" s="13" t="n">
        <x:v>11</x:v>
      </x:c>
      <x:c r="J646" t="str">
        <x:v>E</x:v>
      </x:c>
      <x:c r="K646" s="14" t="n">
        <x:v>30.91</x:v>
      </x:c>
      <x:c r="L646" s="14"/>
      <x:c r="M646" s="14"/>
      <x:c r="N646" s="14"/>
      <x:c r="O646" s="14"/>
      <x:c r="P646" s="14" t="n">
        <x:v>3.13</x:v>
      </x:c>
      <x:c r="Q646" s="14" t="n">
        <x:v>34.04</x:v>
      </x:c>
      <x:c r="R646" s="15"/>
      <x:c r="S646" s="15"/>
      <x:c r="T646" s="15"/>
      <x:c r="U646" s="16"/>
      <x:c r="V646" t="str">
        <x:v>JTRE</x:v>
      </x:c>
      <x:c r="W646" t="str">
        <x:v>Ružinov</x:v>
      </x:c>
      <x:c r="X646" s="11" t="str">
        <x:v>Predaný</x:v>
      </x:c>
      <x:c r="Y646" s="11" t="str">
        <x:v>https://d-y.sk/byty/e11.01/</x:v>
      </x:c>
      <x:c r="Z646" s="11" t="n">
        <x:v>46252.68496519676</x:v>
      </x:c>
      <x:c r="AA646" s="11" t="n">
        <x:v>46254.51251577547</x:v>
      </x:c>
      <x:c r="AB646" s="11" t="n">
        <x:v>46254.51251577547</x:v>
      </x:c>
      <x:c r="AC646" t="str">
        <x:v>downtown_yards</x:v>
      </x:c>
    </x:row>
    <x:row r="647" ht="22" customHeight="1">
      <x:c r="A647" t="str">
        <x:v>Downtown Yards</x:v>
      </x:c>
      <x:c r="B647" t="str">
        <x:v>E11.02</x:v>
      </x:c>
      <x:c r="C647" t="str">
        <x:v>sold</x:v>
      </x:c>
      <x:c r="D647" t="str">
        <x:v>present</x:v>
      </x:c>
      <x:c r="E647" t="str">
        <x:v>baseline</x:v>
      </x:c>
      <x:c r="F647" s="11" t="n">
        <x:v>46252.68496519676</x:v>
      </x:c>
      <x:c r="G647" t="str">
        <x:v>flat</x:v>
      </x:c>
      <x:c r="H647" s="12" t="n">
        <x:v>3</x:v>
      </x:c>
      <x:c r="I647" s="13" t="n">
        <x:v>11</x:v>
      </x:c>
      <x:c r="J647" t="str">
        <x:v>E</x:v>
      </x:c>
      <x:c r="K647" s="14" t="n">
        <x:v>81.26</x:v>
      </x:c>
      <x:c r="L647" s="14"/>
      <x:c r="M647" s="14"/>
      <x:c r="N647" s="14"/>
      <x:c r="O647" s="14"/>
      <x:c r="P647" s="14" t="n">
        <x:v>13.63</x:v>
      </x:c>
      <x:c r="Q647" s="14" t="n">
        <x:v>94.89</x:v>
      </x:c>
      <x:c r="R647" s="15"/>
      <x:c r="S647" s="15"/>
      <x:c r="T647" s="15"/>
      <x:c r="U647" s="16"/>
      <x:c r="V647" t="str">
        <x:v>JTRE</x:v>
      </x:c>
      <x:c r="W647" t="str">
        <x:v>Ružinov</x:v>
      </x:c>
      <x:c r="X647" s="11" t="str">
        <x:v>Predaný</x:v>
      </x:c>
      <x:c r="Y647" s="11" t="str">
        <x:v>https://d-y.sk/byty/e11.02/</x:v>
      </x:c>
      <x:c r="Z647" s="11" t="n">
        <x:v>46252.68496519676</x:v>
      </x:c>
      <x:c r="AA647" s="11" t="n">
        <x:v>46254.51251577547</x:v>
      </x:c>
      <x:c r="AB647" s="11" t="n">
        <x:v>46254.51251577547</x:v>
      </x:c>
      <x:c r="AC647" t="str">
        <x:v>downtown_yards</x:v>
      </x:c>
    </x:row>
    <x:row r="648" ht="22" customHeight="1">
      <x:c r="A648" t="str">
        <x:v>Downtown Yards</x:v>
      </x:c>
      <x:c r="B648" t="str">
        <x:v>E11.03</x:v>
      </x:c>
      <x:c r="C648" t="str">
        <x:v>sold</x:v>
      </x:c>
      <x:c r="D648" t="str">
        <x:v>present</x:v>
      </x:c>
      <x:c r="E648" t="str">
        <x:v>baseline</x:v>
      </x:c>
      <x:c r="F648" s="11" t="n">
        <x:v>46252.68496519676</x:v>
      </x:c>
      <x:c r="G648" t="str">
        <x:v>flat</x:v>
      </x:c>
      <x:c r="H648" s="12" t="n">
        <x:v>2</x:v>
      </x:c>
      <x:c r="I648" s="13" t="n">
        <x:v>11</x:v>
      </x:c>
      <x:c r="J648" t="str">
        <x:v>E</x:v>
      </x:c>
      <x:c r="K648" s="14" t="n">
        <x:v>52.22</x:v>
      </x:c>
      <x:c r="L648" s="14"/>
      <x:c r="M648" s="14"/>
      <x:c r="N648" s="14"/>
      <x:c r="O648" s="14"/>
      <x:c r="P648" s="14" t="n">
        <x:v>8.67</x:v>
      </x:c>
      <x:c r="Q648" s="14" t="n">
        <x:v>60.89</x:v>
      </x:c>
      <x:c r="R648" s="15"/>
      <x:c r="S648" s="15"/>
      <x:c r="T648" s="15"/>
      <x:c r="U648" s="16"/>
      <x:c r="V648" t="str">
        <x:v>JTRE</x:v>
      </x:c>
      <x:c r="W648" t="str">
        <x:v>Ružinov</x:v>
      </x:c>
      <x:c r="X648" s="11" t="str">
        <x:v>Predaný</x:v>
      </x:c>
      <x:c r="Y648" s="11" t="str">
        <x:v>https://d-y.sk/byty/e11.03/</x:v>
      </x:c>
      <x:c r="Z648" s="11" t="n">
        <x:v>46252.68496519676</x:v>
      </x:c>
      <x:c r="AA648" s="11" t="n">
        <x:v>46254.51251577547</x:v>
      </x:c>
      <x:c r="AB648" s="11" t="n">
        <x:v>46254.51251577547</x:v>
      </x:c>
      <x:c r="AC648" t="str">
        <x:v>downtown_yards</x:v>
      </x:c>
    </x:row>
    <x:row r="649" ht="22" customHeight="1">
      <x:c r="A649" t="str">
        <x:v>Downtown Yards</x:v>
      </x:c>
      <x:c r="B649" t="str">
        <x:v>E11.04</x:v>
      </x:c>
      <x:c r="C649" t="str">
        <x:v>sold</x:v>
      </x:c>
      <x:c r="D649" t="str">
        <x:v>present</x:v>
      </x:c>
      <x:c r="E649" t="str">
        <x:v>baseline</x:v>
      </x:c>
      <x:c r="F649" s="11" t="n">
        <x:v>46252.68496519676</x:v>
      </x:c>
      <x:c r="G649" t="str">
        <x:v>flat</x:v>
      </x:c>
      <x:c r="H649" s="12" t="n">
        <x:v>2</x:v>
      </x:c>
      <x:c r="I649" s="13" t="n">
        <x:v>11</x:v>
      </x:c>
      <x:c r="J649" t="str">
        <x:v>E</x:v>
      </x:c>
      <x:c r="K649" s="14" t="n">
        <x:v>51.73</x:v>
      </x:c>
      <x:c r="L649" s="14"/>
      <x:c r="M649" s="14"/>
      <x:c r="N649" s="14"/>
      <x:c r="O649" s="14"/>
      <x:c r="P649" s="14" t="n">
        <x:v>8.67</x:v>
      </x:c>
      <x:c r="Q649" s="14" t="n">
        <x:v>60.4</x:v>
      </x:c>
      <x:c r="R649" s="15"/>
      <x:c r="S649" s="15"/>
      <x:c r="T649" s="15"/>
      <x:c r="U649" s="16"/>
      <x:c r="V649" t="str">
        <x:v>JTRE</x:v>
      </x:c>
      <x:c r="W649" t="str">
        <x:v>Ružinov</x:v>
      </x:c>
      <x:c r="X649" s="11" t="str">
        <x:v>Predaný</x:v>
      </x:c>
      <x:c r="Y649" s="11" t="str">
        <x:v>https://d-y.sk/byty/e11.04/</x:v>
      </x:c>
      <x:c r="Z649" s="11" t="n">
        <x:v>46252.68496519676</x:v>
      </x:c>
      <x:c r="AA649" s="11" t="n">
        <x:v>46254.51251577547</x:v>
      </x:c>
      <x:c r="AB649" s="11" t="n">
        <x:v>46254.51251577547</x:v>
      </x:c>
      <x:c r="AC649" t="str">
        <x:v>downtown_yards</x:v>
      </x:c>
    </x:row>
    <x:row r="650" ht="22" customHeight="1">
      <x:c r="A650" t="str">
        <x:v>Downtown Yards</x:v>
      </x:c>
      <x:c r="B650" t="str">
        <x:v>E11.05</x:v>
      </x:c>
      <x:c r="C650" t="str">
        <x:v>sold</x:v>
      </x:c>
      <x:c r="D650" t="str">
        <x:v>present</x:v>
      </x:c>
      <x:c r="E650" t="str">
        <x:v>baseline</x:v>
      </x:c>
      <x:c r="F650" s="11" t="n">
        <x:v>46252.68496519676</x:v>
      </x:c>
      <x:c r="G650" t="str">
        <x:v>flat</x:v>
      </x:c>
      <x:c r="H650" s="12" t="n">
        <x:v>3</x:v>
      </x:c>
      <x:c r="I650" s="13" t="n">
        <x:v>11</x:v>
      </x:c>
      <x:c r="J650" t="str">
        <x:v>E</x:v>
      </x:c>
      <x:c r="K650" s="14" t="n">
        <x:v>81.58</x:v>
      </x:c>
      <x:c r="L650" s="14"/>
      <x:c r="M650" s="14"/>
      <x:c r="N650" s="14"/>
      <x:c r="O650" s="14"/>
      <x:c r="P650" s="14" t="n">
        <x:v>8.67</x:v>
      </x:c>
      <x:c r="Q650" s="14" t="n">
        <x:v>90.25</x:v>
      </x:c>
      <x:c r="R650" s="15"/>
      <x:c r="S650" s="15"/>
      <x:c r="T650" s="15"/>
      <x:c r="U650" s="16"/>
      <x:c r="V650" t="str">
        <x:v>JTRE</x:v>
      </x:c>
      <x:c r="W650" t="str">
        <x:v>Ružinov</x:v>
      </x:c>
      <x:c r="X650" s="11" t="str">
        <x:v>Predaný</x:v>
      </x:c>
      <x:c r="Y650" s="11" t="str">
        <x:v>https://d-y.sk/byty/e11.05/</x:v>
      </x:c>
      <x:c r="Z650" s="11" t="n">
        <x:v>46252.68496519676</x:v>
      </x:c>
      <x:c r="AA650" s="11" t="n">
        <x:v>46254.51251577547</x:v>
      </x:c>
      <x:c r="AB650" s="11" t="n">
        <x:v>46254.51251577547</x:v>
      </x:c>
      <x:c r="AC650" t="str">
        <x:v>downtown_yards</x:v>
      </x:c>
    </x:row>
    <x:row r="651" ht="22" customHeight="1">
      <x:c r="A651" t="str">
        <x:v>Downtown Yards</x:v>
      </x:c>
      <x:c r="B651" t="str">
        <x:v>E11.06</x:v>
      </x:c>
      <x:c r="C651" t="str">
        <x:v>pre_reserved</x:v>
      </x:c>
      <x:c r="D651" t="str">
        <x:v>present</x:v>
      </x:c>
      <x:c r="E651" t="str">
        <x:v>baseline</x:v>
      </x:c>
      <x:c r="F651" s="11" t="n">
        <x:v>46252.68496519676</x:v>
      </x:c>
      <x:c r="G651" t="str">
        <x:v>flat</x:v>
      </x:c>
      <x:c r="H651" s="12" t="n">
        <x:v>3</x:v>
      </x:c>
      <x:c r="I651" s="13" t="n">
        <x:v>11</x:v>
      </x:c>
      <x:c r="J651" t="str">
        <x:v>E</x:v>
      </x:c>
      <x:c r="K651" s="14" t="n">
        <x:v>81.7</x:v>
      </x:c>
      <x:c r="L651" s="14"/>
      <x:c r="M651" s="14"/>
      <x:c r="N651" s="14"/>
      <x:c r="O651" s="14"/>
      <x:c r="P651" s="14" t="n">
        <x:v>6.58</x:v>
      </x:c>
      <x:c r="Q651" s="14" t="n">
        <x:v>88.28</x:v>
      </x:c>
      <x:c r="R651" s="15" t="n">
        <x:v>540093</x:v>
      </x:c>
      <x:c r="S651" s="15" t="n">
        <x:v>627915</x:v>
      </x:c>
      <x:c r="T651" s="15" t="n">
        <x:v>540093</x:v>
      </x:c>
      <x:c r="U651" s="16" t="n">
        <x:v>6610.69</x:v>
      </x:c>
      <x:c r="V651" t="str">
        <x:v>JTRE</x:v>
      </x:c>
      <x:c r="W651" t="str">
        <x:v>Ružinov</x:v>
      </x:c>
      <x:c r="X651" s="11" t="str">
        <x:v>Predrezervovaný</x:v>
      </x:c>
      <x:c r="Y651" s="11" t="str">
        <x:v>https://d-y.sk/byty/e11.06/</x:v>
      </x:c>
      <x:c r="Z651" s="11" t="n">
        <x:v>46252.68496519676</x:v>
      </x:c>
      <x:c r="AA651" s="11" t="n">
        <x:v>46254.51251577547</x:v>
      </x:c>
      <x:c r="AB651" s="11" t="n">
        <x:v>46254.51251577547</x:v>
      </x:c>
      <x:c r="AC651" t="str">
        <x:v>downtown_yards</x:v>
      </x:c>
    </x:row>
    <x:row r="652" ht="22" customHeight="1">
      <x:c r="A652" t="str">
        <x:v>Downtown Yards</x:v>
      </x:c>
      <x:c r="B652" t="str">
        <x:v>E11.07</x:v>
      </x:c>
      <x:c r="C652" t="str">
        <x:v>sold</x:v>
      </x:c>
      <x:c r="D652" t="str">
        <x:v>present</x:v>
      </x:c>
      <x:c r="E652" t="str">
        <x:v>baseline</x:v>
      </x:c>
      <x:c r="F652" s="11" t="n">
        <x:v>46252.68496519676</x:v>
      </x:c>
      <x:c r="G652" t="str">
        <x:v>flat</x:v>
      </x:c>
      <x:c r="H652" s="12" t="n">
        <x:v>2</x:v>
      </x:c>
      <x:c r="I652" s="13" t="n">
        <x:v>11</x:v>
      </x:c>
      <x:c r="J652" t="str">
        <x:v>E</x:v>
      </x:c>
      <x:c r="K652" s="14" t="n">
        <x:v>49.88</x:v>
      </x:c>
      <x:c r="L652" s="14"/>
      <x:c r="M652" s="14"/>
      <x:c r="N652" s="14"/>
      <x:c r="O652" s="14"/>
      <x:c r="P652" s="14" t="n">
        <x:v>6.58</x:v>
      </x:c>
      <x:c r="Q652" s="14" t="n">
        <x:v>56.46</x:v>
      </x:c>
      <x:c r="R652" s="15"/>
      <x:c r="S652" s="15"/>
      <x:c r="T652" s="15"/>
      <x:c r="U652" s="16"/>
      <x:c r="V652" t="str">
        <x:v>JTRE</x:v>
      </x:c>
      <x:c r="W652" t="str">
        <x:v>Ružinov</x:v>
      </x:c>
      <x:c r="X652" s="11" t="str">
        <x:v>Predaný</x:v>
      </x:c>
      <x:c r="Y652" s="11" t="str">
        <x:v>https://d-y.sk/byty/e11.07/</x:v>
      </x:c>
      <x:c r="Z652" s="11" t="n">
        <x:v>46252.68496519676</x:v>
      </x:c>
      <x:c r="AA652" s="11" t="n">
        <x:v>46254.51251577547</x:v>
      </x:c>
      <x:c r="AB652" s="11" t="n">
        <x:v>46254.51251577547</x:v>
      </x:c>
      <x:c r="AC652" t="str">
        <x:v>downtown_yards</x:v>
      </x:c>
    </x:row>
    <x:row r="653" ht="22" customHeight="1">
      <x:c r="A653" t="str">
        <x:v>Downtown Yards</x:v>
      </x:c>
      <x:c r="B653" t="str">
        <x:v>E11.08</x:v>
      </x:c>
      <x:c r="C653" t="str">
        <x:v>sold</x:v>
      </x:c>
      <x:c r="D653" t="str">
        <x:v>present</x:v>
      </x:c>
      <x:c r="E653" t="str">
        <x:v>baseline</x:v>
      </x:c>
      <x:c r="F653" s="11" t="n">
        <x:v>46252.68496519676</x:v>
      </x:c>
      <x:c r="G653" t="str">
        <x:v>flat</x:v>
      </x:c>
      <x:c r="H653" s="12" t="n">
        <x:v>2</x:v>
      </x:c>
      <x:c r="I653" s="13" t="n">
        <x:v>11</x:v>
      </x:c>
      <x:c r="J653" t="str">
        <x:v>E</x:v>
      </x:c>
      <x:c r="K653" s="14" t="n">
        <x:v>52.1</x:v>
      </x:c>
      <x:c r="L653" s="14"/>
      <x:c r="M653" s="14"/>
      <x:c r="N653" s="14"/>
      <x:c r="O653" s="14"/>
      <x:c r="P653" s="14" t="n">
        <x:v>6.58</x:v>
      </x:c>
      <x:c r="Q653" s="14" t="n">
        <x:v>58.68</x:v>
      </x:c>
      <x:c r="R653" s="15"/>
      <x:c r="S653" s="15"/>
      <x:c r="T653" s="15"/>
      <x:c r="U653" s="16"/>
      <x:c r="V653" t="str">
        <x:v>JTRE</x:v>
      </x:c>
      <x:c r="W653" t="str">
        <x:v>Ružinov</x:v>
      </x:c>
      <x:c r="X653" s="11" t="str">
        <x:v>Predaný</x:v>
      </x:c>
      <x:c r="Y653" s="11" t="str">
        <x:v>https://d-y.sk/byty/e11.08/</x:v>
      </x:c>
      <x:c r="Z653" s="11" t="n">
        <x:v>46252.68496519676</x:v>
      </x:c>
      <x:c r="AA653" s="11" t="n">
        <x:v>46254.51251577547</x:v>
      </x:c>
      <x:c r="AB653" s="11" t="n">
        <x:v>46254.51251577547</x:v>
      </x:c>
      <x:c r="AC653" t="str">
        <x:v>downtown_yards</x:v>
      </x:c>
    </x:row>
    <x:row r="654" ht="22" customHeight="1">
      <x:c r="A654" t="str">
        <x:v>Downtown Yards</x:v>
      </x:c>
      <x:c r="B654" t="str">
        <x:v>E11.09</x:v>
      </x:c>
      <x:c r="C654" t="str">
        <x:v>sold</x:v>
      </x:c>
      <x:c r="D654" t="str">
        <x:v>present</x:v>
      </x:c>
      <x:c r="E654" t="str">
        <x:v>baseline</x:v>
      </x:c>
      <x:c r="F654" s="11" t="n">
        <x:v>46252.68496519676</x:v>
      </x:c>
      <x:c r="G654" t="str">
        <x:v>flat</x:v>
      </x:c>
      <x:c r="H654" s="12" t="n">
        <x:v>3</x:v>
      </x:c>
      <x:c r="I654" s="13" t="n">
        <x:v>11</x:v>
      </x:c>
      <x:c r="J654" t="str">
        <x:v>E</x:v>
      </x:c>
      <x:c r="K654" s="14" t="n">
        <x:v>79.81</x:v>
      </x:c>
      <x:c r="L654" s="14"/>
      <x:c r="M654" s="14"/>
      <x:c r="N654" s="14"/>
      <x:c r="O654" s="14"/>
      <x:c r="P654" s="14" t="n">
        <x:v>12.1</x:v>
      </x:c>
      <x:c r="Q654" s="14" t="n">
        <x:v>91.91</x:v>
      </x:c>
      <x:c r="R654" s="15"/>
      <x:c r="S654" s="15"/>
      <x:c r="T654" s="15"/>
      <x:c r="U654" s="16"/>
      <x:c r="V654" t="str">
        <x:v>JTRE</x:v>
      </x:c>
      <x:c r="W654" t="str">
        <x:v>Ružinov</x:v>
      </x:c>
      <x:c r="X654" s="11" t="str">
        <x:v>Predaný</x:v>
      </x:c>
      <x:c r="Y654" s="11" t="str">
        <x:v>https://d-y.sk/byty/e11.09/</x:v>
      </x:c>
      <x:c r="Z654" s="11" t="n">
        <x:v>46252.68496519676</x:v>
      </x:c>
      <x:c r="AA654" s="11" t="n">
        <x:v>46254.51251577547</x:v>
      </x:c>
      <x:c r="AB654" s="11" t="n">
        <x:v>46254.51251577547</x:v>
      </x:c>
      <x:c r="AC654" t="str">
        <x:v>downtown_yards</x:v>
      </x:c>
    </x:row>
    <x:row r="655" ht="22" customHeight="1">
      <x:c r="A655" t="str">
        <x:v>Downtown Yards</x:v>
      </x:c>
      <x:c r="B655" t="str">
        <x:v>E11.10</x:v>
      </x:c>
      <x:c r="C655" t="str">
        <x:v>sold</x:v>
      </x:c>
      <x:c r="D655" t="str">
        <x:v>present</x:v>
      </x:c>
      <x:c r="E655" t="str">
        <x:v>baseline</x:v>
      </x:c>
      <x:c r="F655" s="11" t="n">
        <x:v>46252.68496519676</x:v>
      </x:c>
      <x:c r="G655" t="str">
        <x:v>flat</x:v>
      </x:c>
      <x:c r="H655" s="12" t="n">
        <x:v>1</x:v>
      </x:c>
      <x:c r="I655" s="13" t="n">
        <x:v>11</x:v>
      </x:c>
      <x:c r="J655" t="str">
        <x:v>E</x:v>
      </x:c>
      <x:c r="K655" s="14" t="n">
        <x:v>30.66</x:v>
      </x:c>
      <x:c r="L655" s="14"/>
      <x:c r="M655" s="14"/>
      <x:c r="N655" s="14"/>
      <x:c r="O655" s="14"/>
      <x:c r="P655" s="14" t="n">
        <x:v>3.23</x:v>
      </x:c>
      <x:c r="Q655" s="14" t="n">
        <x:v>33.89</x:v>
      </x:c>
      <x:c r="R655" s="15"/>
      <x:c r="S655" s="15"/>
      <x:c r="T655" s="15"/>
      <x:c r="U655" s="16"/>
      <x:c r="V655" t="str">
        <x:v>JTRE</x:v>
      </x:c>
      <x:c r="W655" t="str">
        <x:v>Ružinov</x:v>
      </x:c>
      <x:c r="X655" s="11" t="str">
        <x:v>Predaný</x:v>
      </x:c>
      <x:c r="Y655" s="11" t="str">
        <x:v>https://d-y.sk/byty/e11.10/</x:v>
      </x:c>
      <x:c r="Z655" s="11" t="n">
        <x:v>46252.68496519676</x:v>
      </x:c>
      <x:c r="AA655" s="11" t="n">
        <x:v>46254.51251577547</x:v>
      </x:c>
      <x:c r="AB655" s="11" t="n">
        <x:v>46254.51251577547</x:v>
      </x:c>
      <x:c r="AC655" t="str">
        <x:v>downtown_yards</x:v>
      </x:c>
    </x:row>
    <x:row r="656" ht="22" customHeight="1">
      <x:c r="A656" t="str">
        <x:v>Downtown Yards</x:v>
      </x:c>
      <x:c r="B656" t="str">
        <x:v>E12.01</x:v>
      </x:c>
      <x:c r="C656" t="str">
        <x:v>sold</x:v>
      </x:c>
      <x:c r="D656" t="str">
        <x:v>present</x:v>
      </x:c>
      <x:c r="E656" t="str">
        <x:v>baseline</x:v>
      </x:c>
      <x:c r="F656" s="11" t="n">
        <x:v>46252.68496519676</x:v>
      </x:c>
      <x:c r="G656" t="str">
        <x:v>flat</x:v>
      </x:c>
      <x:c r="H656" s="12" t="n">
        <x:v>1</x:v>
      </x:c>
      <x:c r="I656" s="13" t="n">
        <x:v>12</x:v>
      </x:c>
      <x:c r="J656" t="str">
        <x:v>E</x:v>
      </x:c>
      <x:c r="K656" s="14" t="n">
        <x:v>30.91</x:v>
      </x:c>
      <x:c r="L656" s="14"/>
      <x:c r="M656" s="14"/>
      <x:c r="N656" s="14"/>
      <x:c r="O656" s="14"/>
      <x:c r="P656" s="14" t="n">
        <x:v>3.13</x:v>
      </x:c>
      <x:c r="Q656" s="14" t="n">
        <x:v>34.04</x:v>
      </x:c>
      <x:c r="R656" s="15"/>
      <x:c r="S656" s="15"/>
      <x:c r="T656" s="15"/>
      <x:c r="U656" s="16"/>
      <x:c r="V656" t="str">
        <x:v>JTRE</x:v>
      </x:c>
      <x:c r="W656" t="str">
        <x:v>Ružinov</x:v>
      </x:c>
      <x:c r="X656" s="11" t="str">
        <x:v>Predaný</x:v>
      </x:c>
      <x:c r="Y656" s="11" t="str">
        <x:v>https://d-y.sk/byty/e12.01/</x:v>
      </x:c>
      <x:c r="Z656" s="11" t="n">
        <x:v>46252.68496519676</x:v>
      </x:c>
      <x:c r="AA656" s="11" t="n">
        <x:v>46254.51251577547</x:v>
      </x:c>
      <x:c r="AB656" s="11" t="n">
        <x:v>46254.51251577547</x:v>
      </x:c>
      <x:c r="AC656" t="str">
        <x:v>downtown_yards</x:v>
      </x:c>
    </x:row>
    <x:row r="657" ht="22" customHeight="1">
      <x:c r="A657" t="str">
        <x:v>Downtown Yards</x:v>
      </x:c>
      <x:c r="B657" t="str">
        <x:v>E12.02</x:v>
      </x:c>
      <x:c r="C657" t="str">
        <x:v>sold</x:v>
      </x:c>
      <x:c r="D657" t="str">
        <x:v>present</x:v>
      </x:c>
      <x:c r="E657" t="str">
        <x:v>baseline</x:v>
      </x:c>
      <x:c r="F657" s="11" t="n">
        <x:v>46252.68496519676</x:v>
      </x:c>
      <x:c r="G657" t="str">
        <x:v>flat</x:v>
      </x:c>
      <x:c r="H657" s="12" t="n">
        <x:v>3</x:v>
      </x:c>
      <x:c r="I657" s="13" t="n">
        <x:v>12</x:v>
      </x:c>
      <x:c r="J657" t="str">
        <x:v>E</x:v>
      </x:c>
      <x:c r="K657" s="14" t="n">
        <x:v>81.26</x:v>
      </x:c>
      <x:c r="L657" s="14"/>
      <x:c r="M657" s="14"/>
      <x:c r="N657" s="14"/>
      <x:c r="O657" s="14"/>
      <x:c r="P657" s="14" t="n">
        <x:v>13.63</x:v>
      </x:c>
      <x:c r="Q657" s="14" t="n">
        <x:v>94.89</x:v>
      </x:c>
      <x:c r="R657" s="15"/>
      <x:c r="S657" s="15"/>
      <x:c r="T657" s="15"/>
      <x:c r="U657" s="16"/>
      <x:c r="V657" t="str">
        <x:v>JTRE</x:v>
      </x:c>
      <x:c r="W657" t="str">
        <x:v>Ružinov</x:v>
      </x:c>
      <x:c r="X657" s="11" t="str">
        <x:v>Predaný</x:v>
      </x:c>
      <x:c r="Y657" s="11" t="str">
        <x:v>https://d-y.sk/byty/e12.02/</x:v>
      </x:c>
      <x:c r="Z657" s="11" t="n">
        <x:v>46252.68496519676</x:v>
      </x:c>
      <x:c r="AA657" s="11" t="n">
        <x:v>46254.51251577547</x:v>
      </x:c>
      <x:c r="AB657" s="11" t="n">
        <x:v>46254.51251577547</x:v>
      </x:c>
      <x:c r="AC657" t="str">
        <x:v>downtown_yards</x:v>
      </x:c>
    </x:row>
    <x:row r="658" ht="22" customHeight="1">
      <x:c r="A658" t="str">
        <x:v>Downtown Yards</x:v>
      </x:c>
      <x:c r="B658" t="str">
        <x:v>E12.03</x:v>
      </x:c>
      <x:c r="C658" t="str">
        <x:v>sold</x:v>
      </x:c>
      <x:c r="D658" t="str">
        <x:v>present</x:v>
      </x:c>
      <x:c r="E658" t="str">
        <x:v>baseline</x:v>
      </x:c>
      <x:c r="F658" s="11" t="n">
        <x:v>46252.68496519676</x:v>
      </x:c>
      <x:c r="G658" t="str">
        <x:v>flat</x:v>
      </x:c>
      <x:c r="H658" s="12" t="n">
        <x:v>2</x:v>
      </x:c>
      <x:c r="I658" s="13" t="n">
        <x:v>12</x:v>
      </x:c>
      <x:c r="J658" t="str">
        <x:v>E</x:v>
      </x:c>
      <x:c r="K658" s="14" t="n">
        <x:v>52.22</x:v>
      </x:c>
      <x:c r="L658" s="14"/>
      <x:c r="M658" s="14"/>
      <x:c r="N658" s="14"/>
      <x:c r="O658" s="14"/>
      <x:c r="P658" s="14" t="n">
        <x:v>8.67</x:v>
      </x:c>
      <x:c r="Q658" s="14" t="n">
        <x:v>60.89</x:v>
      </x:c>
      <x:c r="R658" s="15"/>
      <x:c r="S658" s="15"/>
      <x:c r="T658" s="15"/>
      <x:c r="U658" s="16"/>
      <x:c r="V658" t="str">
        <x:v>JTRE</x:v>
      </x:c>
      <x:c r="W658" t="str">
        <x:v>Ružinov</x:v>
      </x:c>
      <x:c r="X658" s="11" t="str">
        <x:v>Predaný</x:v>
      </x:c>
      <x:c r="Y658" s="11" t="str">
        <x:v>https://d-y.sk/byty/e12.03/</x:v>
      </x:c>
      <x:c r="Z658" s="11" t="n">
        <x:v>46252.68496519676</x:v>
      </x:c>
      <x:c r="AA658" s="11" t="n">
        <x:v>46254.51251577547</x:v>
      </x:c>
      <x:c r="AB658" s="11" t="n">
        <x:v>46254.51251577547</x:v>
      </x:c>
      <x:c r="AC658" t="str">
        <x:v>downtown_yards</x:v>
      </x:c>
    </x:row>
    <x:row r="659" ht="22" customHeight="1">
      <x:c r="A659" t="str">
        <x:v>Downtown Yards</x:v>
      </x:c>
      <x:c r="B659" t="str">
        <x:v>E12.04</x:v>
      </x:c>
      <x:c r="C659" t="str">
        <x:v>sold</x:v>
      </x:c>
      <x:c r="D659" t="str">
        <x:v>present</x:v>
      </x:c>
      <x:c r="E659" t="str">
        <x:v>baseline</x:v>
      </x:c>
      <x:c r="F659" s="11" t="n">
        <x:v>46252.68496519676</x:v>
      </x:c>
      <x:c r="G659" t="str">
        <x:v>flat</x:v>
      </x:c>
      <x:c r="H659" s="12" t="n">
        <x:v>2</x:v>
      </x:c>
      <x:c r="I659" s="13" t="n">
        <x:v>12</x:v>
      </x:c>
      <x:c r="J659" t="str">
        <x:v>E</x:v>
      </x:c>
      <x:c r="K659" s="14" t="n">
        <x:v>51.73</x:v>
      </x:c>
      <x:c r="L659" s="14"/>
      <x:c r="M659" s="14"/>
      <x:c r="N659" s="14"/>
      <x:c r="O659" s="14"/>
      <x:c r="P659" s="14" t="n">
        <x:v>8.67</x:v>
      </x:c>
      <x:c r="Q659" s="14" t="n">
        <x:v>60.4</x:v>
      </x:c>
      <x:c r="R659" s="15"/>
      <x:c r="S659" s="15"/>
      <x:c r="T659" s="15"/>
      <x:c r="U659" s="16"/>
      <x:c r="V659" t="str">
        <x:v>JTRE</x:v>
      </x:c>
      <x:c r="W659" t="str">
        <x:v>Ružinov</x:v>
      </x:c>
      <x:c r="X659" s="11" t="str">
        <x:v>Predaný</x:v>
      </x:c>
      <x:c r="Y659" s="11" t="str">
        <x:v>https://d-y.sk/byty/e12.04/</x:v>
      </x:c>
      <x:c r="Z659" s="11" t="n">
        <x:v>46252.68496519676</x:v>
      </x:c>
      <x:c r="AA659" s="11" t="n">
        <x:v>46254.51251577547</x:v>
      </x:c>
      <x:c r="AB659" s="11" t="n">
        <x:v>46254.51251577547</x:v>
      </x:c>
      <x:c r="AC659" t="str">
        <x:v>downtown_yards</x:v>
      </x:c>
    </x:row>
    <x:row r="660" ht="22" customHeight="1">
      <x:c r="A660" t="str">
        <x:v>Downtown Yards</x:v>
      </x:c>
      <x:c r="B660" t="str">
        <x:v>E12.05</x:v>
      </x:c>
      <x:c r="C660" t="str">
        <x:v>sold</x:v>
      </x:c>
      <x:c r="D660" t="str">
        <x:v>present</x:v>
      </x:c>
      <x:c r="E660" t="str">
        <x:v>baseline</x:v>
      </x:c>
      <x:c r="F660" s="11" t="n">
        <x:v>46252.68496519676</x:v>
      </x:c>
      <x:c r="G660" t="str">
        <x:v>flat</x:v>
      </x:c>
      <x:c r="H660" s="12" t="n">
        <x:v>3</x:v>
      </x:c>
      <x:c r="I660" s="13" t="n">
        <x:v>12</x:v>
      </x:c>
      <x:c r="J660" t="str">
        <x:v>E</x:v>
      </x:c>
      <x:c r="K660" s="14" t="n">
        <x:v>81.58</x:v>
      </x:c>
      <x:c r="L660" s="14"/>
      <x:c r="M660" s="14"/>
      <x:c r="N660" s="14"/>
      <x:c r="O660" s="14"/>
      <x:c r="P660" s="14" t="n">
        <x:v>8.67</x:v>
      </x:c>
      <x:c r="Q660" s="14" t="n">
        <x:v>90.25</x:v>
      </x:c>
      <x:c r="R660" s="15"/>
      <x:c r="S660" s="15"/>
      <x:c r="T660" s="15"/>
      <x:c r="U660" s="16"/>
      <x:c r="V660" t="str">
        <x:v>JTRE</x:v>
      </x:c>
      <x:c r="W660" t="str">
        <x:v>Ružinov</x:v>
      </x:c>
      <x:c r="X660" s="11" t="str">
        <x:v>Predaný</x:v>
      </x:c>
      <x:c r="Y660" s="11" t="str">
        <x:v>https://d-y.sk/byty/e12.05/</x:v>
      </x:c>
      <x:c r="Z660" s="11" t="n">
        <x:v>46252.68496519676</x:v>
      </x:c>
      <x:c r="AA660" s="11" t="n">
        <x:v>46254.51251577547</x:v>
      </x:c>
      <x:c r="AB660" s="11" t="n">
        <x:v>46254.51251577547</x:v>
      </x:c>
      <x:c r="AC660" t="str">
        <x:v>downtown_yards</x:v>
      </x:c>
    </x:row>
    <x:row r="661" ht="22" customHeight="1">
      <x:c r="A661" t="str">
        <x:v>Downtown Yards</x:v>
      </x:c>
      <x:c r="B661" t="str">
        <x:v>E12.06</x:v>
      </x:c>
      <x:c r="C661" t="str">
        <x:v>sold</x:v>
      </x:c>
      <x:c r="D661" t="str">
        <x:v>present</x:v>
      </x:c>
      <x:c r="E661" t="str">
        <x:v>baseline</x:v>
      </x:c>
      <x:c r="F661" s="11" t="n">
        <x:v>46252.68496519676</x:v>
      </x:c>
      <x:c r="G661" t="str">
        <x:v>flat</x:v>
      </x:c>
      <x:c r="H661" s="12" t="n">
        <x:v>3</x:v>
      </x:c>
      <x:c r="I661" s="13" t="n">
        <x:v>12</x:v>
      </x:c>
      <x:c r="J661" t="str">
        <x:v>E</x:v>
      </x:c>
      <x:c r="K661" s="14" t="n">
        <x:v>81.7</x:v>
      </x:c>
      <x:c r="L661" s="14"/>
      <x:c r="M661" s="14"/>
      <x:c r="N661" s="14"/>
      <x:c r="O661" s="14"/>
      <x:c r="P661" s="14" t="n">
        <x:v>6.58</x:v>
      </x:c>
      <x:c r="Q661" s="14" t="n">
        <x:v>88.28</x:v>
      </x:c>
      <x:c r="R661" s="15"/>
      <x:c r="S661" s="15"/>
      <x:c r="T661" s="15"/>
      <x:c r="U661" s="16"/>
      <x:c r="V661" t="str">
        <x:v>JTRE</x:v>
      </x:c>
      <x:c r="W661" t="str">
        <x:v>Ružinov</x:v>
      </x:c>
      <x:c r="X661" s="11" t="str">
        <x:v>Predaný</x:v>
      </x:c>
      <x:c r="Y661" s="11" t="str">
        <x:v>https://d-y.sk/byty/e12.06/</x:v>
      </x:c>
      <x:c r="Z661" s="11" t="n">
        <x:v>46252.68496519676</x:v>
      </x:c>
      <x:c r="AA661" s="11" t="n">
        <x:v>46254.51251577547</x:v>
      </x:c>
      <x:c r="AB661" s="11" t="n">
        <x:v>46254.51251577547</x:v>
      </x:c>
      <x:c r="AC661" t="str">
        <x:v>downtown_yards</x:v>
      </x:c>
    </x:row>
    <x:row r="662" ht="22" customHeight="1">
      <x:c r="A662" t="str">
        <x:v>Downtown Yards</x:v>
      </x:c>
      <x:c r="B662" t="str">
        <x:v>E12.07</x:v>
      </x:c>
      <x:c r="C662" t="str">
        <x:v>sold</x:v>
      </x:c>
      <x:c r="D662" t="str">
        <x:v>present</x:v>
      </x:c>
      <x:c r="E662" t="str">
        <x:v>baseline</x:v>
      </x:c>
      <x:c r="F662" s="11" t="n">
        <x:v>46252.68496519676</x:v>
      </x:c>
      <x:c r="G662" t="str">
        <x:v>flat</x:v>
      </x:c>
      <x:c r="H662" s="12" t="n">
        <x:v>2</x:v>
      </x:c>
      <x:c r="I662" s="13" t="n">
        <x:v>12</x:v>
      </x:c>
      <x:c r="J662" t="str">
        <x:v>E</x:v>
      </x:c>
      <x:c r="K662" s="14" t="n">
        <x:v>49.88</x:v>
      </x:c>
      <x:c r="L662" s="14"/>
      <x:c r="M662" s="14"/>
      <x:c r="N662" s="14"/>
      <x:c r="O662" s="14"/>
      <x:c r="P662" s="14" t="n">
        <x:v>6.58</x:v>
      </x:c>
      <x:c r="Q662" s="14" t="n">
        <x:v>56.46</x:v>
      </x:c>
      <x:c r="R662" s="15"/>
      <x:c r="S662" s="15"/>
      <x:c r="T662" s="15"/>
      <x:c r="U662" s="16"/>
      <x:c r="V662" t="str">
        <x:v>JTRE</x:v>
      </x:c>
      <x:c r="W662" t="str">
        <x:v>Ružinov</x:v>
      </x:c>
      <x:c r="X662" s="11" t="str">
        <x:v>Predaný</x:v>
      </x:c>
      <x:c r="Y662" s="11" t="str">
        <x:v>https://d-y.sk/byty/e12.07/</x:v>
      </x:c>
      <x:c r="Z662" s="11" t="n">
        <x:v>46252.68496519676</x:v>
      </x:c>
      <x:c r="AA662" s="11" t="n">
        <x:v>46254.51251577547</x:v>
      </x:c>
      <x:c r="AB662" s="11" t="n">
        <x:v>46254.51251577547</x:v>
      </x:c>
      <x:c r="AC662" t="str">
        <x:v>downtown_yards</x:v>
      </x:c>
    </x:row>
    <x:row r="663" ht="22" customHeight="1">
      <x:c r="A663" t="str">
        <x:v>Downtown Yards</x:v>
      </x:c>
      <x:c r="B663" t="str">
        <x:v>E12.08</x:v>
      </x:c>
      <x:c r="C663" t="str">
        <x:v>sold</x:v>
      </x:c>
      <x:c r="D663" t="str">
        <x:v>present</x:v>
      </x:c>
      <x:c r="E663" t="str">
        <x:v>baseline</x:v>
      </x:c>
      <x:c r="F663" s="11" t="n">
        <x:v>46252.68496519676</x:v>
      </x:c>
      <x:c r="G663" t="str">
        <x:v>flat</x:v>
      </x:c>
      <x:c r="H663" s="12" t="n">
        <x:v>2</x:v>
      </x:c>
      <x:c r="I663" s="13" t="n">
        <x:v>12</x:v>
      </x:c>
      <x:c r="J663" t="str">
        <x:v>E</x:v>
      </x:c>
      <x:c r="K663" s="14" t="n">
        <x:v>52.1</x:v>
      </x:c>
      <x:c r="L663" s="14"/>
      <x:c r="M663" s="14"/>
      <x:c r="N663" s="14"/>
      <x:c r="O663" s="14"/>
      <x:c r="P663" s="14" t="n">
        <x:v>6.58</x:v>
      </x:c>
      <x:c r="Q663" s="14" t="n">
        <x:v>58.68</x:v>
      </x:c>
      <x:c r="R663" s="15"/>
      <x:c r="S663" s="15"/>
      <x:c r="T663" s="15"/>
      <x:c r="U663" s="16"/>
      <x:c r="V663" t="str">
        <x:v>JTRE</x:v>
      </x:c>
      <x:c r="W663" t="str">
        <x:v>Ružinov</x:v>
      </x:c>
      <x:c r="X663" s="11" t="str">
        <x:v>Predaný</x:v>
      </x:c>
      <x:c r="Y663" s="11" t="str">
        <x:v>https://d-y.sk/byty/e12.08/</x:v>
      </x:c>
      <x:c r="Z663" s="11" t="n">
        <x:v>46252.68496519676</x:v>
      </x:c>
      <x:c r="AA663" s="11" t="n">
        <x:v>46254.51251577547</x:v>
      </x:c>
      <x:c r="AB663" s="11" t="n">
        <x:v>46254.51251577547</x:v>
      </x:c>
      <x:c r="AC663" t="str">
        <x:v>downtown_yards</x:v>
      </x:c>
    </x:row>
    <x:row r="664" ht="22" customHeight="1">
      <x:c r="A664" t="str">
        <x:v>Downtown Yards</x:v>
      </x:c>
      <x:c r="B664" t="str">
        <x:v>E12.09</x:v>
      </x:c>
      <x:c r="C664" t="str">
        <x:v>sold</x:v>
      </x:c>
      <x:c r="D664" t="str">
        <x:v>present</x:v>
      </x:c>
      <x:c r="E664" t="str">
        <x:v>baseline</x:v>
      </x:c>
      <x:c r="F664" s="11" t="n">
        <x:v>46252.68496519676</x:v>
      </x:c>
      <x:c r="G664" t="str">
        <x:v>flat</x:v>
      </x:c>
      <x:c r="H664" s="12" t="n">
        <x:v>3</x:v>
      </x:c>
      <x:c r="I664" s="13" t="n">
        <x:v>12</x:v>
      </x:c>
      <x:c r="J664" t="str">
        <x:v>E</x:v>
      </x:c>
      <x:c r="K664" s="14" t="n">
        <x:v>79.81</x:v>
      </x:c>
      <x:c r="L664" s="14"/>
      <x:c r="M664" s="14"/>
      <x:c r="N664" s="14"/>
      <x:c r="O664" s="14"/>
      <x:c r="P664" s="14" t="n">
        <x:v>12.1</x:v>
      </x:c>
      <x:c r="Q664" s="14" t="n">
        <x:v>91.91</x:v>
      </x:c>
      <x:c r="R664" s="15"/>
      <x:c r="S664" s="15"/>
      <x:c r="T664" s="15"/>
      <x:c r="U664" s="16"/>
      <x:c r="V664" t="str">
        <x:v>JTRE</x:v>
      </x:c>
      <x:c r="W664" t="str">
        <x:v>Ružinov</x:v>
      </x:c>
      <x:c r="X664" s="11" t="str">
        <x:v>Predaný</x:v>
      </x:c>
      <x:c r="Y664" s="11" t="str">
        <x:v>https://d-y.sk/byty/e12.09/</x:v>
      </x:c>
      <x:c r="Z664" s="11" t="n">
        <x:v>46252.68496519676</x:v>
      </x:c>
      <x:c r="AA664" s="11" t="n">
        <x:v>46254.51251577547</x:v>
      </x:c>
      <x:c r="AB664" s="11" t="n">
        <x:v>46254.51251577547</x:v>
      </x:c>
      <x:c r="AC664" t="str">
        <x:v>downtown_yards</x:v>
      </x:c>
    </x:row>
    <x:row r="665" ht="22" customHeight="1">
      <x:c r="A665" t="str">
        <x:v>Downtown Yards</x:v>
      </x:c>
      <x:c r="B665" t="str">
        <x:v>E12.10</x:v>
      </x:c>
      <x:c r="C665" t="str">
        <x:v>sold</x:v>
      </x:c>
      <x:c r="D665" t="str">
        <x:v>present</x:v>
      </x:c>
      <x:c r="E665" t="str">
        <x:v>baseline</x:v>
      </x:c>
      <x:c r="F665" s="11" t="n">
        <x:v>46252.68496519676</x:v>
      </x:c>
      <x:c r="G665" t="str">
        <x:v>flat</x:v>
      </x:c>
      <x:c r="H665" s="12" t="n">
        <x:v>1</x:v>
      </x:c>
      <x:c r="I665" s="13" t="n">
        <x:v>12</x:v>
      </x:c>
      <x:c r="J665" t="str">
        <x:v>E</x:v>
      </x:c>
      <x:c r="K665" s="14" t="n">
        <x:v>30.66</x:v>
      </x:c>
      <x:c r="L665" s="14"/>
      <x:c r="M665" s="14"/>
      <x:c r="N665" s="14"/>
      <x:c r="O665" s="14"/>
      <x:c r="P665" s="14" t="n">
        <x:v>3.23</x:v>
      </x:c>
      <x:c r="Q665" s="14" t="n">
        <x:v>33.89</x:v>
      </x:c>
      <x:c r="R665" s="15"/>
      <x:c r="S665" s="15"/>
      <x:c r="T665" s="15"/>
      <x:c r="U665" s="16"/>
      <x:c r="V665" t="str">
        <x:v>JTRE</x:v>
      </x:c>
      <x:c r="W665" t="str">
        <x:v>Ružinov</x:v>
      </x:c>
      <x:c r="X665" s="11" t="str">
        <x:v>Predaný</x:v>
      </x:c>
      <x:c r="Y665" s="11" t="str">
        <x:v>https://d-y.sk/byty/e12.10/</x:v>
      </x:c>
      <x:c r="Z665" s="11" t="n">
        <x:v>46252.68496519676</x:v>
      </x:c>
      <x:c r="AA665" s="11" t="n">
        <x:v>46254.51251577547</x:v>
      </x:c>
      <x:c r="AB665" s="11" t="n">
        <x:v>46254.51251577547</x:v>
      </x:c>
      <x:c r="AC665" t="str">
        <x:v>downtown_yards</x:v>
      </x:c>
    </x:row>
    <x:row r="666" ht="22" customHeight="1">
      <x:c r="A666" t="str">
        <x:v>Downtown Yards</x:v>
      </x:c>
      <x:c r="B666" t="str">
        <x:v>E13.01</x:v>
      </x:c>
      <x:c r="C666" t="str">
        <x:v>sold</x:v>
      </x:c>
      <x:c r="D666" t="str">
        <x:v>present</x:v>
      </x:c>
      <x:c r="E666" t="str">
        <x:v>baseline</x:v>
      </x:c>
      <x:c r="F666" s="11" t="n">
        <x:v>46252.68496519676</x:v>
      </x:c>
      <x:c r="G666" t="str">
        <x:v>flat</x:v>
      </x:c>
      <x:c r="H666" s="12" t="n">
        <x:v>1</x:v>
      </x:c>
      <x:c r="I666" s="13" t="n">
        <x:v>13</x:v>
      </x:c>
      <x:c r="J666" t="str">
        <x:v>E</x:v>
      </x:c>
      <x:c r="K666" s="14" t="n">
        <x:v>30.91</x:v>
      </x:c>
      <x:c r="L666" s="14"/>
      <x:c r="M666" s="14"/>
      <x:c r="N666" s="14"/>
      <x:c r="O666" s="14"/>
      <x:c r="P666" s="14" t="n">
        <x:v>3.13</x:v>
      </x:c>
      <x:c r="Q666" s="14" t="n">
        <x:v>34.04</x:v>
      </x:c>
      <x:c r="R666" s="15"/>
      <x:c r="S666" s="15"/>
      <x:c r="T666" s="15"/>
      <x:c r="U666" s="16"/>
      <x:c r="V666" t="str">
        <x:v>JTRE</x:v>
      </x:c>
      <x:c r="W666" t="str">
        <x:v>Ružinov</x:v>
      </x:c>
      <x:c r="X666" s="11" t="str">
        <x:v>Predaný</x:v>
      </x:c>
      <x:c r="Y666" s="11" t="str">
        <x:v>https://d-y.sk/byty/e13.01/</x:v>
      </x:c>
      <x:c r="Z666" s="11" t="n">
        <x:v>46252.68496519676</x:v>
      </x:c>
      <x:c r="AA666" s="11" t="n">
        <x:v>46254.51251577547</x:v>
      </x:c>
      <x:c r="AB666" s="11" t="n">
        <x:v>46254.51251577547</x:v>
      </x:c>
      <x:c r="AC666" t="str">
        <x:v>downtown_yards</x:v>
      </x:c>
    </x:row>
    <x:row r="667" ht="22" customHeight="1">
      <x:c r="A667" t="str">
        <x:v>Downtown Yards</x:v>
      </x:c>
      <x:c r="B667" t="str">
        <x:v>E13.02</x:v>
      </x:c>
      <x:c r="C667" t="str">
        <x:v>sold</x:v>
      </x:c>
      <x:c r="D667" t="str">
        <x:v>present</x:v>
      </x:c>
      <x:c r="E667" t="str">
        <x:v>baseline</x:v>
      </x:c>
      <x:c r="F667" s="11" t="n">
        <x:v>46252.68496519676</x:v>
      </x:c>
      <x:c r="G667" t="str">
        <x:v>flat</x:v>
      </x:c>
      <x:c r="H667" s="12" t="n">
        <x:v>3</x:v>
      </x:c>
      <x:c r="I667" s="13" t="n">
        <x:v>13</x:v>
      </x:c>
      <x:c r="J667" t="str">
        <x:v>E</x:v>
      </x:c>
      <x:c r="K667" s="14" t="n">
        <x:v>81.26</x:v>
      </x:c>
      <x:c r="L667" s="14"/>
      <x:c r="M667" s="14"/>
      <x:c r="N667" s="14"/>
      <x:c r="O667" s="14"/>
      <x:c r="P667" s="14" t="n">
        <x:v>13.63</x:v>
      </x:c>
      <x:c r="Q667" s="14" t="n">
        <x:v>94.89</x:v>
      </x:c>
      <x:c r="R667" s="15"/>
      <x:c r="S667" s="15"/>
      <x:c r="T667" s="15"/>
      <x:c r="U667" s="16"/>
      <x:c r="V667" t="str">
        <x:v>JTRE</x:v>
      </x:c>
      <x:c r="W667" t="str">
        <x:v>Ružinov</x:v>
      </x:c>
      <x:c r="X667" s="11" t="str">
        <x:v>Predaný</x:v>
      </x:c>
      <x:c r="Y667" s="11" t="str">
        <x:v>https://d-y.sk/byty/e13.02/</x:v>
      </x:c>
      <x:c r="Z667" s="11" t="n">
        <x:v>46252.68496519676</x:v>
      </x:c>
      <x:c r="AA667" s="11" t="n">
        <x:v>46254.51251577547</x:v>
      </x:c>
      <x:c r="AB667" s="11" t="n">
        <x:v>46254.51251577547</x:v>
      </x:c>
      <x:c r="AC667" t="str">
        <x:v>downtown_yards</x:v>
      </x:c>
    </x:row>
    <x:row r="668" ht="22" customHeight="1">
      <x:c r="A668" t="str">
        <x:v>Downtown Yards</x:v>
      </x:c>
      <x:c r="B668" t="str">
        <x:v>E13.03</x:v>
      </x:c>
      <x:c r="C668" t="str">
        <x:v>sold</x:v>
      </x:c>
      <x:c r="D668" t="str">
        <x:v>present</x:v>
      </x:c>
      <x:c r="E668" t="str">
        <x:v>baseline</x:v>
      </x:c>
      <x:c r="F668" s="11" t="n">
        <x:v>46252.68496519676</x:v>
      </x:c>
      <x:c r="G668" t="str">
        <x:v>flat</x:v>
      </x:c>
      <x:c r="H668" s="12" t="n">
        <x:v>2</x:v>
      </x:c>
      <x:c r="I668" s="13" t="n">
        <x:v>13</x:v>
      </x:c>
      <x:c r="J668" t="str">
        <x:v>E</x:v>
      </x:c>
      <x:c r="K668" s="14" t="n">
        <x:v>52.22</x:v>
      </x:c>
      <x:c r="L668" s="14"/>
      <x:c r="M668" s="14"/>
      <x:c r="N668" s="14"/>
      <x:c r="O668" s="14"/>
      <x:c r="P668" s="14" t="n">
        <x:v>8.67</x:v>
      </x:c>
      <x:c r="Q668" s="14" t="n">
        <x:v>60.89</x:v>
      </x:c>
      <x:c r="R668" s="15"/>
      <x:c r="S668" s="15"/>
      <x:c r="T668" s="15"/>
      <x:c r="U668" s="16"/>
      <x:c r="V668" t="str">
        <x:v>JTRE</x:v>
      </x:c>
      <x:c r="W668" t="str">
        <x:v>Ružinov</x:v>
      </x:c>
      <x:c r="X668" s="11" t="str">
        <x:v>Predaný</x:v>
      </x:c>
      <x:c r="Y668" s="11" t="str">
        <x:v>https://d-y.sk/byty/e13.03/</x:v>
      </x:c>
      <x:c r="Z668" s="11" t="n">
        <x:v>46252.68496519676</x:v>
      </x:c>
      <x:c r="AA668" s="11" t="n">
        <x:v>46254.51251577547</x:v>
      </x:c>
      <x:c r="AB668" s="11" t="n">
        <x:v>46254.51251577547</x:v>
      </x:c>
      <x:c r="AC668" t="str">
        <x:v>downtown_yards</x:v>
      </x:c>
    </x:row>
    <x:row r="669" ht="22" customHeight="1">
      <x:c r="A669" t="str">
        <x:v>Downtown Yards</x:v>
      </x:c>
      <x:c r="B669" t="str">
        <x:v>E13.04</x:v>
      </x:c>
      <x:c r="C669" t="str">
        <x:v>sold</x:v>
      </x:c>
      <x:c r="D669" t="str">
        <x:v>present</x:v>
      </x:c>
      <x:c r="E669" t="str">
        <x:v>baseline</x:v>
      </x:c>
      <x:c r="F669" s="11" t="n">
        <x:v>46252.68496519676</x:v>
      </x:c>
      <x:c r="G669" t="str">
        <x:v>flat</x:v>
      </x:c>
      <x:c r="H669" s="12" t="n">
        <x:v>2</x:v>
      </x:c>
      <x:c r="I669" s="13" t="n">
        <x:v>13</x:v>
      </x:c>
      <x:c r="J669" t="str">
        <x:v>E</x:v>
      </x:c>
      <x:c r="K669" s="14" t="n">
        <x:v>51.73</x:v>
      </x:c>
      <x:c r="L669" s="14"/>
      <x:c r="M669" s="14"/>
      <x:c r="N669" s="14"/>
      <x:c r="O669" s="14"/>
      <x:c r="P669" s="14" t="n">
        <x:v>8.67</x:v>
      </x:c>
      <x:c r="Q669" s="14" t="n">
        <x:v>60.4</x:v>
      </x:c>
      <x:c r="R669" s="15"/>
      <x:c r="S669" s="15"/>
      <x:c r="T669" s="15"/>
      <x:c r="U669" s="16"/>
      <x:c r="V669" t="str">
        <x:v>JTRE</x:v>
      </x:c>
      <x:c r="W669" t="str">
        <x:v>Ružinov</x:v>
      </x:c>
      <x:c r="X669" s="11" t="str">
        <x:v>Predaný</x:v>
      </x:c>
      <x:c r="Y669" s="11" t="str">
        <x:v>https://d-y.sk/byty/e13.04/</x:v>
      </x:c>
      <x:c r="Z669" s="11" t="n">
        <x:v>46252.68496519676</x:v>
      </x:c>
      <x:c r="AA669" s="11" t="n">
        <x:v>46254.51251577547</x:v>
      </x:c>
      <x:c r="AB669" s="11" t="n">
        <x:v>46254.51251577547</x:v>
      </x:c>
      <x:c r="AC669" t="str">
        <x:v>downtown_yards</x:v>
      </x:c>
    </x:row>
    <x:row r="670" ht="22" customHeight="1">
      <x:c r="A670" t="str">
        <x:v>Downtown Yards</x:v>
      </x:c>
      <x:c r="B670" t="str">
        <x:v>E13.05</x:v>
      </x:c>
      <x:c r="C670" t="str">
        <x:v>sold</x:v>
      </x:c>
      <x:c r="D670" t="str">
        <x:v>present</x:v>
      </x:c>
      <x:c r="E670" t="str">
        <x:v>baseline</x:v>
      </x:c>
      <x:c r="F670" s="11" t="n">
        <x:v>46252.68496519676</x:v>
      </x:c>
      <x:c r="G670" t="str">
        <x:v>flat</x:v>
      </x:c>
      <x:c r="H670" s="12" t="n">
        <x:v>3</x:v>
      </x:c>
      <x:c r="I670" s="13" t="n">
        <x:v>13</x:v>
      </x:c>
      <x:c r="J670" t="str">
        <x:v>E</x:v>
      </x:c>
      <x:c r="K670" s="14" t="n">
        <x:v>81.58</x:v>
      </x:c>
      <x:c r="L670" s="14"/>
      <x:c r="M670" s="14"/>
      <x:c r="N670" s="14"/>
      <x:c r="O670" s="14"/>
      <x:c r="P670" s="14" t="n">
        <x:v>8.67</x:v>
      </x:c>
      <x:c r="Q670" s="14" t="n">
        <x:v>90.25</x:v>
      </x:c>
      <x:c r="R670" s="15"/>
      <x:c r="S670" s="15"/>
      <x:c r="T670" s="15"/>
      <x:c r="U670" s="16"/>
      <x:c r="V670" t="str">
        <x:v>JTRE</x:v>
      </x:c>
      <x:c r="W670" t="str">
        <x:v>Ružinov</x:v>
      </x:c>
      <x:c r="X670" s="11" t="str">
        <x:v>Predaný</x:v>
      </x:c>
      <x:c r="Y670" s="11" t="str">
        <x:v>https://d-y.sk/byty/e13.05/</x:v>
      </x:c>
      <x:c r="Z670" s="11" t="n">
        <x:v>46252.68496519676</x:v>
      </x:c>
      <x:c r="AA670" s="11" t="n">
        <x:v>46254.51251577547</x:v>
      </x:c>
      <x:c r="AB670" s="11" t="n">
        <x:v>46254.51251577547</x:v>
      </x:c>
      <x:c r="AC670" t="str">
        <x:v>downtown_yards</x:v>
      </x:c>
    </x:row>
    <x:row r="671" ht="22" customHeight="1">
      <x:c r="A671" t="str">
        <x:v>Downtown Yards</x:v>
      </x:c>
      <x:c r="B671" t="str">
        <x:v>E13.06</x:v>
      </x:c>
      <x:c r="C671" t="str">
        <x:v>sold</x:v>
      </x:c>
      <x:c r="D671" t="str">
        <x:v>present</x:v>
      </x:c>
      <x:c r="E671" t="str">
        <x:v>baseline</x:v>
      </x:c>
      <x:c r="F671" s="11" t="n">
        <x:v>46252.68496519676</x:v>
      </x:c>
      <x:c r="G671" t="str">
        <x:v>flat</x:v>
      </x:c>
      <x:c r="H671" s="12" t="n">
        <x:v>3</x:v>
      </x:c>
      <x:c r="I671" s="13" t="n">
        <x:v>13</x:v>
      </x:c>
      <x:c r="J671" t="str">
        <x:v>E</x:v>
      </x:c>
      <x:c r="K671" s="14" t="n">
        <x:v>81.7</x:v>
      </x:c>
      <x:c r="L671" s="14"/>
      <x:c r="M671" s="14"/>
      <x:c r="N671" s="14"/>
      <x:c r="O671" s="14"/>
      <x:c r="P671" s="14" t="n">
        <x:v>6.58</x:v>
      </x:c>
      <x:c r="Q671" s="14" t="n">
        <x:v>88.28</x:v>
      </x:c>
      <x:c r="R671" s="15"/>
      <x:c r="S671" s="15"/>
      <x:c r="T671" s="15"/>
      <x:c r="U671" s="16"/>
      <x:c r="V671" t="str">
        <x:v>JTRE</x:v>
      </x:c>
      <x:c r="W671" t="str">
        <x:v>Ružinov</x:v>
      </x:c>
      <x:c r="X671" s="11" t="str">
        <x:v>Predaný</x:v>
      </x:c>
      <x:c r="Y671" s="11" t="str">
        <x:v>https://d-y.sk/byty/e13.06/</x:v>
      </x:c>
      <x:c r="Z671" s="11" t="n">
        <x:v>46252.68496519676</x:v>
      </x:c>
      <x:c r="AA671" s="11" t="n">
        <x:v>46254.51251577547</x:v>
      </x:c>
      <x:c r="AB671" s="11" t="n">
        <x:v>46254.51251577547</x:v>
      </x:c>
      <x:c r="AC671" t="str">
        <x:v>downtown_yards</x:v>
      </x:c>
    </x:row>
    <x:row r="672" ht="22" customHeight="1">
      <x:c r="A672" t="str">
        <x:v>Downtown Yards</x:v>
      </x:c>
      <x:c r="B672" t="str">
        <x:v>E13.07</x:v>
      </x:c>
      <x:c r="C672" t="str">
        <x:v>sold</x:v>
      </x:c>
      <x:c r="D672" t="str">
        <x:v>present</x:v>
      </x:c>
      <x:c r="E672" t="str">
        <x:v>baseline</x:v>
      </x:c>
      <x:c r="F672" s="11" t="n">
        <x:v>46252.68496519676</x:v>
      </x:c>
      <x:c r="G672" t="str">
        <x:v>flat</x:v>
      </x:c>
      <x:c r="H672" s="12" t="n">
        <x:v>2</x:v>
      </x:c>
      <x:c r="I672" s="13" t="n">
        <x:v>13</x:v>
      </x:c>
      <x:c r="J672" t="str">
        <x:v>E</x:v>
      </x:c>
      <x:c r="K672" s="14" t="n">
        <x:v>49.88</x:v>
      </x:c>
      <x:c r="L672" s="14"/>
      <x:c r="M672" s="14"/>
      <x:c r="N672" s="14"/>
      <x:c r="O672" s="14"/>
      <x:c r="P672" s="14" t="n">
        <x:v>6.58</x:v>
      </x:c>
      <x:c r="Q672" s="14" t="n">
        <x:v>56.46</x:v>
      </x:c>
      <x:c r="R672" s="15"/>
      <x:c r="S672" s="15"/>
      <x:c r="T672" s="15"/>
      <x:c r="U672" s="16"/>
      <x:c r="V672" t="str">
        <x:v>JTRE</x:v>
      </x:c>
      <x:c r="W672" t="str">
        <x:v>Ružinov</x:v>
      </x:c>
      <x:c r="X672" s="11" t="str">
        <x:v>Predaný</x:v>
      </x:c>
      <x:c r="Y672" s="11" t="str">
        <x:v>https://d-y.sk/byty/e13.07/</x:v>
      </x:c>
      <x:c r="Z672" s="11" t="n">
        <x:v>46252.68496519676</x:v>
      </x:c>
      <x:c r="AA672" s="11" t="n">
        <x:v>46254.51251577547</x:v>
      </x:c>
      <x:c r="AB672" s="11" t="n">
        <x:v>46254.51251577547</x:v>
      </x:c>
      <x:c r="AC672" t="str">
        <x:v>downtown_yards</x:v>
      </x:c>
    </x:row>
    <x:row r="673" ht="22" customHeight="1">
      <x:c r="A673" t="str">
        <x:v>Downtown Yards</x:v>
      </x:c>
      <x:c r="B673" t="str">
        <x:v>E13.08</x:v>
      </x:c>
      <x:c r="C673" t="str">
        <x:v>sold</x:v>
      </x:c>
      <x:c r="D673" t="str">
        <x:v>present</x:v>
      </x:c>
      <x:c r="E673" t="str">
        <x:v>baseline</x:v>
      </x:c>
      <x:c r="F673" s="11" t="n">
        <x:v>46252.68496519676</x:v>
      </x:c>
      <x:c r="G673" t="str">
        <x:v>flat</x:v>
      </x:c>
      <x:c r="H673" s="12" t="n">
        <x:v>2</x:v>
      </x:c>
      <x:c r="I673" s="13" t="n">
        <x:v>13</x:v>
      </x:c>
      <x:c r="J673" t="str">
        <x:v>E</x:v>
      </x:c>
      <x:c r="K673" s="14" t="n">
        <x:v>52.1</x:v>
      </x:c>
      <x:c r="L673" s="14"/>
      <x:c r="M673" s="14"/>
      <x:c r="N673" s="14"/>
      <x:c r="O673" s="14"/>
      <x:c r="P673" s="14" t="n">
        <x:v>6.58</x:v>
      </x:c>
      <x:c r="Q673" s="14" t="n">
        <x:v>58.68</x:v>
      </x:c>
      <x:c r="R673" s="15"/>
      <x:c r="S673" s="15"/>
      <x:c r="T673" s="15"/>
      <x:c r="U673" s="16"/>
      <x:c r="V673" t="str">
        <x:v>JTRE</x:v>
      </x:c>
      <x:c r="W673" t="str">
        <x:v>Ružinov</x:v>
      </x:c>
      <x:c r="X673" s="11" t="str">
        <x:v>Predaný</x:v>
      </x:c>
      <x:c r="Y673" s="11" t="str">
        <x:v>https://d-y.sk/byty/e13.08/</x:v>
      </x:c>
      <x:c r="Z673" s="11" t="n">
        <x:v>46252.68496519676</x:v>
      </x:c>
      <x:c r="AA673" s="11" t="n">
        <x:v>46254.51251577547</x:v>
      </x:c>
      <x:c r="AB673" s="11" t="n">
        <x:v>46254.51251577547</x:v>
      </x:c>
      <x:c r="AC673" t="str">
        <x:v>downtown_yards</x:v>
      </x:c>
    </x:row>
    <x:row r="674" ht="22" customHeight="1">
      <x:c r="A674" t="str">
        <x:v>Downtown Yards</x:v>
      </x:c>
      <x:c r="B674" t="str">
        <x:v>E13.09</x:v>
      </x:c>
      <x:c r="C674" t="str">
        <x:v>sold</x:v>
      </x:c>
      <x:c r="D674" t="str">
        <x:v>present</x:v>
      </x:c>
      <x:c r="E674" t="str">
        <x:v>baseline</x:v>
      </x:c>
      <x:c r="F674" s="11" t="n">
        <x:v>46252.68496519676</x:v>
      </x:c>
      <x:c r="G674" t="str">
        <x:v>flat</x:v>
      </x:c>
      <x:c r="H674" s="12" t="n">
        <x:v>3</x:v>
      </x:c>
      <x:c r="I674" s="13" t="n">
        <x:v>13</x:v>
      </x:c>
      <x:c r="J674" t="str">
        <x:v>E</x:v>
      </x:c>
      <x:c r="K674" s="14" t="n">
        <x:v>79.81</x:v>
      </x:c>
      <x:c r="L674" s="14"/>
      <x:c r="M674" s="14"/>
      <x:c r="N674" s="14"/>
      <x:c r="O674" s="14"/>
      <x:c r="P674" s="14" t="n">
        <x:v>12.1</x:v>
      </x:c>
      <x:c r="Q674" s="14" t="n">
        <x:v>91.91</x:v>
      </x:c>
      <x:c r="R674" s="15"/>
      <x:c r="S674" s="15"/>
      <x:c r="T674" s="15"/>
      <x:c r="U674" s="16"/>
      <x:c r="V674" t="str">
        <x:v>JTRE</x:v>
      </x:c>
      <x:c r="W674" t="str">
        <x:v>Ružinov</x:v>
      </x:c>
      <x:c r="X674" s="11" t="str">
        <x:v>Predaný</x:v>
      </x:c>
      <x:c r="Y674" s="11" t="str">
        <x:v>https://d-y.sk/byty/e13.09/</x:v>
      </x:c>
      <x:c r="Z674" s="11" t="n">
        <x:v>46252.68496519676</x:v>
      </x:c>
      <x:c r="AA674" s="11" t="n">
        <x:v>46254.51251577547</x:v>
      </x:c>
      <x:c r="AB674" s="11" t="n">
        <x:v>46254.51251577547</x:v>
      </x:c>
      <x:c r="AC674" t="str">
        <x:v>downtown_yards</x:v>
      </x:c>
    </x:row>
    <x:row r="675" ht="22" customHeight="1">
      <x:c r="A675" t="str">
        <x:v>Downtown Yards</x:v>
      </x:c>
      <x:c r="B675" t="str">
        <x:v>E13.10</x:v>
      </x:c>
      <x:c r="C675" t="str">
        <x:v>available</x:v>
      </x:c>
      <x:c r="D675" t="str">
        <x:v>present</x:v>
      </x:c>
      <x:c r="E675" t="str">
        <x:v>baseline</x:v>
      </x:c>
      <x:c r="F675" s="11" t="n">
        <x:v>46252.68496519676</x:v>
      </x:c>
      <x:c r="G675" t="str">
        <x:v>flat</x:v>
      </x:c>
      <x:c r="H675" s="12" t="n">
        <x:v>1</x:v>
      </x:c>
      <x:c r="I675" s="13" t="n">
        <x:v>13</x:v>
      </x:c>
      <x:c r="J675" t="str">
        <x:v>E</x:v>
      </x:c>
      <x:c r="K675" s="14" t="n">
        <x:v>30.66</x:v>
      </x:c>
      <x:c r="L675" s="14"/>
      <x:c r="M675" s="14"/>
      <x:c r="N675" s="14"/>
      <x:c r="O675" s="14"/>
      <x:c r="P675" s="14" t="n">
        <x:v>3.23</x:v>
      </x:c>
      <x:c r="Q675" s="14" t="n">
        <x:v>33.89</x:v>
      </x:c>
      <x:c r="R675" s="15" t="n">
        <x:v>268263</x:v>
      </x:c>
      <x:c r="S675" s="15" t="n">
        <x:v>286098</x:v>
      </x:c>
      <x:c r="T675" s="15" t="n">
        <x:v>268263</x:v>
      </x:c>
      <x:c r="U675" s="16" t="n">
        <x:v>8749.61</x:v>
      </x:c>
      <x:c r="V675" t="str">
        <x:v>JTRE</x:v>
      </x:c>
      <x:c r="W675" t="str">
        <x:v>Ružinov</x:v>
      </x:c>
      <x:c r="X675" s="11" t="str">
        <x:v>Voľný</x:v>
      </x:c>
      <x:c r="Y675" s="11" t="str">
        <x:v>https://d-y.sk/byty/e13.10/</x:v>
      </x:c>
      <x:c r="Z675" s="11" t="n">
        <x:v>46252.68496519676</x:v>
      </x:c>
      <x:c r="AA675" s="11" t="n">
        <x:v>46254.51251577547</x:v>
      </x:c>
      <x:c r="AB675" s="11" t="n">
        <x:v>46254.51251577547</x:v>
      </x:c>
      <x:c r="AC675" t="str">
        <x:v>downtown_yards</x:v>
      </x:c>
    </x:row>
    <x:row r="676" ht="22" customHeight="1">
      <x:c r="A676" t="str">
        <x:v>Downtown Yards</x:v>
      </x:c>
      <x:c r="B676" t="str">
        <x:v>E14.01</x:v>
      </x:c>
      <x:c r="C676" t="str">
        <x:v>sold</x:v>
      </x:c>
      <x:c r="D676" t="str">
        <x:v>present</x:v>
      </x:c>
      <x:c r="E676" t="str">
        <x:v>baseline</x:v>
      </x:c>
      <x:c r="F676" s="11" t="n">
        <x:v>46252.68496519676</x:v>
      </x:c>
      <x:c r="G676" t="str">
        <x:v>flat</x:v>
      </x:c>
      <x:c r="H676" s="12" t="n">
        <x:v>4</x:v>
      </x:c>
      <x:c r="I676" s="13" t="n">
        <x:v>14</x:v>
      </x:c>
      <x:c r="J676" t="str">
        <x:v>E</x:v>
      </x:c>
      <x:c r="K676" s="14" t="n">
        <x:v>114.16</x:v>
      </x:c>
      <x:c r="L676" s="14"/>
      <x:c r="M676" s="14"/>
      <x:c r="N676" s="14"/>
      <x:c r="O676" s="14"/>
      <x:c r="P676" s="14" t="n">
        <x:v>16.76</x:v>
      </x:c>
      <x:c r="Q676" s="14" t="n">
        <x:v>130.92</x:v>
      </x:c>
      <x:c r="R676" s="15"/>
      <x:c r="S676" s="15"/>
      <x:c r="T676" s="15"/>
      <x:c r="U676" s="16"/>
      <x:c r="V676" t="str">
        <x:v>JTRE</x:v>
      </x:c>
      <x:c r="W676" t="str">
        <x:v>Ružinov</x:v>
      </x:c>
      <x:c r="X676" s="11" t="str">
        <x:v>Predaný</x:v>
      </x:c>
      <x:c r="Y676" s="11" t="str">
        <x:v>https://d-y.sk/byty/e14.01/</x:v>
      </x:c>
      <x:c r="Z676" s="11" t="n">
        <x:v>46252.68496519676</x:v>
      </x:c>
      <x:c r="AA676" s="11" t="n">
        <x:v>46254.51251577547</x:v>
      </x:c>
      <x:c r="AB676" s="11" t="n">
        <x:v>46254.51251577547</x:v>
      </x:c>
      <x:c r="AC676" t="str">
        <x:v>downtown_yards</x:v>
      </x:c>
    </x:row>
    <x:row r="677" ht="22" customHeight="1">
      <x:c r="A677" t="str">
        <x:v>Downtown Yards</x:v>
      </x:c>
      <x:c r="B677" t="str">
        <x:v>E14.02</x:v>
      </x:c>
      <x:c r="C677" t="str">
        <x:v>sold</x:v>
      </x:c>
      <x:c r="D677" t="str">
        <x:v>present</x:v>
      </x:c>
      <x:c r="E677" t="str">
        <x:v>baseline</x:v>
      </x:c>
      <x:c r="F677" s="11" t="n">
        <x:v>46252.68496519676</x:v>
      </x:c>
      <x:c r="G677" t="str">
        <x:v>flat</x:v>
      </x:c>
      <x:c r="H677" s="12" t="n">
        <x:v>2</x:v>
      </x:c>
      <x:c r="I677" s="13" t="n">
        <x:v>14</x:v>
      </x:c>
      <x:c r="J677" t="str">
        <x:v>E</x:v>
      </x:c>
      <x:c r="K677" s="14" t="n">
        <x:v>52.22</x:v>
      </x:c>
      <x:c r="L677" s="14"/>
      <x:c r="M677" s="14"/>
      <x:c r="N677" s="14"/>
      <x:c r="O677" s="14"/>
      <x:c r="P677" s="14" t="n">
        <x:v>8.67</x:v>
      </x:c>
      <x:c r="Q677" s="14" t="n">
        <x:v>60.89</x:v>
      </x:c>
      <x:c r="R677" s="15"/>
      <x:c r="S677" s="15"/>
      <x:c r="T677" s="15"/>
      <x:c r="U677" s="16"/>
      <x:c r="V677" t="str">
        <x:v>JTRE</x:v>
      </x:c>
      <x:c r="W677" t="str">
        <x:v>Ružinov</x:v>
      </x:c>
      <x:c r="X677" s="11" t="str">
        <x:v>Predaný</x:v>
      </x:c>
      <x:c r="Y677" s="11" t="str">
        <x:v>https://d-y.sk/byty/e14.02/</x:v>
      </x:c>
      <x:c r="Z677" s="11" t="n">
        <x:v>46252.68496519676</x:v>
      </x:c>
      <x:c r="AA677" s="11" t="n">
        <x:v>46254.51251577547</x:v>
      </x:c>
      <x:c r="AB677" s="11" t="n">
        <x:v>46254.51251577547</x:v>
      </x:c>
      <x:c r="AC677" t="str">
        <x:v>downtown_yards</x:v>
      </x:c>
    </x:row>
    <x:row r="678" ht="22" customHeight="1">
      <x:c r="A678" t="str">
        <x:v>Downtown Yards</x:v>
      </x:c>
      <x:c r="B678" t="str">
        <x:v>E14.03</x:v>
      </x:c>
      <x:c r="C678" t="str">
        <x:v>sold</x:v>
      </x:c>
      <x:c r="D678" t="str">
        <x:v>present</x:v>
      </x:c>
      <x:c r="E678" t="str">
        <x:v>baseline</x:v>
      </x:c>
      <x:c r="F678" s="11" t="n">
        <x:v>46252.68496519676</x:v>
      </x:c>
      <x:c r="G678" t="str">
        <x:v>flat</x:v>
      </x:c>
      <x:c r="H678" s="12" t="n">
        <x:v>2</x:v>
      </x:c>
      <x:c r="I678" s="13" t="n">
        <x:v>14</x:v>
      </x:c>
      <x:c r="J678" t="str">
        <x:v>E</x:v>
      </x:c>
      <x:c r="K678" s="14" t="n">
        <x:v>51.73</x:v>
      </x:c>
      <x:c r="L678" s="14"/>
      <x:c r="M678" s="14"/>
      <x:c r="N678" s="14"/>
      <x:c r="O678" s="14"/>
      <x:c r="P678" s="14" t="n">
        <x:v>8.67</x:v>
      </x:c>
      <x:c r="Q678" s="14" t="n">
        <x:v>60.4</x:v>
      </x:c>
      <x:c r="R678" s="15"/>
      <x:c r="S678" s="15"/>
      <x:c r="T678" s="15"/>
      <x:c r="U678" s="16"/>
      <x:c r="V678" t="str">
        <x:v>JTRE</x:v>
      </x:c>
      <x:c r="W678" t="str">
        <x:v>Ružinov</x:v>
      </x:c>
      <x:c r="X678" s="11" t="str">
        <x:v>Predaný</x:v>
      </x:c>
      <x:c r="Y678" s="11" t="str">
        <x:v>https://d-y.sk/byty/e14.03/</x:v>
      </x:c>
      <x:c r="Z678" s="11" t="n">
        <x:v>46252.68496519676</x:v>
      </x:c>
      <x:c r="AA678" s="11" t="n">
        <x:v>46254.51251577547</x:v>
      </x:c>
      <x:c r="AB678" s="11" t="n">
        <x:v>46254.51251577547</x:v>
      </x:c>
      <x:c r="AC678" t="str">
        <x:v>downtown_yards</x:v>
      </x:c>
    </x:row>
    <x:row r="679" ht="22" customHeight="1">
      <x:c r="A679" t="str">
        <x:v>Downtown Yards</x:v>
      </x:c>
      <x:c r="B679" t="str">
        <x:v>E14.04</x:v>
      </x:c>
      <x:c r="C679" t="str">
        <x:v>sold</x:v>
      </x:c>
      <x:c r="D679" t="str">
        <x:v>present</x:v>
      </x:c>
      <x:c r="E679" t="str">
        <x:v>baseline</x:v>
      </x:c>
      <x:c r="F679" s="11" t="n">
        <x:v>46252.68496519676</x:v>
      </x:c>
      <x:c r="G679" t="str">
        <x:v>flat</x:v>
      </x:c>
      <x:c r="H679" s="12" t="n">
        <x:v>3</x:v>
      </x:c>
      <x:c r="I679" s="13" t="n">
        <x:v>14</x:v>
      </x:c>
      <x:c r="J679" t="str">
        <x:v>E</x:v>
      </x:c>
      <x:c r="K679" s="14" t="n">
        <x:v>81.58</x:v>
      </x:c>
      <x:c r="L679" s="14"/>
      <x:c r="M679" s="14"/>
      <x:c r="N679" s="14"/>
      <x:c r="O679" s="14"/>
      <x:c r="P679" s="14" t="n">
        <x:v>8.67</x:v>
      </x:c>
      <x:c r="Q679" s="14" t="n">
        <x:v>90.25</x:v>
      </x:c>
      <x:c r="R679" s="15"/>
      <x:c r="S679" s="15"/>
      <x:c r="T679" s="15"/>
      <x:c r="U679" s="16"/>
      <x:c r="V679" t="str">
        <x:v>JTRE</x:v>
      </x:c>
      <x:c r="W679" t="str">
        <x:v>Ružinov</x:v>
      </x:c>
      <x:c r="X679" s="11" t="str">
        <x:v>Predaný</x:v>
      </x:c>
      <x:c r="Y679" s="11" t="str">
        <x:v>https://d-y.sk/byty/e14.04/</x:v>
      </x:c>
      <x:c r="Z679" s="11" t="n">
        <x:v>46252.68496519676</x:v>
      </x:c>
      <x:c r="AA679" s="11" t="n">
        <x:v>46254.51251577547</x:v>
      </x:c>
      <x:c r="AB679" s="11" t="n">
        <x:v>46254.51251577547</x:v>
      </x:c>
      <x:c r="AC679" t="str">
        <x:v>downtown_yards</x:v>
      </x:c>
    </x:row>
    <x:row r="680" ht="22" customHeight="1">
      <x:c r="A680" t="str">
        <x:v>Downtown Yards</x:v>
      </x:c>
      <x:c r="B680" t="str">
        <x:v>E14.05</x:v>
      </x:c>
      <x:c r="C680" t="str">
        <x:v>sold</x:v>
      </x:c>
      <x:c r="D680" t="str">
        <x:v>present</x:v>
      </x:c>
      <x:c r="E680" t="str">
        <x:v>baseline</x:v>
      </x:c>
      <x:c r="F680" s="11" t="n">
        <x:v>46252.68496519676</x:v>
      </x:c>
      <x:c r="G680" t="str">
        <x:v>flat</x:v>
      </x:c>
      <x:c r="H680" s="12" t="n">
        <x:v>3</x:v>
      </x:c>
      <x:c r="I680" s="13" t="n">
        <x:v>14</x:v>
      </x:c>
      <x:c r="J680" t="str">
        <x:v>E</x:v>
      </x:c>
      <x:c r="K680" s="14" t="n">
        <x:v>81.7</x:v>
      </x:c>
      <x:c r="L680" s="14"/>
      <x:c r="M680" s="14"/>
      <x:c r="N680" s="14"/>
      <x:c r="O680" s="14"/>
      <x:c r="P680" s="14" t="n">
        <x:v>6.58</x:v>
      </x:c>
      <x:c r="Q680" s="14" t="n">
        <x:v>88.28</x:v>
      </x:c>
      <x:c r="R680" s="15"/>
      <x:c r="S680" s="15"/>
      <x:c r="T680" s="15"/>
      <x:c r="U680" s="16"/>
      <x:c r="V680" t="str">
        <x:v>JTRE</x:v>
      </x:c>
      <x:c r="W680" t="str">
        <x:v>Ružinov</x:v>
      </x:c>
      <x:c r="X680" s="11" t="str">
        <x:v>Predaný</x:v>
      </x:c>
      <x:c r="Y680" s="11" t="str">
        <x:v>https://d-y.sk/byty/e14.05/</x:v>
      </x:c>
      <x:c r="Z680" s="11" t="n">
        <x:v>46252.68496519676</x:v>
      </x:c>
      <x:c r="AA680" s="11" t="n">
        <x:v>46254.51251577547</x:v>
      </x:c>
      <x:c r="AB680" s="11" t="n">
        <x:v>46254.51251577547</x:v>
      </x:c>
      <x:c r="AC680" t="str">
        <x:v>downtown_yards</x:v>
      </x:c>
    </x:row>
    <x:row r="681" ht="22" customHeight="1">
      <x:c r="A681" t="str">
        <x:v>Downtown Yards</x:v>
      </x:c>
      <x:c r="B681" t="str">
        <x:v>E14.06</x:v>
      </x:c>
      <x:c r="C681" t="str">
        <x:v>sold</x:v>
      </x:c>
      <x:c r="D681" t="str">
        <x:v>present</x:v>
      </x:c>
      <x:c r="E681" t="str">
        <x:v>baseline</x:v>
      </x:c>
      <x:c r="F681" s="11" t="n">
        <x:v>46252.68496519676</x:v>
      </x:c>
      <x:c r="G681" t="str">
        <x:v>flat</x:v>
      </x:c>
      <x:c r="H681" s="12" t="n">
        <x:v>2</x:v>
      </x:c>
      <x:c r="I681" s="13" t="n">
        <x:v>14</x:v>
      </x:c>
      <x:c r="J681" t="str">
        <x:v>E</x:v>
      </x:c>
      <x:c r="K681" s="14" t="n">
        <x:v>49.88</x:v>
      </x:c>
      <x:c r="L681" s="14"/>
      <x:c r="M681" s="14"/>
      <x:c r="N681" s="14"/>
      <x:c r="O681" s="14"/>
      <x:c r="P681" s="14" t="n">
        <x:v>6.58</x:v>
      </x:c>
      <x:c r="Q681" s="14" t="n">
        <x:v>56.46</x:v>
      </x:c>
      <x:c r="R681" s="15"/>
      <x:c r="S681" s="15"/>
      <x:c r="T681" s="15"/>
      <x:c r="U681" s="16"/>
      <x:c r="V681" t="str">
        <x:v>JTRE</x:v>
      </x:c>
      <x:c r="W681" t="str">
        <x:v>Ružinov</x:v>
      </x:c>
      <x:c r="X681" s="11" t="str">
        <x:v>Predaný</x:v>
      </x:c>
      <x:c r="Y681" s="11" t="str">
        <x:v>https://d-y.sk/byty/e14.06/</x:v>
      </x:c>
      <x:c r="Z681" s="11" t="n">
        <x:v>46252.68496519676</x:v>
      </x:c>
      <x:c r="AA681" s="11" t="n">
        <x:v>46254.51251577547</x:v>
      </x:c>
      <x:c r="AB681" s="11" t="n">
        <x:v>46254.51251577547</x:v>
      </x:c>
      <x:c r="AC681" t="str">
        <x:v>downtown_yards</x:v>
      </x:c>
    </x:row>
    <x:row r="682" ht="22" customHeight="1">
      <x:c r="A682" t="str">
        <x:v>Downtown Yards</x:v>
      </x:c>
      <x:c r="B682" t="str">
        <x:v>E14.07</x:v>
      </x:c>
      <x:c r="C682" t="str">
        <x:v>sold</x:v>
      </x:c>
      <x:c r="D682" t="str">
        <x:v>present</x:v>
      </x:c>
      <x:c r="E682" t="str">
        <x:v>baseline</x:v>
      </x:c>
      <x:c r="F682" s="11" t="n">
        <x:v>46252.68496519676</x:v>
      </x:c>
      <x:c r="G682" t="str">
        <x:v>flat</x:v>
      </x:c>
      <x:c r="H682" s="12" t="n">
        <x:v>2</x:v>
      </x:c>
      <x:c r="I682" s="13" t="n">
        <x:v>14</x:v>
      </x:c>
      <x:c r="J682" t="str">
        <x:v>E</x:v>
      </x:c>
      <x:c r="K682" s="14" t="n">
        <x:v>52.1</x:v>
      </x:c>
      <x:c r="L682" s="14"/>
      <x:c r="M682" s="14"/>
      <x:c r="N682" s="14"/>
      <x:c r="O682" s="14"/>
      <x:c r="P682" s="14" t="n">
        <x:v>6.58</x:v>
      </x:c>
      <x:c r="Q682" s="14" t="n">
        <x:v>58.68</x:v>
      </x:c>
      <x:c r="R682" s="15"/>
      <x:c r="S682" s="15"/>
      <x:c r="T682" s="15"/>
      <x:c r="U682" s="16"/>
      <x:c r="V682" t="str">
        <x:v>JTRE</x:v>
      </x:c>
      <x:c r="W682" t="str">
        <x:v>Ružinov</x:v>
      </x:c>
      <x:c r="X682" s="11" t="str">
        <x:v>Predaný</x:v>
      </x:c>
      <x:c r="Y682" s="11" t="str">
        <x:v>https://d-y.sk/byty/e14.07/</x:v>
      </x:c>
      <x:c r="Z682" s="11" t="n">
        <x:v>46252.68496519676</x:v>
      </x:c>
      <x:c r="AA682" s="11" t="n">
        <x:v>46254.51251577547</x:v>
      </x:c>
      <x:c r="AB682" s="11" t="n">
        <x:v>46254.51251577547</x:v>
      </x:c>
      <x:c r="AC682" t="str">
        <x:v>downtown_yards</x:v>
      </x:c>
    </x:row>
    <x:row r="683" ht="22" customHeight="1">
      <x:c r="A683" t="str">
        <x:v>Downtown Yards</x:v>
      </x:c>
      <x:c r="B683" t="str">
        <x:v>E14.08</x:v>
      </x:c>
      <x:c r="C683" t="str">
        <x:v>available</x:v>
      </x:c>
      <x:c r="D683" t="str">
        <x:v>present</x:v>
      </x:c>
      <x:c r="E683" t="str">
        <x:v>baseline</x:v>
      </x:c>
      <x:c r="F683" s="11" t="n">
        <x:v>46252.68496519676</x:v>
      </x:c>
      <x:c r="G683" t="str">
        <x:v>flat</x:v>
      </x:c>
      <x:c r="H683" s="12" t="n">
        <x:v>4</x:v>
      </x:c>
      <x:c r="I683" s="13" t="n">
        <x:v>14</x:v>
      </x:c>
      <x:c r="J683" t="str">
        <x:v>E</x:v>
      </x:c>
      <x:c r="K683" s="14" t="n">
        <x:v>112.93</x:v>
      </x:c>
      <x:c r="L683" s="14"/>
      <x:c r="M683" s="14"/>
      <x:c r="N683" s="14"/>
      <x:c r="O683" s="14"/>
      <x:c r="P683" s="14" t="n">
        <x:v>12.1</x:v>
      </x:c>
      <x:c r="Q683" s="14" t="n">
        <x:v>125.03</x:v>
      </x:c>
      <x:c r="R683" s="15" t="n">
        <x:v>853620</x:v>
      </x:c>
      <x:c r="S683" s="15" t="n">
        <x:v>975513</x:v>
      </x:c>
      <x:c r="T683" s="15" t="n">
        <x:v>853620</x:v>
      </x:c>
      <x:c r="U683" s="16" t="n">
        <x:v>7558.84</x:v>
      </x:c>
      <x:c r="V683" t="str">
        <x:v>JTRE</x:v>
      </x:c>
      <x:c r="W683" t="str">
        <x:v>Ružinov</x:v>
      </x:c>
      <x:c r="X683" s="11" t="str">
        <x:v>Voľný</x:v>
      </x:c>
      <x:c r="Y683" s="11" t="str">
        <x:v>https://d-y.sk/byty/e14.08/</x:v>
      </x:c>
      <x:c r="Z683" s="11" t="n">
        <x:v>46252.68496519676</x:v>
      </x:c>
      <x:c r="AA683" s="11" t="n">
        <x:v>46254.51251577547</x:v>
      </x:c>
      <x:c r="AB683" s="11" t="n">
        <x:v>46254.51251577547</x:v>
      </x:c>
      <x:c r="AC683" t="str">
        <x:v>downtown_yards</x:v>
      </x:c>
    </x:row>
    <x:row r="684" ht="22" customHeight="1">
      <x:c r="A684" t="str">
        <x:v>Downtown Yards</x:v>
      </x:c>
      <x:c r="B684" t="str">
        <x:v>E15.01</x:v>
      </x:c>
      <x:c r="C684" t="str">
        <x:v>sold</x:v>
      </x:c>
      <x:c r="D684" t="str">
        <x:v>present</x:v>
      </x:c>
      <x:c r="E684" t="str">
        <x:v>baseline</x:v>
      </x:c>
      <x:c r="F684" s="11" t="n">
        <x:v>46252.68496519676</x:v>
      </x:c>
      <x:c r="G684" t="str">
        <x:v>flat</x:v>
      </x:c>
      <x:c r="H684" s="12" t="n">
        <x:v>4</x:v>
      </x:c>
      <x:c r="I684" s="13" t="n">
        <x:v>15</x:v>
      </x:c>
      <x:c r="J684" t="str">
        <x:v>E</x:v>
      </x:c>
      <x:c r="K684" s="14" t="n">
        <x:v>114.16</x:v>
      </x:c>
      <x:c r="L684" s="14"/>
      <x:c r="M684" s="14"/>
      <x:c r="N684" s="14"/>
      <x:c r="O684" s="14"/>
      <x:c r="P684" s="14" t="n">
        <x:v>16.76</x:v>
      </x:c>
      <x:c r="Q684" s="14" t="n">
        <x:v>130.92</x:v>
      </x:c>
      <x:c r="R684" s="15"/>
      <x:c r="S684" s="15"/>
      <x:c r="T684" s="15"/>
      <x:c r="U684" s="16"/>
      <x:c r="V684" t="str">
        <x:v>JTRE</x:v>
      </x:c>
      <x:c r="W684" t="str">
        <x:v>Ružinov</x:v>
      </x:c>
      <x:c r="X684" s="11" t="str">
        <x:v>Predaný</x:v>
      </x:c>
      <x:c r="Y684" s="11" t="str">
        <x:v>https://d-y.sk/byty/e15.01/</x:v>
      </x:c>
      <x:c r="Z684" s="11" t="n">
        <x:v>46252.68496519676</x:v>
      </x:c>
      <x:c r="AA684" s="11" t="n">
        <x:v>46254.51251577547</x:v>
      </x:c>
      <x:c r="AB684" s="11" t="n">
        <x:v>46254.51251577547</x:v>
      </x:c>
      <x:c r="AC684" t="str">
        <x:v>downtown_yards</x:v>
      </x:c>
    </x:row>
    <x:row r="685" ht="22" customHeight="1">
      <x:c r="A685" t="str">
        <x:v>Downtown Yards</x:v>
      </x:c>
      <x:c r="B685" t="str">
        <x:v>E15.02</x:v>
      </x:c>
      <x:c r="C685" t="str">
        <x:v>sold</x:v>
      </x:c>
      <x:c r="D685" t="str">
        <x:v>present</x:v>
      </x:c>
      <x:c r="E685" t="str">
        <x:v>baseline</x:v>
      </x:c>
      <x:c r="F685" s="11" t="n">
        <x:v>46252.68496519676</x:v>
      </x:c>
      <x:c r="G685" t="str">
        <x:v>flat</x:v>
      </x:c>
      <x:c r="H685" s="12" t="n">
        <x:v>2</x:v>
      </x:c>
      <x:c r="I685" s="13" t="n">
        <x:v>15</x:v>
      </x:c>
      <x:c r="J685" t="str">
        <x:v>E</x:v>
      </x:c>
      <x:c r="K685" s="14" t="n">
        <x:v>52.22</x:v>
      </x:c>
      <x:c r="L685" s="14"/>
      <x:c r="M685" s="14"/>
      <x:c r="N685" s="14"/>
      <x:c r="O685" s="14"/>
      <x:c r="P685" s="14" t="n">
        <x:v>8.67</x:v>
      </x:c>
      <x:c r="Q685" s="14" t="n">
        <x:v>60.89</x:v>
      </x:c>
      <x:c r="R685" s="15"/>
      <x:c r="S685" s="15"/>
      <x:c r="T685" s="15"/>
      <x:c r="U685" s="16"/>
      <x:c r="V685" t="str">
        <x:v>JTRE</x:v>
      </x:c>
      <x:c r="W685" t="str">
        <x:v>Ružinov</x:v>
      </x:c>
      <x:c r="X685" s="11" t="str">
        <x:v>Predaný</x:v>
      </x:c>
      <x:c r="Y685" s="11" t="str">
        <x:v>https://d-y.sk/byty/e15.02/</x:v>
      </x:c>
      <x:c r="Z685" s="11" t="n">
        <x:v>46252.68496519676</x:v>
      </x:c>
      <x:c r="AA685" s="11" t="n">
        <x:v>46254.51251577547</x:v>
      </x:c>
      <x:c r="AB685" s="11" t="n">
        <x:v>46254.51251577547</x:v>
      </x:c>
      <x:c r="AC685" t="str">
        <x:v>downtown_yards</x:v>
      </x:c>
    </x:row>
    <x:row r="686" ht="22" customHeight="1">
      <x:c r="A686" t="str">
        <x:v>Downtown Yards</x:v>
      </x:c>
      <x:c r="B686" t="str">
        <x:v>E15.03</x:v>
      </x:c>
      <x:c r="C686" t="str">
        <x:v>sold</x:v>
      </x:c>
      <x:c r="D686" t="str">
        <x:v>present</x:v>
      </x:c>
      <x:c r="E686" t="str">
        <x:v>baseline</x:v>
      </x:c>
      <x:c r="F686" s="11" t="n">
        <x:v>46252.68496519676</x:v>
      </x:c>
      <x:c r="G686" t="str">
        <x:v>flat</x:v>
      </x:c>
      <x:c r="H686" s="12" t="n">
        <x:v>2</x:v>
      </x:c>
      <x:c r="I686" s="13" t="n">
        <x:v>15</x:v>
      </x:c>
      <x:c r="J686" t="str">
        <x:v>E</x:v>
      </x:c>
      <x:c r="K686" s="14" t="n">
        <x:v>51.73</x:v>
      </x:c>
      <x:c r="L686" s="14"/>
      <x:c r="M686" s="14"/>
      <x:c r="N686" s="14"/>
      <x:c r="O686" s="14"/>
      <x:c r="P686" s="14" t="n">
        <x:v>8.67</x:v>
      </x:c>
      <x:c r="Q686" s="14" t="n">
        <x:v>60.4</x:v>
      </x:c>
      <x:c r="R686" s="15"/>
      <x:c r="S686" s="15"/>
      <x:c r="T686" s="15"/>
      <x:c r="U686" s="16"/>
      <x:c r="V686" t="str">
        <x:v>JTRE</x:v>
      </x:c>
      <x:c r="W686" t="str">
        <x:v>Ružinov</x:v>
      </x:c>
      <x:c r="X686" s="11" t="str">
        <x:v>Predaný</x:v>
      </x:c>
      <x:c r="Y686" s="11" t="str">
        <x:v>https://d-y.sk/byty/e15.03/</x:v>
      </x:c>
      <x:c r="Z686" s="11" t="n">
        <x:v>46252.68496519676</x:v>
      </x:c>
      <x:c r="AA686" s="11" t="n">
        <x:v>46254.51251577547</x:v>
      </x:c>
      <x:c r="AB686" s="11" t="n">
        <x:v>46254.51251577547</x:v>
      </x:c>
      <x:c r="AC686" t="str">
        <x:v>downtown_yards</x:v>
      </x:c>
    </x:row>
    <x:row r="687" ht="22" customHeight="1">
      <x:c r="A687" t="str">
        <x:v>Downtown Yards</x:v>
      </x:c>
      <x:c r="B687" t="str">
        <x:v>E15.04</x:v>
      </x:c>
      <x:c r="C687" t="str">
        <x:v>sold</x:v>
      </x:c>
      <x:c r="D687" t="str">
        <x:v>present</x:v>
      </x:c>
      <x:c r="E687" t="str">
        <x:v>baseline</x:v>
      </x:c>
      <x:c r="F687" s="11" t="n">
        <x:v>46252.68496519676</x:v>
      </x:c>
      <x:c r="G687" t="str">
        <x:v>flat</x:v>
      </x:c>
      <x:c r="H687" s="12" t="n">
        <x:v>3</x:v>
      </x:c>
      <x:c r="I687" s="13" t="n">
        <x:v>15</x:v>
      </x:c>
      <x:c r="J687" t="str">
        <x:v>E</x:v>
      </x:c>
      <x:c r="K687" s="14" t="n">
        <x:v>81.58</x:v>
      </x:c>
      <x:c r="L687" s="14"/>
      <x:c r="M687" s="14"/>
      <x:c r="N687" s="14"/>
      <x:c r="O687" s="14"/>
      <x:c r="P687" s="14" t="n">
        <x:v>8.67</x:v>
      </x:c>
      <x:c r="Q687" s="14" t="n">
        <x:v>90.25</x:v>
      </x:c>
      <x:c r="R687" s="15"/>
      <x:c r="S687" s="15"/>
      <x:c r="T687" s="15"/>
      <x:c r="U687" s="16"/>
      <x:c r="V687" t="str">
        <x:v>JTRE</x:v>
      </x:c>
      <x:c r="W687" t="str">
        <x:v>Ružinov</x:v>
      </x:c>
      <x:c r="X687" s="11" t="str">
        <x:v>Predaný</x:v>
      </x:c>
      <x:c r="Y687" s="11" t="str">
        <x:v>https://d-y.sk/byty/e15.04/</x:v>
      </x:c>
      <x:c r="Z687" s="11" t="n">
        <x:v>46252.68496519676</x:v>
      </x:c>
      <x:c r="AA687" s="11" t="n">
        <x:v>46254.51251577547</x:v>
      </x:c>
      <x:c r="AB687" s="11" t="n">
        <x:v>46254.51251577547</x:v>
      </x:c>
      <x:c r="AC687" t="str">
        <x:v>downtown_yards</x:v>
      </x:c>
    </x:row>
    <x:row r="688" ht="22" customHeight="1">
      <x:c r="A688" t="str">
        <x:v>Downtown Yards</x:v>
      </x:c>
      <x:c r="B688" t="str">
        <x:v>E15.05</x:v>
      </x:c>
      <x:c r="C688" t="str">
        <x:v>sold</x:v>
      </x:c>
      <x:c r="D688" t="str">
        <x:v>present</x:v>
      </x:c>
      <x:c r="E688" t="str">
        <x:v>baseline</x:v>
      </x:c>
      <x:c r="F688" s="11" t="n">
        <x:v>46252.68496519676</x:v>
      </x:c>
      <x:c r="G688" t="str">
        <x:v>flat</x:v>
      </x:c>
      <x:c r="H688" s="12" t="n">
        <x:v>3</x:v>
      </x:c>
      <x:c r="I688" s="13" t="n">
        <x:v>15</x:v>
      </x:c>
      <x:c r="J688" t="str">
        <x:v>E</x:v>
      </x:c>
      <x:c r="K688" s="14" t="n">
        <x:v>81.7</x:v>
      </x:c>
      <x:c r="L688" s="14"/>
      <x:c r="M688" s="14"/>
      <x:c r="N688" s="14"/>
      <x:c r="O688" s="14"/>
      <x:c r="P688" s="14" t="n">
        <x:v>6.58</x:v>
      </x:c>
      <x:c r="Q688" s="14" t="n">
        <x:v>88.28</x:v>
      </x:c>
      <x:c r="R688" s="15"/>
      <x:c r="S688" s="15"/>
      <x:c r="T688" s="15"/>
      <x:c r="U688" s="16"/>
      <x:c r="V688" t="str">
        <x:v>JTRE</x:v>
      </x:c>
      <x:c r="W688" t="str">
        <x:v>Ružinov</x:v>
      </x:c>
      <x:c r="X688" s="11" t="str">
        <x:v>Predaný</x:v>
      </x:c>
      <x:c r="Y688" s="11" t="str">
        <x:v>https://d-y.sk/byty/e15.05/</x:v>
      </x:c>
      <x:c r="Z688" s="11" t="n">
        <x:v>46252.68496519676</x:v>
      </x:c>
      <x:c r="AA688" s="11" t="n">
        <x:v>46254.51251577547</x:v>
      </x:c>
      <x:c r="AB688" s="11" t="n">
        <x:v>46254.51251577547</x:v>
      </x:c>
      <x:c r="AC688" t="str">
        <x:v>downtown_yards</x:v>
      </x:c>
    </x:row>
    <x:row r="689" ht="22" customHeight="1">
      <x:c r="A689" t="str">
        <x:v>Downtown Yards</x:v>
      </x:c>
      <x:c r="B689" t="str">
        <x:v>E15.06</x:v>
      </x:c>
      <x:c r="C689" t="str">
        <x:v>sold</x:v>
      </x:c>
      <x:c r="D689" t="str">
        <x:v>present</x:v>
      </x:c>
      <x:c r="E689" t="str">
        <x:v>baseline</x:v>
      </x:c>
      <x:c r="F689" s="11" t="n">
        <x:v>46252.68496519676</x:v>
      </x:c>
      <x:c r="G689" t="str">
        <x:v>flat</x:v>
      </x:c>
      <x:c r="H689" s="12" t="n">
        <x:v>2</x:v>
      </x:c>
      <x:c r="I689" s="13" t="n">
        <x:v>15</x:v>
      </x:c>
      <x:c r="J689" t="str">
        <x:v>E</x:v>
      </x:c>
      <x:c r="K689" s="14" t="n">
        <x:v>49.88</x:v>
      </x:c>
      <x:c r="L689" s="14"/>
      <x:c r="M689" s="14"/>
      <x:c r="N689" s="14"/>
      <x:c r="O689" s="14"/>
      <x:c r="P689" s="14" t="n">
        <x:v>6.58</x:v>
      </x:c>
      <x:c r="Q689" s="14" t="n">
        <x:v>56.46</x:v>
      </x:c>
      <x:c r="R689" s="15"/>
      <x:c r="S689" s="15"/>
      <x:c r="T689" s="15"/>
      <x:c r="U689" s="16"/>
      <x:c r="V689" t="str">
        <x:v>JTRE</x:v>
      </x:c>
      <x:c r="W689" t="str">
        <x:v>Ružinov</x:v>
      </x:c>
      <x:c r="X689" s="11" t="str">
        <x:v>Predaný</x:v>
      </x:c>
      <x:c r="Y689" s="11" t="str">
        <x:v>https://d-y.sk/byty/e15.06/</x:v>
      </x:c>
      <x:c r="Z689" s="11" t="n">
        <x:v>46252.68496519676</x:v>
      </x:c>
      <x:c r="AA689" s="11" t="n">
        <x:v>46254.51251577547</x:v>
      </x:c>
      <x:c r="AB689" s="11" t="n">
        <x:v>46254.51251577547</x:v>
      </x:c>
      <x:c r="AC689" t="str">
        <x:v>downtown_yards</x:v>
      </x:c>
    </x:row>
    <x:row r="690" ht="22" customHeight="1">
      <x:c r="A690" t="str">
        <x:v>Downtown Yards</x:v>
      </x:c>
      <x:c r="B690" t="str">
        <x:v>E15.07</x:v>
      </x:c>
      <x:c r="C690" t="str">
        <x:v>sold</x:v>
      </x:c>
      <x:c r="D690" t="str">
        <x:v>present</x:v>
      </x:c>
      <x:c r="E690" t="str">
        <x:v>baseline</x:v>
      </x:c>
      <x:c r="F690" s="11" t="n">
        <x:v>46252.68496519676</x:v>
      </x:c>
      <x:c r="G690" t="str">
        <x:v>flat</x:v>
      </x:c>
      <x:c r="H690" s="12" t="n">
        <x:v>2</x:v>
      </x:c>
      <x:c r="I690" s="13" t="n">
        <x:v>15</x:v>
      </x:c>
      <x:c r="J690" t="str">
        <x:v>E</x:v>
      </x:c>
      <x:c r="K690" s="14" t="n">
        <x:v>52.1</x:v>
      </x:c>
      <x:c r="L690" s="14"/>
      <x:c r="M690" s="14"/>
      <x:c r="N690" s="14"/>
      <x:c r="O690" s="14"/>
      <x:c r="P690" s="14" t="n">
        <x:v>6.58</x:v>
      </x:c>
      <x:c r="Q690" s="14" t="n">
        <x:v>58.68</x:v>
      </x:c>
      <x:c r="R690" s="15"/>
      <x:c r="S690" s="15"/>
      <x:c r="T690" s="15"/>
      <x:c r="U690" s="16"/>
      <x:c r="V690" t="str">
        <x:v>JTRE</x:v>
      </x:c>
      <x:c r="W690" t="str">
        <x:v>Ružinov</x:v>
      </x:c>
      <x:c r="X690" s="11" t="str">
        <x:v>Predaný</x:v>
      </x:c>
      <x:c r="Y690" s="11" t="str">
        <x:v>https://d-y.sk/byty/e15.07/</x:v>
      </x:c>
      <x:c r="Z690" s="11" t="n">
        <x:v>46252.68496519676</x:v>
      </x:c>
      <x:c r="AA690" s="11" t="n">
        <x:v>46254.51251577547</x:v>
      </x:c>
      <x:c r="AB690" s="11" t="n">
        <x:v>46254.51251577547</x:v>
      </x:c>
      <x:c r="AC690" t="str">
        <x:v>downtown_yards</x:v>
      </x:c>
    </x:row>
    <x:row r="691" ht="22" customHeight="1">
      <x:c r="A691" t="str">
        <x:v>Downtown Yards</x:v>
      </x:c>
      <x:c r="B691" t="str">
        <x:v>E15.08</x:v>
      </x:c>
      <x:c r="C691" t="str">
        <x:v>sold</x:v>
      </x:c>
      <x:c r="D691" t="str">
        <x:v>present</x:v>
      </x:c>
      <x:c r="E691" t="str">
        <x:v>baseline</x:v>
      </x:c>
      <x:c r="F691" s="11" t="n">
        <x:v>46252.68496519676</x:v>
      </x:c>
      <x:c r="G691" t="str">
        <x:v>flat</x:v>
      </x:c>
      <x:c r="H691" s="12" t="n">
        <x:v>4</x:v>
      </x:c>
      <x:c r="I691" s="13" t="n">
        <x:v>15</x:v>
      </x:c>
      <x:c r="J691" t="str">
        <x:v>E</x:v>
      </x:c>
      <x:c r="K691" s="14" t="n">
        <x:v>112.93</x:v>
      </x:c>
      <x:c r="L691" s="14"/>
      <x:c r="M691" s="14"/>
      <x:c r="N691" s="14"/>
      <x:c r="O691" s="14"/>
      <x:c r="P691" s="14" t="n">
        <x:v>12.1</x:v>
      </x:c>
      <x:c r="Q691" s="14" t="n">
        <x:v>125.03</x:v>
      </x:c>
      <x:c r="R691" s="15"/>
      <x:c r="S691" s="15"/>
      <x:c r="T691" s="15"/>
      <x:c r="U691" s="16"/>
      <x:c r="V691" t="str">
        <x:v>JTRE</x:v>
      </x:c>
      <x:c r="W691" t="str">
        <x:v>Ružinov</x:v>
      </x:c>
      <x:c r="X691" s="11" t="str">
        <x:v>Predaný</x:v>
      </x:c>
      <x:c r="Y691" s="11" t="str">
        <x:v>https://d-y.sk/byty/e15.08/</x:v>
      </x:c>
      <x:c r="Z691" s="11" t="n">
        <x:v>46252.68496519676</x:v>
      </x:c>
      <x:c r="AA691" s="11" t="n">
        <x:v>46254.51251577547</x:v>
      </x:c>
      <x:c r="AB691" s="11" t="n">
        <x:v>46254.51251577547</x:v>
      </x:c>
      <x:c r="AC691" t="str">
        <x:v>downtown_yards</x:v>
      </x:c>
    </x:row>
    <x:row r="692" ht="22" customHeight="1">
      <x:c r="A692" t="str">
        <x:v>Downtown Yards</x:v>
      </x:c>
      <x:c r="B692" t="str">
        <x:v>E16.01</x:v>
      </x:c>
      <x:c r="C692" t="str">
        <x:v>sold</x:v>
      </x:c>
      <x:c r="D692" t="str">
        <x:v>present</x:v>
      </x:c>
      <x:c r="E692" t="str">
        <x:v>baseline</x:v>
      </x:c>
      <x:c r="F692" s="11" t="n">
        <x:v>46252.68496519676</x:v>
      </x:c>
      <x:c r="G692" t="str">
        <x:v>flat</x:v>
      </x:c>
      <x:c r="H692" s="12" t="n">
        <x:v>4</x:v>
      </x:c>
      <x:c r="I692" s="13" t="n">
        <x:v>16</x:v>
      </x:c>
      <x:c r="J692" t="str">
        <x:v>E</x:v>
      </x:c>
      <x:c r="K692" s="14" t="n">
        <x:v>114.16</x:v>
      </x:c>
      <x:c r="L692" s="14"/>
      <x:c r="M692" s="14"/>
      <x:c r="N692" s="14"/>
      <x:c r="O692" s="14"/>
      <x:c r="P692" s="14" t="n">
        <x:v>16.76</x:v>
      </x:c>
      <x:c r="Q692" s="14" t="n">
        <x:v>130.92</x:v>
      </x:c>
      <x:c r="R692" s="15"/>
      <x:c r="S692" s="15"/>
      <x:c r="T692" s="15"/>
      <x:c r="U692" s="16"/>
      <x:c r="V692" t="str">
        <x:v>JTRE</x:v>
      </x:c>
      <x:c r="W692" t="str">
        <x:v>Ružinov</x:v>
      </x:c>
      <x:c r="X692" s="11" t="str">
        <x:v>Predaný</x:v>
      </x:c>
      <x:c r="Y692" s="11" t="str">
        <x:v>https://d-y.sk/byty/e16.01/</x:v>
      </x:c>
      <x:c r="Z692" s="11" t="n">
        <x:v>46252.68496519676</x:v>
      </x:c>
      <x:c r="AA692" s="11" t="n">
        <x:v>46254.51251577547</x:v>
      </x:c>
      <x:c r="AB692" s="11" t="n">
        <x:v>46254.51251577547</x:v>
      </x:c>
      <x:c r="AC692" t="str">
        <x:v>downtown_yards</x:v>
      </x:c>
    </x:row>
    <x:row r="693" ht="22" customHeight="1">
      <x:c r="A693" t="str">
        <x:v>Downtown Yards</x:v>
      </x:c>
      <x:c r="B693" t="str">
        <x:v>E16.02</x:v>
      </x:c>
      <x:c r="C693" t="str">
        <x:v>sold</x:v>
      </x:c>
      <x:c r="D693" t="str">
        <x:v>present</x:v>
      </x:c>
      <x:c r="E693" t="str">
        <x:v>baseline</x:v>
      </x:c>
      <x:c r="F693" s="11" t="n">
        <x:v>46252.68496519676</x:v>
      </x:c>
      <x:c r="G693" t="str">
        <x:v>flat</x:v>
      </x:c>
      <x:c r="H693" s="12" t="n">
        <x:v>2</x:v>
      </x:c>
      <x:c r="I693" s="13" t="n">
        <x:v>16</x:v>
      </x:c>
      <x:c r="J693" t="str">
        <x:v>E</x:v>
      </x:c>
      <x:c r="K693" s="14" t="n">
        <x:v>52.22</x:v>
      </x:c>
      <x:c r="L693" s="14"/>
      <x:c r="M693" s="14"/>
      <x:c r="N693" s="14"/>
      <x:c r="O693" s="14"/>
      <x:c r="P693" s="14" t="n">
        <x:v>8.67</x:v>
      </x:c>
      <x:c r="Q693" s="14" t="n">
        <x:v>60.89</x:v>
      </x:c>
      <x:c r="R693" s="15"/>
      <x:c r="S693" s="15"/>
      <x:c r="T693" s="15"/>
      <x:c r="U693" s="16"/>
      <x:c r="V693" t="str">
        <x:v>JTRE</x:v>
      </x:c>
      <x:c r="W693" t="str">
        <x:v>Ružinov</x:v>
      </x:c>
      <x:c r="X693" s="11" t="str">
        <x:v>Predaný</x:v>
      </x:c>
      <x:c r="Y693" s="11" t="str">
        <x:v>https://d-y.sk/byty/e16.02/</x:v>
      </x:c>
      <x:c r="Z693" s="11" t="n">
        <x:v>46252.68496519676</x:v>
      </x:c>
      <x:c r="AA693" s="11" t="n">
        <x:v>46254.51251577547</x:v>
      </x:c>
      <x:c r="AB693" s="11" t="n">
        <x:v>46254.51251577547</x:v>
      </x:c>
      <x:c r="AC693" t="str">
        <x:v>downtown_yards</x:v>
      </x:c>
    </x:row>
    <x:row r="694" ht="22" customHeight="1">
      <x:c r="A694" t="str">
        <x:v>Downtown Yards</x:v>
      </x:c>
      <x:c r="B694" t="str">
        <x:v>E16.03</x:v>
      </x:c>
      <x:c r="C694" t="str">
        <x:v>sold</x:v>
      </x:c>
      <x:c r="D694" t="str">
        <x:v>present</x:v>
      </x:c>
      <x:c r="E694" t="str">
        <x:v>baseline</x:v>
      </x:c>
      <x:c r="F694" s="11" t="n">
        <x:v>46252.68496519676</x:v>
      </x:c>
      <x:c r="G694" t="str">
        <x:v>flat</x:v>
      </x:c>
      <x:c r="H694" s="12" t="n">
        <x:v>2</x:v>
      </x:c>
      <x:c r="I694" s="13" t="n">
        <x:v>16</x:v>
      </x:c>
      <x:c r="J694" t="str">
        <x:v>E</x:v>
      </x:c>
      <x:c r="K694" s="14" t="n">
        <x:v>51.73</x:v>
      </x:c>
      <x:c r="L694" s="14"/>
      <x:c r="M694" s="14"/>
      <x:c r="N694" s="14"/>
      <x:c r="O694" s="14"/>
      <x:c r="P694" s="14" t="n">
        <x:v>8.67</x:v>
      </x:c>
      <x:c r="Q694" s="14" t="n">
        <x:v>60.4</x:v>
      </x:c>
      <x:c r="R694" s="15"/>
      <x:c r="S694" s="15"/>
      <x:c r="T694" s="15"/>
      <x:c r="U694" s="16"/>
      <x:c r="V694" t="str">
        <x:v>JTRE</x:v>
      </x:c>
      <x:c r="W694" t="str">
        <x:v>Ružinov</x:v>
      </x:c>
      <x:c r="X694" s="11" t="str">
        <x:v>Predaný</x:v>
      </x:c>
      <x:c r="Y694" s="11" t="str">
        <x:v>https://d-y.sk/byty/e16.03/</x:v>
      </x:c>
      <x:c r="Z694" s="11" t="n">
        <x:v>46252.68496519676</x:v>
      </x:c>
      <x:c r="AA694" s="11" t="n">
        <x:v>46254.51251577547</x:v>
      </x:c>
      <x:c r="AB694" s="11" t="n">
        <x:v>46254.51251577547</x:v>
      </x:c>
      <x:c r="AC694" t="str">
        <x:v>downtown_yards</x:v>
      </x:c>
    </x:row>
    <x:row r="695" ht="22" customHeight="1">
      <x:c r="A695" t="str">
        <x:v>Downtown Yards</x:v>
      </x:c>
      <x:c r="B695" t="str">
        <x:v>E16.04</x:v>
      </x:c>
      <x:c r="C695" t="str">
        <x:v>sold</x:v>
      </x:c>
      <x:c r="D695" t="str">
        <x:v>present</x:v>
      </x:c>
      <x:c r="E695" t="str">
        <x:v>baseline</x:v>
      </x:c>
      <x:c r="F695" s="11" t="n">
        <x:v>46252.68496519676</x:v>
      </x:c>
      <x:c r="G695" t="str">
        <x:v>flat</x:v>
      </x:c>
      <x:c r="H695" s="12" t="n">
        <x:v>3</x:v>
      </x:c>
      <x:c r="I695" s="13" t="n">
        <x:v>16</x:v>
      </x:c>
      <x:c r="J695" t="str">
        <x:v>E</x:v>
      </x:c>
      <x:c r="K695" s="14" t="n">
        <x:v>81.58</x:v>
      </x:c>
      <x:c r="L695" s="14"/>
      <x:c r="M695" s="14"/>
      <x:c r="N695" s="14"/>
      <x:c r="O695" s="14"/>
      <x:c r="P695" s="14" t="n">
        <x:v>8.67</x:v>
      </x:c>
      <x:c r="Q695" s="14" t="n">
        <x:v>90.25</x:v>
      </x:c>
      <x:c r="R695" s="15"/>
      <x:c r="S695" s="15"/>
      <x:c r="T695" s="15"/>
      <x:c r="U695" s="16"/>
      <x:c r="V695" t="str">
        <x:v>JTRE</x:v>
      </x:c>
      <x:c r="W695" t="str">
        <x:v>Ružinov</x:v>
      </x:c>
      <x:c r="X695" s="11" t="str">
        <x:v>Predaný</x:v>
      </x:c>
      <x:c r="Y695" s="11" t="str">
        <x:v>https://d-y.sk/byty/e16.04/</x:v>
      </x:c>
      <x:c r="Z695" s="11" t="n">
        <x:v>46252.68496519676</x:v>
      </x:c>
      <x:c r="AA695" s="11" t="n">
        <x:v>46254.51251577547</x:v>
      </x:c>
      <x:c r="AB695" s="11" t="n">
        <x:v>46254.51251577547</x:v>
      </x:c>
      <x:c r="AC695" t="str">
        <x:v>downtown_yards</x:v>
      </x:c>
    </x:row>
    <x:row r="696" ht="22" customHeight="1">
      <x:c r="A696" t="str">
        <x:v>Downtown Yards</x:v>
      </x:c>
      <x:c r="B696" t="str">
        <x:v>E16.05</x:v>
      </x:c>
      <x:c r="C696" t="str">
        <x:v>sold</x:v>
      </x:c>
      <x:c r="D696" t="str">
        <x:v>present</x:v>
      </x:c>
      <x:c r="E696" t="str">
        <x:v>baseline</x:v>
      </x:c>
      <x:c r="F696" s="11" t="n">
        <x:v>46252.68496519676</x:v>
      </x:c>
      <x:c r="G696" t="str">
        <x:v>flat</x:v>
      </x:c>
      <x:c r="H696" s="12" t="n">
        <x:v>3</x:v>
      </x:c>
      <x:c r="I696" s="13" t="n">
        <x:v>16</x:v>
      </x:c>
      <x:c r="J696" t="str">
        <x:v>E</x:v>
      </x:c>
      <x:c r="K696" s="14" t="n">
        <x:v>81.7</x:v>
      </x:c>
      <x:c r="L696" s="14"/>
      <x:c r="M696" s="14"/>
      <x:c r="N696" s="14"/>
      <x:c r="O696" s="14"/>
      <x:c r="P696" s="14" t="n">
        <x:v>6.58</x:v>
      </x:c>
      <x:c r="Q696" s="14" t="n">
        <x:v>88.28</x:v>
      </x:c>
      <x:c r="R696" s="15"/>
      <x:c r="S696" s="15"/>
      <x:c r="T696" s="15"/>
      <x:c r="U696" s="16"/>
      <x:c r="V696" t="str">
        <x:v>JTRE</x:v>
      </x:c>
      <x:c r="W696" t="str">
        <x:v>Ružinov</x:v>
      </x:c>
      <x:c r="X696" s="11" t="str">
        <x:v>Predaný</x:v>
      </x:c>
      <x:c r="Y696" s="11" t="str">
        <x:v>https://d-y.sk/byty/e16.05/</x:v>
      </x:c>
      <x:c r="Z696" s="11" t="n">
        <x:v>46252.68496519676</x:v>
      </x:c>
      <x:c r="AA696" s="11" t="n">
        <x:v>46254.51251577547</x:v>
      </x:c>
      <x:c r="AB696" s="11" t="n">
        <x:v>46254.51251577547</x:v>
      </x:c>
      <x:c r="AC696" t="str">
        <x:v>downtown_yards</x:v>
      </x:c>
    </x:row>
    <x:row r="697" ht="22" customHeight="1">
      <x:c r="A697" t="str">
        <x:v>Downtown Yards</x:v>
      </x:c>
      <x:c r="B697" t="str">
        <x:v>E16.06</x:v>
      </x:c>
      <x:c r="C697" t="str">
        <x:v>sold</x:v>
      </x:c>
      <x:c r="D697" t="str">
        <x:v>present</x:v>
      </x:c>
      <x:c r="E697" t="str">
        <x:v>baseline</x:v>
      </x:c>
      <x:c r="F697" s="11" t="n">
        <x:v>46252.68496519676</x:v>
      </x:c>
      <x:c r="G697" t="str">
        <x:v>flat</x:v>
      </x:c>
      <x:c r="H697" s="12" t="n">
        <x:v>2</x:v>
      </x:c>
      <x:c r="I697" s="13" t="n">
        <x:v>16</x:v>
      </x:c>
      <x:c r="J697" t="str">
        <x:v>E</x:v>
      </x:c>
      <x:c r="K697" s="14" t="n">
        <x:v>49.88</x:v>
      </x:c>
      <x:c r="L697" s="14"/>
      <x:c r="M697" s="14"/>
      <x:c r="N697" s="14"/>
      <x:c r="O697" s="14"/>
      <x:c r="P697" s="14" t="n">
        <x:v>6.58</x:v>
      </x:c>
      <x:c r="Q697" s="14" t="n">
        <x:v>56.46</x:v>
      </x:c>
      <x:c r="R697" s="15"/>
      <x:c r="S697" s="15"/>
      <x:c r="T697" s="15"/>
      <x:c r="U697" s="16"/>
      <x:c r="V697" t="str">
        <x:v>JTRE</x:v>
      </x:c>
      <x:c r="W697" t="str">
        <x:v>Ružinov</x:v>
      </x:c>
      <x:c r="X697" s="11" t="str">
        <x:v>Predaný</x:v>
      </x:c>
      <x:c r="Y697" s="11" t="str">
        <x:v>https://d-y.sk/byty/e16.06/</x:v>
      </x:c>
      <x:c r="Z697" s="11" t="n">
        <x:v>46252.68496519676</x:v>
      </x:c>
      <x:c r="AA697" s="11" t="n">
        <x:v>46254.51251577547</x:v>
      </x:c>
      <x:c r="AB697" s="11" t="n">
        <x:v>46254.51251577547</x:v>
      </x:c>
      <x:c r="AC697" t="str">
        <x:v>downtown_yards</x:v>
      </x:c>
    </x:row>
    <x:row r="698" ht="22" customHeight="1">
      <x:c r="A698" t="str">
        <x:v>Downtown Yards</x:v>
      </x:c>
      <x:c r="B698" t="str">
        <x:v>E16.07</x:v>
      </x:c>
      <x:c r="C698" t="str">
        <x:v>sold</x:v>
      </x:c>
      <x:c r="D698" t="str">
        <x:v>present</x:v>
      </x:c>
      <x:c r="E698" t="str">
        <x:v>baseline</x:v>
      </x:c>
      <x:c r="F698" s="11" t="n">
        <x:v>46252.68496519676</x:v>
      </x:c>
      <x:c r="G698" t="str">
        <x:v>flat</x:v>
      </x:c>
      <x:c r="H698" s="12" t="n">
        <x:v>2</x:v>
      </x:c>
      <x:c r="I698" s="13" t="n">
        <x:v>16</x:v>
      </x:c>
      <x:c r="J698" t="str">
        <x:v>E</x:v>
      </x:c>
      <x:c r="K698" s="14" t="n">
        <x:v>52.1</x:v>
      </x:c>
      <x:c r="L698" s="14"/>
      <x:c r="M698" s="14"/>
      <x:c r="N698" s="14"/>
      <x:c r="O698" s="14"/>
      <x:c r="P698" s="14" t="n">
        <x:v>6.58</x:v>
      </x:c>
      <x:c r="Q698" s="14" t="n">
        <x:v>58.68</x:v>
      </x:c>
      <x:c r="R698" s="15"/>
      <x:c r="S698" s="15"/>
      <x:c r="T698" s="15"/>
      <x:c r="U698" s="16"/>
      <x:c r="V698" t="str">
        <x:v>JTRE</x:v>
      </x:c>
      <x:c r="W698" t="str">
        <x:v>Ružinov</x:v>
      </x:c>
      <x:c r="X698" s="11" t="str">
        <x:v>Predaný</x:v>
      </x:c>
      <x:c r="Y698" s="11" t="str">
        <x:v>https://d-y.sk/byty/e16.07/</x:v>
      </x:c>
      <x:c r="Z698" s="11" t="n">
        <x:v>46252.68496519676</x:v>
      </x:c>
      <x:c r="AA698" s="11" t="n">
        <x:v>46254.51251577547</x:v>
      </x:c>
      <x:c r="AB698" s="11" t="n">
        <x:v>46254.51251577547</x:v>
      </x:c>
      <x:c r="AC698" t="str">
        <x:v>downtown_yards</x:v>
      </x:c>
    </x:row>
    <x:row r="699" ht="22" customHeight="1">
      <x:c r="A699" t="str">
        <x:v>Downtown Yards</x:v>
      </x:c>
      <x:c r="B699" t="str">
        <x:v>E16.08</x:v>
      </x:c>
      <x:c r="C699" t="str">
        <x:v>available</x:v>
      </x:c>
      <x:c r="D699" t="str">
        <x:v>present</x:v>
      </x:c>
      <x:c r="E699" t="str">
        <x:v>baseline</x:v>
      </x:c>
      <x:c r="F699" s="11" t="n">
        <x:v>46252.68496519676</x:v>
      </x:c>
      <x:c r="G699" t="str">
        <x:v>flat</x:v>
      </x:c>
      <x:c r="H699" s="12" t="n">
        <x:v>4</x:v>
      </x:c>
      <x:c r="I699" s="13" t="n">
        <x:v>16</x:v>
      </x:c>
      <x:c r="J699" t="str">
        <x:v>E</x:v>
      </x:c>
      <x:c r="K699" s="14" t="n">
        <x:v>112.93</x:v>
      </x:c>
      <x:c r="L699" s="14"/>
      <x:c r="M699" s="14"/>
      <x:c r="N699" s="14"/>
      <x:c r="O699" s="14"/>
      <x:c r="P699" s="14" t="n">
        <x:v>12.1</x:v>
      </x:c>
      <x:c r="Q699" s="14" t="n">
        <x:v>125.03</x:v>
      </x:c>
      <x:c r="R699" s="15" t="n">
        <x:v>870471</x:v>
      </x:c>
      <x:c r="S699" s="15" t="n">
        <x:v>994824</x:v>
      </x:c>
      <x:c r="T699" s="15" t="n">
        <x:v>870471</x:v>
      </x:c>
      <x:c r="U699" s="16" t="n">
        <x:v>7708.06</x:v>
      </x:c>
      <x:c r="V699" t="str">
        <x:v>JTRE</x:v>
      </x:c>
      <x:c r="W699" t="str">
        <x:v>Ružinov</x:v>
      </x:c>
      <x:c r="X699" s="11" t="str">
        <x:v>Voľný</x:v>
      </x:c>
      <x:c r="Y699" s="11" t="str">
        <x:v>https://d-y.sk/byty/e16.08/</x:v>
      </x:c>
      <x:c r="Z699" s="11" t="n">
        <x:v>46252.68496519676</x:v>
      </x:c>
      <x:c r="AA699" s="11" t="n">
        <x:v>46254.51251577547</x:v>
      </x:c>
      <x:c r="AB699" s="11" t="n">
        <x:v>46254.51251577547</x:v>
      </x:c>
      <x:c r="AC699" t="str">
        <x:v>downtown_yards</x:v>
      </x:c>
    </x:row>
    <x:row r="700" ht="22" customHeight="1">
      <x:c r="A700" t="str">
        <x:v>Downtown Yards</x:v>
      </x:c>
      <x:c r="B700" t="str">
        <x:v>E17.01</x:v>
      </x:c>
      <x:c r="C700" t="str">
        <x:v>available</x:v>
      </x:c>
      <x:c r="D700" t="str">
        <x:v>present</x:v>
      </x:c>
      <x:c r="E700" t="str">
        <x:v>baseline</x:v>
      </x:c>
      <x:c r="F700" s="11" t="n">
        <x:v>46252.68496519676</x:v>
      </x:c>
      <x:c r="G700" t="str">
        <x:v>flat</x:v>
      </x:c>
      <x:c r="H700" s="12" t="n">
        <x:v>4</x:v>
      </x:c>
      <x:c r="I700" s="13" t="n">
        <x:v>17</x:v>
      </x:c>
      <x:c r="J700" t="str">
        <x:v>E</x:v>
      </x:c>
      <x:c r="K700" s="14" t="n">
        <x:v>114.16</x:v>
      </x:c>
      <x:c r="L700" s="14"/>
      <x:c r="M700" s="14"/>
      <x:c r="N700" s="14"/>
      <x:c r="O700" s="14"/>
      <x:c r="P700" s="14" t="n">
        <x:v>16.76</x:v>
      </x:c>
      <x:c r="Q700" s="14" t="n">
        <x:v>130.92</x:v>
      </x:c>
      <x:c r="R700" s="15"/>
      <x:c r="S700" s="15"/>
      <x:c r="T700" s="15"/>
      <x:c r="U700" s="16"/>
      <x:c r="V700" t="str">
        <x:v>JTRE</x:v>
      </x:c>
      <x:c r="W700" t="str">
        <x:v>Ružinov</x:v>
      </x:c>
      <x:c r="X700" s="11" t="str">
        <x:v>Voľný</x:v>
      </x:c>
      <x:c r="Y700" s="11" t="str">
        <x:v>https://d-y.sk/byty/e17.01/</x:v>
      </x:c>
      <x:c r="Z700" s="11" t="n">
        <x:v>46252.68496519676</x:v>
      </x:c>
      <x:c r="AA700" s="11" t="n">
        <x:v>46254.51251577547</x:v>
      </x:c>
      <x:c r="AB700" s="11" t="n">
        <x:v>46254.51251577547</x:v>
      </x:c>
      <x:c r="AC700" t="str">
        <x:v>downtown_yards</x:v>
      </x:c>
    </x:row>
    <x:row r="701" ht="22" customHeight="1">
      <x:c r="A701" t="str">
        <x:v>Downtown Yards</x:v>
      </x:c>
      <x:c r="B701" t="str">
        <x:v>E17.02</x:v>
      </x:c>
      <x:c r="C701" t="str">
        <x:v>sold</x:v>
      </x:c>
      <x:c r="D701" t="str">
        <x:v>present</x:v>
      </x:c>
      <x:c r="E701" t="str">
        <x:v>baseline</x:v>
      </x:c>
      <x:c r="F701" s="11" t="n">
        <x:v>46252.68496519676</x:v>
      </x:c>
      <x:c r="G701" t="str">
        <x:v>flat</x:v>
      </x:c>
      <x:c r="H701" s="12" t="n">
        <x:v>3</x:v>
      </x:c>
      <x:c r="I701" s="13" t="n">
        <x:v>17</x:v>
      </x:c>
      <x:c r="J701" t="str">
        <x:v>E</x:v>
      </x:c>
      <x:c r="K701" s="14" t="n">
        <x:v>73.86</x:v>
      </x:c>
      <x:c r="L701" s="14"/>
      <x:c r="M701" s="14"/>
      <x:c r="N701" s="14"/>
      <x:c r="O701" s="14"/>
      <x:c r="P701" s="14" t="n">
        <x:v>12.46</x:v>
      </x:c>
      <x:c r="Q701" s="14" t="n">
        <x:v>86.32</x:v>
      </x:c>
      <x:c r="R701" s="15"/>
      <x:c r="S701" s="15"/>
      <x:c r="T701" s="15"/>
      <x:c r="U701" s="16"/>
      <x:c r="V701" t="str">
        <x:v>JTRE</x:v>
      </x:c>
      <x:c r="W701" t="str">
        <x:v>Ružinov</x:v>
      </x:c>
      <x:c r="X701" s="11" t="str">
        <x:v>Predaný</x:v>
      </x:c>
      <x:c r="Y701" s="11" t="str">
        <x:v>https://d-y.sk/byty/e17.02/</x:v>
      </x:c>
      <x:c r="Z701" s="11" t="n">
        <x:v>46252.68496519676</x:v>
      </x:c>
      <x:c r="AA701" s="11" t="n">
        <x:v>46254.51251577547</x:v>
      </x:c>
      <x:c r="AB701" s="11" t="n">
        <x:v>46254.51251577547</x:v>
      </x:c>
      <x:c r="AC701" t="str">
        <x:v>downtown_yards</x:v>
      </x:c>
    </x:row>
    <x:row r="702" ht="22" customHeight="1">
      <x:c r="A702" t="str">
        <x:v>Downtown Yards</x:v>
      </x:c>
      <x:c r="B702" t="str">
        <x:v>E17.03</x:v>
      </x:c>
      <x:c r="C702" t="str">
        <x:v>available</x:v>
      </x:c>
      <x:c r="D702" t="str">
        <x:v>present</x:v>
      </x:c>
      <x:c r="E702" t="str">
        <x:v>baseline</x:v>
      </x:c>
      <x:c r="F702" s="11" t="n">
        <x:v>46252.68496519676</x:v>
      </x:c>
      <x:c r="G702" t="str">
        <x:v>flat</x:v>
      </x:c>
      <x:c r="H702" s="12" t="n">
        <x:v>4</x:v>
      </x:c>
      <x:c r="I702" s="13" t="n">
        <x:v>17</x:v>
      </x:c>
      <x:c r="J702" t="str">
        <x:v>E</x:v>
      </x:c>
      <x:c r="K702" s="14" t="n">
        <x:v>108.93</x:v>
      </x:c>
      <x:c r="L702" s="14"/>
      <x:c r="M702" s="14"/>
      <x:c r="N702" s="14"/>
      <x:c r="O702" s="14"/>
      <x:c r="P702" s="14" t="n">
        <x:v>13.74</x:v>
      </x:c>
      <x:c r="Q702" s="14" t="n">
        <x:v>122.67</x:v>
      </x:c>
      <x:c r="R702" s="15"/>
      <x:c r="S702" s="15"/>
      <x:c r="T702" s="15"/>
      <x:c r="U702" s="16"/>
      <x:c r="V702" t="str">
        <x:v>JTRE</x:v>
      </x:c>
      <x:c r="W702" t="str">
        <x:v>Ružinov</x:v>
      </x:c>
      <x:c r="X702" s="11" t="str">
        <x:v>Voľný</x:v>
      </x:c>
      <x:c r="Y702" s="11" t="str">
        <x:v>https://d-y.sk/byty/e17.03/</x:v>
      </x:c>
      <x:c r="Z702" s="11" t="n">
        <x:v>46252.68496519676</x:v>
      </x:c>
      <x:c r="AA702" s="11" t="n">
        <x:v>46254.51251577547</x:v>
      </x:c>
      <x:c r="AB702" s="11" t="n">
        <x:v>46254.51251577547</x:v>
      </x:c>
      <x:c r="AC702" t="str">
        <x:v>downtown_yards</x:v>
      </x:c>
    </x:row>
    <x:row r="703" ht="22" customHeight="1">
      <x:c r="A703" t="str">
        <x:v>Downtown Yards</x:v>
      </x:c>
      <x:c r="B703" t="str">
        <x:v>E17.04</x:v>
      </x:c>
      <x:c r="C703" t="str">
        <x:v>available</x:v>
      </x:c>
      <x:c r="D703" t="str">
        <x:v>present</x:v>
      </x:c>
      <x:c r="E703" t="str">
        <x:v>baseline</x:v>
      </x:c>
      <x:c r="F703" s="11" t="n">
        <x:v>46252.68496519676</x:v>
      </x:c>
      <x:c r="G703" t="str">
        <x:v>flat</x:v>
      </x:c>
      <x:c r="H703" s="12" t="n">
        <x:v>4</x:v>
      </x:c>
      <x:c r="I703" s="13" t="n">
        <x:v>17</x:v>
      </x:c>
      <x:c r="J703" t="str">
        <x:v>E</x:v>
      </x:c>
      <x:c r="K703" s="14" t="n">
        <x:v>172.52</x:v>
      </x:c>
      <x:c r="L703" s="14"/>
      <x:c r="M703" s="14"/>
      <x:c r="N703" s="14"/>
      <x:c r="O703" s="14"/>
      <x:c r="P703" s="14" t="n">
        <x:v>31.69</x:v>
      </x:c>
      <x:c r="Q703" s="14" t="n">
        <x:v>204.21</x:v>
      </x:c>
      <x:c r="R703" s="15"/>
      <x:c r="S703" s="15"/>
      <x:c r="T703" s="15"/>
      <x:c r="U703" s="16"/>
      <x:c r="V703" t="str">
        <x:v>JTRE</x:v>
      </x:c>
      <x:c r="W703" t="str">
        <x:v>Ružinov</x:v>
      </x:c>
      <x:c r="X703" s="11" t="str">
        <x:v>Voľný</x:v>
      </x:c>
      <x:c r="Y703" s="11" t="str">
        <x:v>https://d-y.sk/byty/e17.04/</x:v>
      </x:c>
      <x:c r="Z703" s="11" t="n">
        <x:v>46252.68496519676</x:v>
      </x:c>
      <x:c r="AA703" s="11" t="n">
        <x:v>46254.51251577547</x:v>
      </x:c>
      <x:c r="AB703" s="11" t="n">
        <x:v>46254.51251577547</x:v>
      </x:c>
      <x:c r="AC703" t="str">
        <x:v>downtown_yards</x:v>
      </x:c>
    </x:row>
    <x:row r="704" ht="22" customHeight="1">
      <x:c r="A704" t="str">
        <x:v>Downtown Yards</x:v>
      </x:c>
      <x:c r="B704" t="str">
        <x:v>E17.05</x:v>
      </x:c>
      <x:c r="C704" t="str">
        <x:v>available</x:v>
      </x:c>
      <x:c r="D704" t="str">
        <x:v>present</x:v>
      </x:c>
      <x:c r="E704" t="str">
        <x:v>baseline</x:v>
      </x:c>
      <x:c r="F704" s="11" t="n">
        <x:v>46252.68496519676</x:v>
      </x:c>
      <x:c r="G704" t="str">
        <x:v>flat</x:v>
      </x:c>
      <x:c r="H704" s="12" t="n">
        <x:v>4</x:v>
      </x:c>
      <x:c r="I704" s="13" t="n">
        <x:v>17</x:v>
      </x:c>
      <x:c r="J704" t="str">
        <x:v>E</x:v>
      </x:c>
      <x:c r="K704" s="14" t="n">
        <x:v>176.68</x:v>
      </x:c>
      <x:c r="L704" s="14"/>
      <x:c r="M704" s="14"/>
      <x:c r="N704" s="14"/>
      <x:c r="O704" s="14"/>
      <x:c r="P704" s="14" t="n">
        <x:v>23.13</x:v>
      </x:c>
      <x:c r="Q704" s="14" t="n">
        <x:v>199.81</x:v>
      </x:c>
      <x:c r="R704" s="15"/>
      <x:c r="S704" s="15"/>
      <x:c r="T704" s="15"/>
      <x:c r="U704" s="16"/>
      <x:c r="V704" t="str">
        <x:v>JTRE</x:v>
      </x:c>
      <x:c r="W704" t="str">
        <x:v>Ružinov</x:v>
      </x:c>
      <x:c r="X704" s="11" t="str">
        <x:v>Voľný</x:v>
      </x:c>
      <x:c r="Y704" s="11" t="str">
        <x:v>https://d-y.sk/byty/e17.05/</x:v>
      </x:c>
      <x:c r="Z704" s="11" t="n">
        <x:v>46252.68496519676</x:v>
      </x:c>
      <x:c r="AA704" s="11" t="n">
        <x:v>46254.51251577547</x:v>
      </x:c>
      <x:c r="AB704" s="11" t="n">
        <x:v>46254.51251577547</x:v>
      </x:c>
      <x:c r="AC704" t="str">
        <x:v>downtown_yards</x:v>
      </x:c>
    </x:row>
    <x:row r="705" ht="22" customHeight="1">
      <x:c r="A705" t="str">
        <x:v>Downtown Yards</x:v>
      </x:c>
      <x:c r="B705" t="str">
        <x:v>E18.01</x:v>
      </x:c>
      <x:c r="C705" t="str">
        <x:v>available</x:v>
      </x:c>
      <x:c r="D705" t="str">
        <x:v>present</x:v>
      </x:c>
      <x:c r="E705" t="str">
        <x:v>baseline</x:v>
      </x:c>
      <x:c r="F705" s="11" t="n">
        <x:v>46252.68496519676</x:v>
      </x:c>
      <x:c r="G705" t="str">
        <x:v>flat</x:v>
      </x:c>
      <x:c r="H705" s="12" t="n">
        <x:v>4</x:v>
      </x:c>
      <x:c r="I705" s="13" t="n">
        <x:v>18</x:v>
      </x:c>
      <x:c r="J705" t="str">
        <x:v>E</x:v>
      </x:c>
      <x:c r="K705" s="14" t="n">
        <x:v>114.16</x:v>
      </x:c>
      <x:c r="L705" s="14"/>
      <x:c r="M705" s="14"/>
      <x:c r="N705" s="14"/>
      <x:c r="O705" s="14"/>
      <x:c r="P705" s="14" t="n">
        <x:v>16.76</x:v>
      </x:c>
      <x:c r="Q705" s="14" t="n">
        <x:v>130.92</x:v>
      </x:c>
      <x:c r="R705" s="15"/>
      <x:c r="S705" s="15"/>
      <x:c r="T705" s="15"/>
      <x:c r="U705" s="16"/>
      <x:c r="V705" t="str">
        <x:v>JTRE</x:v>
      </x:c>
      <x:c r="W705" t="str">
        <x:v>Ružinov</x:v>
      </x:c>
      <x:c r="X705" s="11" t="str">
        <x:v>Voľný</x:v>
      </x:c>
      <x:c r="Y705" s="11" t="str">
        <x:v>https://d-y.sk/byty/e18.01/</x:v>
      </x:c>
      <x:c r="Z705" s="11" t="n">
        <x:v>46252.68496519676</x:v>
      </x:c>
      <x:c r="AA705" s="11" t="n">
        <x:v>46254.51251577547</x:v>
      </x:c>
      <x:c r="AB705" s="11" t="n">
        <x:v>46254.51251577547</x:v>
      </x:c>
      <x:c r="AC705" t="str">
        <x:v>downtown_yards</x:v>
      </x:c>
    </x:row>
    <x:row r="706" ht="22" customHeight="1">
      <x:c r="A706" t="str">
        <x:v>Downtown Yards</x:v>
      </x:c>
      <x:c r="B706" t="str">
        <x:v>E18.02</x:v>
      </x:c>
      <x:c r="C706" t="str">
        <x:v>available</x:v>
      </x:c>
      <x:c r="D706" t="str">
        <x:v>present</x:v>
      </x:c>
      <x:c r="E706" t="str">
        <x:v>baseline</x:v>
      </x:c>
      <x:c r="F706" s="11" t="n">
        <x:v>46252.68496519676</x:v>
      </x:c>
      <x:c r="G706" t="str">
        <x:v>flat</x:v>
      </x:c>
      <x:c r="H706" s="12" t="n">
        <x:v>3</x:v>
      </x:c>
      <x:c r="I706" s="13" t="n">
        <x:v>18</x:v>
      </x:c>
      <x:c r="J706" t="str">
        <x:v>E</x:v>
      </x:c>
      <x:c r="K706" s="14" t="n">
        <x:v>73.86</x:v>
      </x:c>
      <x:c r="L706" s="14"/>
      <x:c r="M706" s="14"/>
      <x:c r="N706" s="14"/>
      <x:c r="O706" s="14"/>
      <x:c r="P706" s="14" t="n">
        <x:v>12.46</x:v>
      </x:c>
      <x:c r="Q706" s="14" t="n">
        <x:v>86.32</x:v>
      </x:c>
      <x:c r="R706" s="15"/>
      <x:c r="S706" s="15"/>
      <x:c r="T706" s="15"/>
      <x:c r="U706" s="16"/>
      <x:c r="V706" t="str">
        <x:v>JTRE</x:v>
      </x:c>
      <x:c r="W706" t="str">
        <x:v>Ružinov</x:v>
      </x:c>
      <x:c r="X706" s="11" t="str">
        <x:v>Voľný</x:v>
      </x:c>
      <x:c r="Y706" s="11" t="str">
        <x:v>https://d-y.sk/byty/e18.02/</x:v>
      </x:c>
      <x:c r="Z706" s="11" t="n">
        <x:v>46252.68496519676</x:v>
      </x:c>
      <x:c r="AA706" s="11" t="n">
        <x:v>46254.51251577547</x:v>
      </x:c>
      <x:c r="AB706" s="11" t="n">
        <x:v>46254.51251577547</x:v>
      </x:c>
      <x:c r="AC706" t="str">
        <x:v>downtown_yards</x:v>
      </x:c>
    </x:row>
    <x:row r="707" ht="22" customHeight="1">
      <x:c r="A707" t="str">
        <x:v>Downtown Yards</x:v>
      </x:c>
      <x:c r="B707" t="str">
        <x:v>E18.03</x:v>
      </x:c>
      <x:c r="C707" t="str">
        <x:v>sold</x:v>
      </x:c>
      <x:c r="D707" t="str">
        <x:v>present</x:v>
      </x:c>
      <x:c r="E707" t="str">
        <x:v>baseline</x:v>
      </x:c>
      <x:c r="F707" s="11" t="n">
        <x:v>46252.68496519676</x:v>
      </x:c>
      <x:c r="G707" t="str">
        <x:v>flat</x:v>
      </x:c>
      <x:c r="H707" s="12" t="n">
        <x:v>4</x:v>
      </x:c>
      <x:c r="I707" s="13" t="n">
        <x:v>18</x:v>
      </x:c>
      <x:c r="J707" t="str">
        <x:v>E</x:v>
      </x:c>
      <x:c r="K707" s="14" t="n">
        <x:v>110.31</x:v>
      </x:c>
      <x:c r="L707" s="14"/>
      <x:c r="M707" s="14"/>
      <x:c r="N707" s="14"/>
      <x:c r="O707" s="14"/>
      <x:c r="P707" s="14" t="n">
        <x:v>13.74</x:v>
      </x:c>
      <x:c r="Q707" s="14" t="n">
        <x:v>124.05</x:v>
      </x:c>
      <x:c r="R707" s="15"/>
      <x:c r="S707" s="15"/>
      <x:c r="T707" s="15"/>
      <x:c r="U707" s="16"/>
      <x:c r="V707" t="str">
        <x:v>JTRE</x:v>
      </x:c>
      <x:c r="W707" t="str">
        <x:v>Ružinov</x:v>
      </x:c>
      <x:c r="X707" s="11" t="str">
        <x:v>Predaný</x:v>
      </x:c>
      <x:c r="Y707" s="11" t="str">
        <x:v>https://d-y.sk/byty/e18.03/</x:v>
      </x:c>
      <x:c r="Z707" s="11" t="n">
        <x:v>46252.68496519676</x:v>
      </x:c>
      <x:c r="AA707" s="11" t="n">
        <x:v>46254.51251577547</x:v>
      </x:c>
      <x:c r="AB707" s="11" t="n">
        <x:v>46254.51251577547</x:v>
      </x:c>
      <x:c r="AC707" t="str">
        <x:v>downtown_yards</x:v>
      </x:c>
    </x:row>
    <x:row r="708" ht="22" customHeight="1">
      <x:c r="A708" t="str">
        <x:v>Downtown Yards</x:v>
      </x:c>
      <x:c r="B708" t="str">
        <x:v>E18.04</x:v>
      </x:c>
      <x:c r="C708" t="str">
        <x:v>available</x:v>
      </x:c>
      <x:c r="D708" t="str">
        <x:v>present</x:v>
      </x:c>
      <x:c r="E708" t="str">
        <x:v>baseline</x:v>
      </x:c>
      <x:c r="F708" s="11" t="n">
        <x:v>46252.68496519676</x:v>
      </x:c>
      <x:c r="G708" t="str">
        <x:v>flat</x:v>
      </x:c>
      <x:c r="H708" s="12" t="n">
        <x:v>4</x:v>
      </x:c>
      <x:c r="I708" s="13" t="n">
        <x:v>18</x:v>
      </x:c>
      <x:c r="J708" t="str">
        <x:v>E</x:v>
      </x:c>
      <x:c r="K708" s="14" t="n">
        <x:v>172.52</x:v>
      </x:c>
      <x:c r="L708" s="14"/>
      <x:c r="M708" s="14"/>
      <x:c r="N708" s="14"/>
      <x:c r="O708" s="14"/>
      <x:c r="P708" s="14" t="n">
        <x:v>18.75</x:v>
      </x:c>
      <x:c r="Q708" s="14" t="n">
        <x:v>191.27</x:v>
      </x:c>
      <x:c r="R708" s="15"/>
      <x:c r="S708" s="15"/>
      <x:c r="T708" s="15"/>
      <x:c r="U708" s="16"/>
      <x:c r="V708" t="str">
        <x:v>JTRE</x:v>
      </x:c>
      <x:c r="W708" t="str">
        <x:v>Ružinov</x:v>
      </x:c>
      <x:c r="X708" s="11" t="str">
        <x:v>Voľný</x:v>
      </x:c>
      <x:c r="Y708" s="11" t="str">
        <x:v>https://d-y.sk/byty/e18.04/</x:v>
      </x:c>
      <x:c r="Z708" s="11" t="n">
        <x:v>46252.68496519676</x:v>
      </x:c>
      <x:c r="AA708" s="11" t="n">
        <x:v>46254.51251577547</x:v>
      </x:c>
      <x:c r="AB708" s="11" t="n">
        <x:v>46254.51251577547</x:v>
      </x:c>
      <x:c r="AC708" t="str">
        <x:v>downtown_yards</x:v>
      </x:c>
    </x:row>
    <x:row r="709" ht="22" customHeight="1">
      <x:c r="A709" t="str">
        <x:v>Downtown Yards</x:v>
      </x:c>
      <x:c r="B709" t="str">
        <x:v>J02.01</x:v>
      </x:c>
      <x:c r="C709" t="str">
        <x:v>sold</x:v>
      </x:c>
      <x:c r="D709" t="str">
        <x:v>present</x:v>
      </x:c>
      <x:c r="E709" t="str">
        <x:v>baseline</x:v>
      </x:c>
      <x:c r="F709" s="11" t="n">
        <x:v>46252.68496519676</x:v>
      </x:c>
      <x:c r="G709" t="str">
        <x:v>apartment</x:v>
      </x:c>
      <x:c r="H709" s="12" t="n">
        <x:v>1</x:v>
      </x:c>
      <x:c r="I709" s="13" t="n">
        <x:v>2</x:v>
      </x:c>
      <x:c r="J709" t="str">
        <x:v>J</x:v>
      </x:c>
      <x:c r="K709" s="14" t="n">
        <x:v>29.97</x:v>
      </x:c>
      <x:c r="L709" s="14"/>
      <x:c r="M709" s="14"/>
      <x:c r="N709" s="14"/>
      <x:c r="O709" s="14"/>
      <x:c r="P709" s="14" t="n">
        <x:v>3.21</x:v>
      </x:c>
      <x:c r="Q709" s="14" t="n">
        <x:v>33.18</x:v>
      </x:c>
      <x:c r="R709" s="15"/>
      <x:c r="S709" s="15"/>
      <x:c r="T709" s="15"/>
      <x:c r="U709" s="16"/>
      <x:c r="V709" t="str">
        <x:v>JTRE</x:v>
      </x:c>
      <x:c r="W709" t="str">
        <x:v>Ružinov</x:v>
      </x:c>
      <x:c r="X709" s="11" t="str">
        <x:v>Predaný</x:v>
      </x:c>
      <x:c r="Y709" s="11" t="str">
        <x:v>https://d-y.sk/byty/j02.01/</x:v>
      </x:c>
      <x:c r="Z709" s="11" t="n">
        <x:v>46252.68496519676</x:v>
      </x:c>
      <x:c r="AA709" s="11" t="n">
        <x:v>46254.51251577547</x:v>
      </x:c>
      <x:c r="AB709" s="11" t="n">
        <x:v>46254.51251577547</x:v>
      </x:c>
      <x:c r="AC709" t="str">
        <x:v>downtown_yards</x:v>
      </x:c>
    </x:row>
    <x:row r="710" ht="22" customHeight="1">
      <x:c r="A710" t="str">
        <x:v>Downtown Yards</x:v>
      </x:c>
      <x:c r="B710" t="str">
        <x:v>J02.02</x:v>
      </x:c>
      <x:c r="C710" t="str">
        <x:v>available</x:v>
      </x:c>
      <x:c r="D710" t="str">
        <x:v>present</x:v>
      </x:c>
      <x:c r="E710" t="str">
        <x:v>baseline</x:v>
      </x:c>
      <x:c r="F710" s="11" t="n">
        <x:v>46252.68496519676</x:v>
      </x:c>
      <x:c r="G710" t="str">
        <x:v>flat</x:v>
      </x:c>
      <x:c r="H710" s="12" t="n">
        <x:v>3</x:v>
      </x:c>
      <x:c r="I710" s="13" t="n">
        <x:v>2</x:v>
      </x:c>
      <x:c r="J710" t="str">
        <x:v>J</x:v>
      </x:c>
      <x:c r="K710" s="14" t="n">
        <x:v>77.02</x:v>
      </x:c>
      <x:c r="L710" s="14"/>
      <x:c r="M710" s="14"/>
      <x:c r="N710" s="14"/>
      <x:c r="O710" s="14"/>
      <x:c r="P710" s="14" t="n">
        <x:v>13.82</x:v>
      </x:c>
      <x:c r="Q710" s="14" t="n">
        <x:v>90.84</x:v>
      </x:c>
      <x:c r="R710" s="15" t="n">
        <x:v>523119</x:v>
      </x:c>
      <x:c r="S710" s="15" t="n">
        <x:v>571704</x:v>
      </x:c>
      <x:c r="T710" s="15" t="n">
        <x:v>523119</x:v>
      </x:c>
      <x:c r="U710" s="16" t="n">
        <x:v>6791.99</x:v>
      </x:c>
      <x:c r="V710" t="str">
        <x:v>JTRE</x:v>
      </x:c>
      <x:c r="W710" t="str">
        <x:v>Ružinov</x:v>
      </x:c>
      <x:c r="X710" s="11" t="str">
        <x:v>Voľný</x:v>
      </x:c>
      <x:c r="Y710" s="11" t="str">
        <x:v>https://d-y.sk/byty/j02.02/</x:v>
      </x:c>
      <x:c r="Z710" s="11" t="n">
        <x:v>46252.68496519676</x:v>
      </x:c>
      <x:c r="AA710" s="11" t="n">
        <x:v>46254.51251577547</x:v>
      </x:c>
      <x:c r="AB710" s="11" t="n">
        <x:v>46254.51251577547</x:v>
      </x:c>
      <x:c r="AC710" t="str">
        <x:v>downtown_yards</x:v>
      </x:c>
    </x:row>
    <x:row r="711" ht="22" customHeight="1">
      <x:c r="A711" t="str">
        <x:v>Downtown Yards</x:v>
      </x:c>
      <x:c r="B711" t="str">
        <x:v>J02.03</x:v>
      </x:c>
      <x:c r="C711" t="str">
        <x:v>available</x:v>
      </x:c>
      <x:c r="D711" t="str">
        <x:v>present</x:v>
      </x:c>
      <x:c r="E711" t="str">
        <x:v>baseline</x:v>
      </x:c>
      <x:c r="F711" s="11" t="n">
        <x:v>46252.68496519676</x:v>
      </x:c>
      <x:c r="G711" t="str">
        <x:v>flat</x:v>
      </x:c>
      <x:c r="H711" s="12" t="n">
        <x:v>2</x:v>
      </x:c>
      <x:c r="I711" s="13" t="n">
        <x:v>2</x:v>
      </x:c>
      <x:c r="J711" t="str">
        <x:v>J</x:v>
      </x:c>
      <x:c r="K711" s="14" t="n">
        <x:v>49.9</x:v>
      </x:c>
      <x:c r="L711" s="14"/>
      <x:c r="M711" s="14"/>
      <x:c r="N711" s="14"/>
      <x:c r="O711" s="14"/>
      <x:c r="P711" s="14" t="n">
        <x:v>8.37</x:v>
      </x:c>
      <x:c r="Q711" s="14" t="n">
        <x:v>58.27</x:v>
      </x:c>
      <x:c r="R711" s="15" t="n">
        <x:v>356331</x:v>
      </x:c>
      <x:c r="S711" s="15" t="n">
        <x:v>383145</x:v>
      </x:c>
      <x:c r="T711" s="15" t="n">
        <x:v>356331</x:v>
      </x:c>
      <x:c r="U711" s="16" t="n">
        <x:v>7140.9</x:v>
      </x:c>
      <x:c r="V711" t="str">
        <x:v>JTRE</x:v>
      </x:c>
      <x:c r="W711" t="str">
        <x:v>Ružinov</x:v>
      </x:c>
      <x:c r="X711" s="11" t="str">
        <x:v>Voľný</x:v>
      </x:c>
      <x:c r="Y711" s="11" t="str">
        <x:v>https://d-y.sk/byty/j02.03/</x:v>
      </x:c>
      <x:c r="Z711" s="11" t="n">
        <x:v>46252.68496519676</x:v>
      </x:c>
      <x:c r="AA711" s="11" t="n">
        <x:v>46254.51251577547</x:v>
      </x:c>
      <x:c r="AB711" s="11" t="n">
        <x:v>46254.51251577547</x:v>
      </x:c>
      <x:c r="AC711" t="str">
        <x:v>downtown_yards</x:v>
      </x:c>
    </x:row>
    <x:row r="712" ht="22" customHeight="1">
      <x:c r="A712" t="str">
        <x:v>Downtown Yards</x:v>
      </x:c>
      <x:c r="B712" t="str">
        <x:v>J02.04</x:v>
      </x:c>
      <x:c r="C712" t="str">
        <x:v>available</x:v>
      </x:c>
      <x:c r="D712" t="str">
        <x:v>present</x:v>
      </x:c>
      <x:c r="E712" t="str">
        <x:v>baseline</x:v>
      </x:c>
      <x:c r="F712" s="11" t="n">
        <x:v>46252.68496519676</x:v>
      </x:c>
      <x:c r="G712" t="str">
        <x:v>flat</x:v>
      </x:c>
      <x:c r="H712" s="12" t="n">
        <x:v>2</x:v>
      </x:c>
      <x:c r="I712" s="13" t="n">
        <x:v>2</x:v>
      </x:c>
      <x:c r="J712" t="str">
        <x:v>J</x:v>
      </x:c>
      <x:c r="K712" s="14" t="n">
        <x:v>49.8</x:v>
      </x:c>
      <x:c r="L712" s="14"/>
      <x:c r="M712" s="14"/>
      <x:c r="N712" s="14"/>
      <x:c r="O712" s="14"/>
      <x:c r="P712" s="14" t="n">
        <x:v>8.37</x:v>
      </x:c>
      <x:c r="Q712" s="14" t="n">
        <x:v>58.17</x:v>
      </x:c>
      <x:c r="R712" s="15" t="n">
        <x:v>355716</x:v>
      </x:c>
      <x:c r="S712" s="15" t="n">
        <x:v>382407</x:v>
      </x:c>
      <x:c r="T712" s="15" t="n">
        <x:v>355716</x:v>
      </x:c>
      <x:c r="U712" s="16" t="n">
        <x:v>7142.89</x:v>
      </x:c>
      <x:c r="V712" t="str">
        <x:v>JTRE</x:v>
      </x:c>
      <x:c r="W712" t="str">
        <x:v>Ružinov</x:v>
      </x:c>
      <x:c r="X712" s="11" t="str">
        <x:v>Voľný</x:v>
      </x:c>
      <x:c r="Y712" s="11" t="str">
        <x:v>https://d-y.sk/byty/j02.04/</x:v>
      </x:c>
      <x:c r="Z712" s="11" t="n">
        <x:v>46252.68496519676</x:v>
      </x:c>
      <x:c r="AA712" s="11" t="n">
        <x:v>46254.51251577547</x:v>
      </x:c>
      <x:c r="AB712" s="11" t="n">
        <x:v>46254.51251577547</x:v>
      </x:c>
      <x:c r="AC712" t="str">
        <x:v>downtown_yards</x:v>
      </x:c>
    </x:row>
    <x:row r="713" ht="22" customHeight="1">
      <x:c r="A713" t="str">
        <x:v>Downtown Yards</x:v>
      </x:c>
      <x:c r="B713" t="str">
        <x:v>J02.05</x:v>
      </x:c>
      <x:c r="C713" t="str">
        <x:v>sold</x:v>
      </x:c>
      <x:c r="D713" t="str">
        <x:v>present</x:v>
      </x:c>
      <x:c r="E713" t="str">
        <x:v>baseline</x:v>
      </x:c>
      <x:c r="F713" s="11" t="n">
        <x:v>46252.68496519676</x:v>
      </x:c>
      <x:c r="G713" t="str">
        <x:v>flat</x:v>
      </x:c>
      <x:c r="H713" s="12" t="n">
        <x:v>2</x:v>
      </x:c>
      <x:c r="I713" s="13" t="n">
        <x:v>2</x:v>
      </x:c>
      <x:c r="J713" t="str">
        <x:v>J</x:v>
      </x:c>
      <x:c r="K713" s="14" t="n">
        <x:v>48.64</x:v>
      </x:c>
      <x:c r="L713" s="14"/>
      <x:c r="M713" s="14"/>
      <x:c r="N713" s="14"/>
      <x:c r="O713" s="14"/>
      <x:c r="P713" s="14" t="n">
        <x:v>8.16</x:v>
      </x:c>
      <x:c r="Q713" s="14" t="n">
        <x:v>56.8</x:v>
      </x:c>
      <x:c r="R713" s="15"/>
      <x:c r="S713" s="15"/>
      <x:c r="T713" s="15"/>
      <x:c r="U713" s="16"/>
      <x:c r="V713" t="str">
        <x:v>JTRE</x:v>
      </x:c>
      <x:c r="W713" t="str">
        <x:v>Ružinov</x:v>
      </x:c>
      <x:c r="X713" s="11" t="str">
        <x:v>Predaný</x:v>
      </x:c>
      <x:c r="Y713" s="11" t="str">
        <x:v>https://d-y.sk/byty/j02.05/</x:v>
      </x:c>
      <x:c r="Z713" s="11" t="n">
        <x:v>46252.68496519676</x:v>
      </x:c>
      <x:c r="AA713" s="11" t="n">
        <x:v>46254.51251577547</x:v>
      </x:c>
      <x:c r="AB713" s="11" t="n">
        <x:v>46254.51251577547</x:v>
      </x:c>
      <x:c r="AC713" t="str">
        <x:v>downtown_yards</x:v>
      </x:c>
    </x:row>
    <x:row r="714" ht="22" customHeight="1">
      <x:c r="A714" t="str">
        <x:v>Downtown Yards</x:v>
      </x:c>
      <x:c r="B714" t="str">
        <x:v>J02.06</x:v>
      </x:c>
      <x:c r="C714" t="str">
        <x:v>available</x:v>
      </x:c>
      <x:c r="D714" t="str">
        <x:v>present</x:v>
      </x:c>
      <x:c r="E714" t="str">
        <x:v>baseline</x:v>
      </x:c>
      <x:c r="F714" s="11" t="n">
        <x:v>46252.68496519676</x:v>
      </x:c>
      <x:c r="G714" t="str">
        <x:v>flat</x:v>
      </x:c>
      <x:c r="H714" s="12" t="n">
        <x:v>2</x:v>
      </x:c>
      <x:c r="I714" s="13" t="n">
        <x:v>2</x:v>
      </x:c>
      <x:c r="J714" t="str">
        <x:v>J</x:v>
      </x:c>
      <x:c r="K714" s="14" t="n">
        <x:v>59.9</x:v>
      </x:c>
      <x:c r="L714" s="14"/>
      <x:c r="M714" s="14"/>
      <x:c r="N714" s="14"/>
      <x:c r="O714" s="14"/>
      <x:c r="P714" s="14" t="n">
        <x:v>6.58</x:v>
      </x:c>
      <x:c r="Q714" s="14" t="n">
        <x:v>66.48</x:v>
      </x:c>
      <x:c r="R714" s="15" t="n">
        <x:v>352641</x:v>
      </x:c>
      <x:c r="S714" s="15" t="n">
        <x:v>400611</x:v>
      </x:c>
      <x:c r="T714" s="15" t="n">
        <x:v>352641</x:v>
      </x:c>
      <x:c r="U714" s="16" t="n">
        <x:v>5887.16</x:v>
      </x:c>
      <x:c r="V714" t="str">
        <x:v>JTRE</x:v>
      </x:c>
      <x:c r="W714" t="str">
        <x:v>Ružinov</x:v>
      </x:c>
      <x:c r="X714" s="11" t="str">
        <x:v>Voľný</x:v>
      </x:c>
      <x:c r="Y714" s="11" t="str">
        <x:v>https://d-y.sk/byty/j02.06/</x:v>
      </x:c>
      <x:c r="Z714" s="11" t="n">
        <x:v>46252.68496519676</x:v>
      </x:c>
      <x:c r="AA714" s="11" t="n">
        <x:v>46254.51251577547</x:v>
      </x:c>
      <x:c r="AB714" s="11" t="n">
        <x:v>46254.51251577547</x:v>
      </x:c>
      <x:c r="AC714" t="str">
        <x:v>downtown_yards</x:v>
      </x:c>
    </x:row>
    <x:row r="715" ht="22" customHeight="1">
      <x:c r="A715" t="str">
        <x:v>Downtown Yards</x:v>
      </x:c>
      <x:c r="B715" t="str">
        <x:v>J02.07</x:v>
      </x:c>
      <x:c r="C715" t="str">
        <x:v>available</x:v>
      </x:c>
      <x:c r="D715" t="str">
        <x:v>present</x:v>
      </x:c>
      <x:c r="E715" t="str">
        <x:v>baseline</x:v>
      </x:c>
      <x:c r="F715" s="11" t="n">
        <x:v>46252.68496519676</x:v>
      </x:c>
      <x:c r="G715" t="str">
        <x:v>flat</x:v>
      </x:c>
      <x:c r="H715" s="12" t="n">
        <x:v>2</x:v>
      </x:c>
      <x:c r="I715" s="13" t="n">
        <x:v>2</x:v>
      </x:c>
      <x:c r="J715" t="str">
        <x:v>J</x:v>
      </x:c>
      <x:c r="K715" s="14" t="n">
        <x:v>49.4</x:v>
      </x:c>
      <x:c r="L715" s="14"/>
      <x:c r="M715" s="14"/>
      <x:c r="N715" s="14"/>
      <x:c r="O715" s="14"/>
      <x:c r="P715" s="14" t="n">
        <x:v>6.58</x:v>
      </x:c>
      <x:c r="Q715" s="14" t="n">
        <x:v>55.98</x:v>
      </x:c>
      <x:c r="R715" s="15" t="n">
        <x:v>326688</x:v>
      </x:c>
      <x:c r="S715" s="15" t="n">
        <x:v>371214</x:v>
      </x:c>
      <x:c r="T715" s="15" t="n">
        <x:v>326688</x:v>
      </x:c>
      <x:c r="U715" s="16" t="n">
        <x:v>6613.12</x:v>
      </x:c>
      <x:c r="V715" t="str">
        <x:v>JTRE</x:v>
      </x:c>
      <x:c r="W715" t="str">
        <x:v>Ružinov</x:v>
      </x:c>
      <x:c r="X715" s="11" t="str">
        <x:v>Voľný</x:v>
      </x:c>
      <x:c r="Y715" s="11" t="str">
        <x:v>https://d-y.sk/byty/j02.07/</x:v>
      </x:c>
      <x:c r="Z715" s="11" t="n">
        <x:v>46252.68496519676</x:v>
      </x:c>
      <x:c r="AA715" s="11" t="n">
        <x:v>46254.51251577547</x:v>
      </x:c>
      <x:c r="AB715" s="11" t="n">
        <x:v>46254.51251577547</x:v>
      </x:c>
      <x:c r="AC715" t="str">
        <x:v>downtown_yards</x:v>
      </x:c>
    </x:row>
    <x:row r="716" ht="22" customHeight="1">
      <x:c r="A716" t="str">
        <x:v>Downtown Yards</x:v>
      </x:c>
      <x:c r="B716" t="str">
        <x:v>J02.08</x:v>
      </x:c>
      <x:c r="C716" t="str">
        <x:v>sold</x:v>
      </x:c>
      <x:c r="D716" t="str">
        <x:v>present</x:v>
      </x:c>
      <x:c r="E716" t="str">
        <x:v>baseline</x:v>
      </x:c>
      <x:c r="F716" s="11" t="n">
        <x:v>46252.68496519676</x:v>
      </x:c>
      <x:c r="G716" t="str">
        <x:v>flat</x:v>
      </x:c>
      <x:c r="H716" s="12" t="n">
        <x:v>2</x:v>
      </x:c>
      <x:c r="I716" s="13" t="n">
        <x:v>2</x:v>
      </x:c>
      <x:c r="J716" t="str">
        <x:v>J</x:v>
      </x:c>
      <x:c r="K716" s="14" t="n">
        <x:v>47.78</x:v>
      </x:c>
      <x:c r="L716" s="14"/>
      <x:c r="M716" s="14"/>
      <x:c r="N716" s="14"/>
      <x:c r="O716" s="14"/>
      <x:c r="P716" s="14" t="n">
        <x:v>6.58</x:v>
      </x:c>
      <x:c r="Q716" s="14" t="n">
        <x:v>54.36</x:v>
      </x:c>
      <x:c r="R716" s="15"/>
      <x:c r="S716" s="15"/>
      <x:c r="T716" s="15"/>
      <x:c r="U716" s="16"/>
      <x:c r="V716" t="str">
        <x:v>JTRE</x:v>
      </x:c>
      <x:c r="W716" t="str">
        <x:v>Ružinov</x:v>
      </x:c>
      <x:c r="X716" s="11" t="str">
        <x:v>Predaný</x:v>
      </x:c>
      <x:c r="Y716" s="11" t="str">
        <x:v>https://d-y.sk/byty/j02.08/</x:v>
      </x:c>
      <x:c r="Z716" s="11" t="n">
        <x:v>46252.68496519676</x:v>
      </x:c>
      <x:c r="AA716" s="11" t="n">
        <x:v>46254.51251577547</x:v>
      </x:c>
      <x:c r="AB716" s="11" t="n">
        <x:v>46254.51251577547</x:v>
      </x:c>
      <x:c r="AC716" t="str">
        <x:v>downtown_yards</x:v>
      </x:c>
    </x:row>
    <x:row r="717" ht="22" customHeight="1">
      <x:c r="A717" t="str">
        <x:v>Downtown Yards</x:v>
      </x:c>
      <x:c r="B717" t="str">
        <x:v>J02.09</x:v>
      </x:c>
      <x:c r="C717" t="str">
        <x:v>available</x:v>
      </x:c>
      <x:c r="D717" t="str">
        <x:v>present</x:v>
      </x:c>
      <x:c r="E717" t="str">
        <x:v>baseline</x:v>
      </x:c>
      <x:c r="F717" s="11" t="n">
        <x:v>46252.68496519676</x:v>
      </x:c>
      <x:c r="G717" t="str">
        <x:v>flat</x:v>
      </x:c>
      <x:c r="H717" s="12" t="n">
        <x:v>3</x:v>
      </x:c>
      <x:c r="I717" s="13" t="n">
        <x:v>2</x:v>
      </x:c>
      <x:c r="J717" t="str">
        <x:v>J</x:v>
      </x:c>
      <x:c r="K717" s="14" t="n">
        <x:v>71.68</x:v>
      </x:c>
      <x:c r="L717" s="14"/>
      <x:c r="M717" s="14"/>
      <x:c r="N717" s="14"/>
      <x:c r="O717" s="14"/>
      <x:c r="P717" s="14" t="n">
        <x:v>12.1</x:v>
      </x:c>
      <x:c r="Q717" s="14" t="n">
        <x:v>83.78</x:v>
      </x:c>
      <x:c r="R717" s="15" t="n">
        <x:v>474780</x:v>
      </x:c>
      <x:c r="S717" s="15" t="n">
        <x:v>548826</x:v>
      </x:c>
      <x:c r="T717" s="15" t="n">
        <x:v>474780</x:v>
      </x:c>
      <x:c r="U717" s="16" t="n">
        <x:v>6623.6</x:v>
      </x:c>
      <x:c r="V717" t="str">
        <x:v>JTRE</x:v>
      </x:c>
      <x:c r="W717" t="str">
        <x:v>Ružinov</x:v>
      </x:c>
      <x:c r="X717" s="11" t="str">
        <x:v>Voľný</x:v>
      </x:c>
      <x:c r="Y717" s="11" t="str">
        <x:v>https://d-y.sk/byty/j02.09/</x:v>
      </x:c>
      <x:c r="Z717" s="11" t="n">
        <x:v>46252.68496519676</x:v>
      </x:c>
      <x:c r="AA717" s="11" t="n">
        <x:v>46254.51251577547</x:v>
      </x:c>
      <x:c r="AB717" s="11" t="n">
        <x:v>46254.51251577547</x:v>
      </x:c>
      <x:c r="AC717" t="str">
        <x:v>downtown_yards</x:v>
      </x:c>
    </x:row>
    <x:row r="718" ht="22" customHeight="1">
      <x:c r="A718" t="str">
        <x:v>Downtown Yards</x:v>
      </x:c>
      <x:c r="B718" t="str">
        <x:v>J02.10</x:v>
      </x:c>
      <x:c r="C718" t="str">
        <x:v>available</x:v>
      </x:c>
      <x:c r="D718" t="str">
        <x:v>present</x:v>
      </x:c>
      <x:c r="E718" t="str">
        <x:v>baseline</x:v>
      </x:c>
      <x:c r="F718" s="11" t="n">
        <x:v>46252.68496519676</x:v>
      </x:c>
      <x:c r="G718" t="str">
        <x:v>apartment</x:v>
      </x:c>
      <x:c r="H718" s="12" t="n">
        <x:v>1</x:v>
      </x:c>
      <x:c r="I718" s="13" t="n">
        <x:v>2</x:v>
      </x:c>
      <x:c r="J718" t="str">
        <x:v>J</x:v>
      </x:c>
      <x:c r="K718" s="14" t="n">
        <x:v>30.15</x:v>
      </x:c>
      <x:c r="L718" s="14"/>
      <x:c r="M718" s="14"/>
      <x:c r="N718" s="14"/>
      <x:c r="O718" s="14"/>
      <x:c r="P718" s="14" t="n">
        <x:v>3.23</x:v>
      </x:c>
      <x:c r="Q718" s="14" t="n">
        <x:v>33.38</x:v>
      </x:c>
      <x:c r="R718" s="15" t="n">
        <x:v>234561</x:v>
      </x:c>
      <x:c r="S718" s="15" t="n">
        <x:v>259161</x:v>
      </x:c>
      <x:c r="T718" s="15" t="n">
        <x:v>234561</x:v>
      </x:c>
      <x:c r="U718" s="16" t="n">
        <x:v>7779.8</x:v>
      </x:c>
      <x:c r="V718" t="str">
        <x:v>JTRE</x:v>
      </x:c>
      <x:c r="W718" t="str">
        <x:v>Ružinov</x:v>
      </x:c>
      <x:c r="X718" s="11" t="str">
        <x:v>Voľný</x:v>
      </x:c>
      <x:c r="Y718" s="11" t="str">
        <x:v>https://d-y.sk/byty/j02.10/</x:v>
      </x:c>
      <x:c r="Z718" s="11" t="n">
        <x:v>46252.68496519676</x:v>
      </x:c>
      <x:c r="AA718" s="11" t="n">
        <x:v>46254.51251577547</x:v>
      </x:c>
      <x:c r="AB718" s="11" t="n">
        <x:v>46254.51251577547</x:v>
      </x:c>
      <x:c r="AC718" t="str">
        <x:v>downtown_yards</x:v>
      </x:c>
    </x:row>
    <x:row r="719" ht="22" customHeight="1">
      <x:c r="A719" t="str">
        <x:v>Downtown Yards</x:v>
      </x:c>
      <x:c r="B719" t="str">
        <x:v>J03.01</x:v>
      </x:c>
      <x:c r="C719" t="str">
        <x:v>available</x:v>
      </x:c>
      <x:c r="D719" t="str">
        <x:v>present</x:v>
      </x:c>
      <x:c r="E719" t="str">
        <x:v>baseline</x:v>
      </x:c>
      <x:c r="F719" s="11" t="n">
        <x:v>46252.68496519676</x:v>
      </x:c>
      <x:c r="G719" t="str">
        <x:v>apartment</x:v>
      </x:c>
      <x:c r="H719" s="12" t="n">
        <x:v>1</x:v>
      </x:c>
      <x:c r="I719" s="13" t="n">
        <x:v>3</x:v>
      </x:c>
      <x:c r="J719" t="str">
        <x:v>J</x:v>
      </x:c>
      <x:c r="K719" s="14" t="n">
        <x:v>30.69</x:v>
      </x:c>
      <x:c r="L719" s="14"/>
      <x:c r="M719" s="14"/>
      <x:c r="N719" s="14"/>
      <x:c r="O719" s="14"/>
      <x:c r="P719" s="14" t="n">
        <x:v>3.21</x:v>
      </x:c>
      <x:c r="Q719" s="14" t="n">
        <x:v>33.9</x:v>
      </x:c>
      <x:c r="R719" s="15" t="n">
        <x:v>240588</x:v>
      </x:c>
      <x:c r="S719" s="15" t="n">
        <x:v>265803</x:v>
      </x:c>
      <x:c r="T719" s="15" t="n">
        <x:v>240588</x:v>
      </x:c>
      <x:c r="U719" s="16" t="n">
        <x:v>7839.3</x:v>
      </x:c>
      <x:c r="V719" t="str">
        <x:v>JTRE</x:v>
      </x:c>
      <x:c r="W719" t="str">
        <x:v>Ružinov</x:v>
      </x:c>
      <x:c r="X719" s="11" t="str">
        <x:v>Voľný</x:v>
      </x:c>
      <x:c r="Y719" s="11" t="str">
        <x:v>https://d-y.sk/byty/j03.01/</x:v>
      </x:c>
      <x:c r="Z719" s="11" t="n">
        <x:v>46252.68496519676</x:v>
      </x:c>
      <x:c r="AA719" s="11" t="n">
        <x:v>46254.51251577547</x:v>
      </x:c>
      <x:c r="AB719" s="11" t="n">
        <x:v>46254.51251577547</x:v>
      </x:c>
      <x:c r="AC719" t="str">
        <x:v>downtown_yards</x:v>
      </x:c>
    </x:row>
    <x:row r="720" ht="22" customHeight="1">
      <x:c r="A720" t="str">
        <x:v>Downtown Yards</x:v>
      </x:c>
      <x:c r="B720" t="str">
        <x:v>J03.02</x:v>
      </x:c>
      <x:c r="C720" t="str">
        <x:v>sold</x:v>
      </x:c>
      <x:c r="D720" t="str">
        <x:v>present</x:v>
      </x:c>
      <x:c r="E720" t="str">
        <x:v>baseline</x:v>
      </x:c>
      <x:c r="F720" s="11" t="n">
        <x:v>46252.68496519676</x:v>
      </x:c>
      <x:c r="G720" t="str">
        <x:v>flat</x:v>
      </x:c>
      <x:c r="H720" s="12" t="n">
        <x:v>3</x:v>
      </x:c>
      <x:c r="I720" s="13" t="n">
        <x:v>3</x:v>
      </x:c>
      <x:c r="J720" t="str">
        <x:v>J</x:v>
      </x:c>
      <x:c r="K720" s="14" t="n">
        <x:v>77.87</x:v>
      </x:c>
      <x:c r="L720" s="14"/>
      <x:c r="M720" s="14"/>
      <x:c r="N720" s="14"/>
      <x:c r="O720" s="14"/>
      <x:c r="P720" s="14" t="n">
        <x:v>9.14</x:v>
      </x:c>
      <x:c r="Q720" s="14" t="n">
        <x:v>87.01</x:v>
      </x:c>
      <x:c r="R720" s="15"/>
      <x:c r="S720" s="15"/>
      <x:c r="T720" s="15"/>
      <x:c r="U720" s="16"/>
      <x:c r="V720" t="str">
        <x:v>JTRE</x:v>
      </x:c>
      <x:c r="W720" t="str">
        <x:v>Ružinov</x:v>
      </x:c>
      <x:c r="X720" s="11" t="str">
        <x:v>Predaný</x:v>
      </x:c>
      <x:c r="Y720" s="11" t="str">
        <x:v>https://d-y.sk/byty/j03.02/</x:v>
      </x:c>
      <x:c r="Z720" s="11" t="n">
        <x:v>46252.68496519676</x:v>
      </x:c>
      <x:c r="AA720" s="11" t="n">
        <x:v>46254.51251577547</x:v>
      </x:c>
      <x:c r="AB720" s="11" t="n">
        <x:v>46254.51251577547</x:v>
      </x:c>
      <x:c r="AC720" t="str">
        <x:v>downtown_yards</x:v>
      </x:c>
    </x:row>
    <x:row r="721" ht="22" customHeight="1">
      <x:c r="A721" t="str">
        <x:v>Downtown Yards</x:v>
      </x:c>
      <x:c r="B721" t="str">
        <x:v>J03.03</x:v>
      </x:c>
      <x:c r="C721" t="str">
        <x:v>sold</x:v>
      </x:c>
      <x:c r="D721" t="str">
        <x:v>present</x:v>
      </x:c>
      <x:c r="E721" t="str">
        <x:v>baseline</x:v>
      </x:c>
      <x:c r="F721" s="11" t="n">
        <x:v>46252.68496519676</x:v>
      </x:c>
      <x:c r="G721" t="str">
        <x:v>flat</x:v>
      </x:c>
      <x:c r="H721" s="12" t="n">
        <x:v>2</x:v>
      </x:c>
      <x:c r="I721" s="13" t="n">
        <x:v>3</x:v>
      </x:c>
      <x:c r="J721" t="str">
        <x:v>J</x:v>
      </x:c>
      <x:c r="K721" s="14" t="n">
        <x:v>50.44</x:v>
      </x:c>
      <x:c r="L721" s="14"/>
      <x:c r="M721" s="14"/>
      <x:c r="N721" s="14"/>
      <x:c r="O721" s="14"/>
      <x:c r="P721" s="14" t="n">
        <x:v>3.82</x:v>
      </x:c>
      <x:c r="Q721" s="14" t="n">
        <x:v>54.26</x:v>
      </x:c>
      <x:c r="R721" s="15"/>
      <x:c r="S721" s="15"/>
      <x:c r="T721" s="15"/>
      <x:c r="U721" s="16"/>
      <x:c r="V721" t="str">
        <x:v>JTRE</x:v>
      </x:c>
      <x:c r="W721" t="str">
        <x:v>Ružinov</x:v>
      </x:c>
      <x:c r="X721" s="11" t="str">
        <x:v>Predaný</x:v>
      </x:c>
      <x:c r="Y721" s="11" t="str">
        <x:v>https://d-y.sk/byty/j03.03/</x:v>
      </x:c>
      <x:c r="Z721" s="11" t="n">
        <x:v>46252.68496519676</x:v>
      </x:c>
      <x:c r="AA721" s="11" t="n">
        <x:v>46254.51251577547</x:v>
      </x:c>
      <x:c r="AB721" s="11" t="n">
        <x:v>46254.51251577547</x:v>
      </x:c>
      <x:c r="AC721" t="str">
        <x:v>downtown_yards</x:v>
      </x:c>
    </x:row>
    <x:row r="722" ht="22" customHeight="1">
      <x:c r="A722" t="str">
        <x:v>Downtown Yards</x:v>
      </x:c>
      <x:c r="B722" t="str">
        <x:v>J03.04</x:v>
      </x:c>
      <x:c r="C722" t="str">
        <x:v>sold</x:v>
      </x:c>
      <x:c r="D722" t="str">
        <x:v>present</x:v>
      </x:c>
      <x:c r="E722" t="str">
        <x:v>baseline</x:v>
      </x:c>
      <x:c r="F722" s="11" t="n">
        <x:v>46252.68496519676</x:v>
      </x:c>
      <x:c r="G722" t="str">
        <x:v>flat</x:v>
      </x:c>
      <x:c r="H722" s="12" t="n">
        <x:v>2</x:v>
      </x:c>
      <x:c r="I722" s="13" t="n">
        <x:v>3</x:v>
      </x:c>
      <x:c r="J722" t="str">
        <x:v>J</x:v>
      </x:c>
      <x:c r="K722" s="14" t="n">
        <x:v>49.99</x:v>
      </x:c>
      <x:c r="L722" s="14"/>
      <x:c r="M722" s="14"/>
      <x:c r="N722" s="14"/>
      <x:c r="O722" s="14"/>
      <x:c r="P722" s="14" t="n">
        <x:v>3.82</x:v>
      </x:c>
      <x:c r="Q722" s="14" t="n">
        <x:v>53.81</x:v>
      </x:c>
      <x:c r="R722" s="15"/>
      <x:c r="S722" s="15"/>
      <x:c r="T722" s="15"/>
      <x:c r="U722" s="16"/>
      <x:c r="V722" t="str">
        <x:v>JTRE</x:v>
      </x:c>
      <x:c r="W722" t="str">
        <x:v>Ružinov</x:v>
      </x:c>
      <x:c r="X722" s="11" t="str">
        <x:v>Predaný</x:v>
      </x:c>
      <x:c r="Y722" s="11" t="str">
        <x:v>https://d-y.sk/byty/j03.04/</x:v>
      </x:c>
      <x:c r="Z722" s="11" t="n">
        <x:v>46252.68496519676</x:v>
      </x:c>
      <x:c r="AA722" s="11" t="n">
        <x:v>46254.51251577547</x:v>
      </x:c>
      <x:c r="AB722" s="11" t="n">
        <x:v>46254.51251577547</x:v>
      </x:c>
      <x:c r="AC722" t="str">
        <x:v>downtown_yards</x:v>
      </x:c>
    </x:row>
    <x:row r="723" ht="22" customHeight="1">
      <x:c r="A723" t="str">
        <x:v>Downtown Yards</x:v>
      </x:c>
      <x:c r="B723" t="str">
        <x:v>J03.05</x:v>
      </x:c>
      <x:c r="C723" t="str">
        <x:v>sold</x:v>
      </x:c>
      <x:c r="D723" t="str">
        <x:v>present</x:v>
      </x:c>
      <x:c r="E723" t="str">
        <x:v>baseline</x:v>
      </x:c>
      <x:c r="F723" s="11" t="n">
        <x:v>46252.68496519676</x:v>
      </x:c>
      <x:c r="G723" t="str">
        <x:v>flat</x:v>
      </x:c>
      <x:c r="H723" s="12" t="n">
        <x:v>2</x:v>
      </x:c>
      <x:c r="I723" s="13" t="n">
        <x:v>3</x:v>
      </x:c>
      <x:c r="J723" t="str">
        <x:v>J</x:v>
      </x:c>
      <x:c r="K723" s="14" t="n">
        <x:v>49.15</x:v>
      </x:c>
      <x:c r="L723" s="14"/>
      <x:c r="M723" s="14"/>
      <x:c r="N723" s="14"/>
      <x:c r="O723" s="14"/>
      <x:c r="P723" s="14" t="n">
        <x:v>4.39</x:v>
      </x:c>
      <x:c r="Q723" s="14" t="n">
        <x:v>53.54</x:v>
      </x:c>
      <x:c r="R723" s="15"/>
      <x:c r="S723" s="15"/>
      <x:c r="T723" s="15"/>
      <x:c r="U723" s="16"/>
      <x:c r="V723" t="str">
        <x:v>JTRE</x:v>
      </x:c>
      <x:c r="W723" t="str">
        <x:v>Ružinov</x:v>
      </x:c>
      <x:c r="X723" s="11" t="str">
        <x:v>Predaný</x:v>
      </x:c>
      <x:c r="Y723" s="11" t="str">
        <x:v>https://d-y.sk/byty/j03.05/</x:v>
      </x:c>
      <x:c r="Z723" s="11" t="n">
        <x:v>46252.68496519676</x:v>
      </x:c>
      <x:c r="AA723" s="11" t="n">
        <x:v>46254.51251577547</x:v>
      </x:c>
      <x:c r="AB723" s="11" t="n">
        <x:v>46254.51251577547</x:v>
      </x:c>
      <x:c r="AC723" t="str">
        <x:v>downtown_yards</x:v>
      </x:c>
    </x:row>
    <x:row r="724" ht="22" customHeight="1">
      <x:c r="A724" t="str">
        <x:v>Downtown Yards</x:v>
      </x:c>
      <x:c r="B724" t="str">
        <x:v>J03.06</x:v>
      </x:c>
      <x:c r="C724" t="str">
        <x:v>available</x:v>
      </x:c>
      <x:c r="D724" t="str">
        <x:v>present</x:v>
      </x:c>
      <x:c r="E724" t="str">
        <x:v>baseline</x:v>
      </x:c>
      <x:c r="F724" s="11" t="n">
        <x:v>46252.68496519676</x:v>
      </x:c>
      <x:c r="G724" t="str">
        <x:v>flat</x:v>
      </x:c>
      <x:c r="H724" s="12" t="n">
        <x:v>2</x:v>
      </x:c>
      <x:c r="I724" s="13" t="n">
        <x:v>3</x:v>
      </x:c>
      <x:c r="J724" t="str">
        <x:v>J</x:v>
      </x:c>
      <x:c r="K724" s="14" t="n">
        <x:v>60.85</x:v>
      </x:c>
      <x:c r="L724" s="14"/>
      <x:c r="M724" s="14"/>
      <x:c r="N724" s="14"/>
      <x:c r="O724" s="14"/>
      <x:c r="P724" s="14" t="n">
        <x:v>6.58</x:v>
      </x:c>
      <x:c r="Q724" s="14" t="n">
        <x:v>67.43</x:v>
      </x:c>
      <x:c r="R724" s="15" t="n">
        <x:v>363711</x:v>
      </x:c>
      <x:c r="S724" s="15" t="n">
        <x:v>413280</x:v>
      </x:c>
      <x:c r="T724" s="15" t="n">
        <x:v>363711</x:v>
      </x:c>
      <x:c r="U724" s="16" t="n">
        <x:v>5977.17</x:v>
      </x:c>
      <x:c r="V724" t="str">
        <x:v>JTRE</x:v>
      </x:c>
      <x:c r="W724" t="str">
        <x:v>Ružinov</x:v>
      </x:c>
      <x:c r="X724" s="11" t="str">
        <x:v>Voľný</x:v>
      </x:c>
      <x:c r="Y724" s="11" t="str">
        <x:v>https://d-y.sk/byty/j03.06/</x:v>
      </x:c>
      <x:c r="Z724" s="11" t="n">
        <x:v>46252.68496519676</x:v>
      </x:c>
      <x:c r="AA724" s="11" t="n">
        <x:v>46254.51251577547</x:v>
      </x:c>
      <x:c r="AB724" s="11" t="n">
        <x:v>46254.51251577547</x:v>
      </x:c>
      <x:c r="AC724" t="str">
        <x:v>downtown_yards</x:v>
      </x:c>
    </x:row>
    <x:row r="725" ht="22" customHeight="1">
      <x:c r="A725" t="str">
        <x:v>Downtown Yards</x:v>
      </x:c>
      <x:c r="B725" t="str">
        <x:v>J03.07</x:v>
      </x:c>
      <x:c r="C725" t="str">
        <x:v>sold</x:v>
      </x:c>
      <x:c r="D725" t="str">
        <x:v>present</x:v>
      </x:c>
      <x:c r="E725" t="str">
        <x:v>baseline</x:v>
      </x:c>
      <x:c r="F725" s="11" t="n">
        <x:v>46252.68496519676</x:v>
      </x:c>
      <x:c r="G725" t="str">
        <x:v>flat</x:v>
      </x:c>
      <x:c r="H725" s="12" t="n">
        <x:v>2</x:v>
      </x:c>
      <x:c r="I725" s="13" t="n">
        <x:v>3</x:v>
      </x:c>
      <x:c r="J725" t="str">
        <x:v>J</x:v>
      </x:c>
      <x:c r="K725" s="14" t="n">
        <x:v>50.11</x:v>
      </x:c>
      <x:c r="L725" s="14"/>
      <x:c r="M725" s="14"/>
      <x:c r="N725" s="14"/>
      <x:c r="O725" s="14"/>
      <x:c r="P725" s="14" t="n">
        <x:v>6.58</x:v>
      </x:c>
      <x:c r="Q725" s="14" t="n">
        <x:v>56.69</x:v>
      </x:c>
      <x:c r="R725" s="15"/>
      <x:c r="S725" s="15"/>
      <x:c r="T725" s="15"/>
      <x:c r="U725" s="16"/>
      <x:c r="V725" t="str">
        <x:v>JTRE</x:v>
      </x:c>
      <x:c r="W725" t="str">
        <x:v>Ružinov</x:v>
      </x:c>
      <x:c r="X725" s="11" t="str">
        <x:v>Predaný</x:v>
      </x:c>
      <x:c r="Y725" s="11" t="str">
        <x:v>https://d-y.sk/byty/j03.07/</x:v>
      </x:c>
      <x:c r="Z725" s="11" t="n">
        <x:v>46252.68496519676</x:v>
      </x:c>
      <x:c r="AA725" s="11" t="n">
        <x:v>46254.51251577547</x:v>
      </x:c>
      <x:c r="AB725" s="11" t="n">
        <x:v>46254.51251577547</x:v>
      </x:c>
      <x:c r="AC725" t="str">
        <x:v>downtown_yards</x:v>
      </x:c>
    </x:row>
    <x:row r="726" ht="22" customHeight="1">
      <x:c r="A726" t="str">
        <x:v>Downtown Yards</x:v>
      </x:c>
      <x:c r="B726" t="str">
        <x:v>J03.08</x:v>
      </x:c>
      <x:c r="C726" t="str">
        <x:v>available</x:v>
      </x:c>
      <x:c r="D726" t="str">
        <x:v>present</x:v>
      </x:c>
      <x:c r="E726" t="str">
        <x:v>baseline</x:v>
      </x:c>
      <x:c r="F726" s="11" t="n">
        <x:v>46252.68496519676</x:v>
      </x:c>
      <x:c r="G726" t="str">
        <x:v>flat</x:v>
      </x:c>
      <x:c r="H726" s="12" t="n">
        <x:v>2</x:v>
      </x:c>
      <x:c r="I726" s="13" t="n">
        <x:v>3</x:v>
      </x:c>
      <x:c r="J726" t="str">
        <x:v>J</x:v>
      </x:c>
      <x:c r="K726" s="14" t="n">
        <x:v>48.46</x:v>
      </x:c>
      <x:c r="L726" s="14"/>
      <x:c r="M726" s="14"/>
      <x:c r="N726" s="14"/>
      <x:c r="O726" s="14"/>
      <x:c r="P726" s="14" t="n">
        <x:v>6.58</x:v>
      </x:c>
      <x:c r="Q726" s="14" t="n">
        <x:v>55.04</x:v>
      </x:c>
      <x:c r="R726" s="15" t="n">
        <x:v>325827</x:v>
      </x:c>
      <x:c r="S726" s="15" t="n">
        <x:v>370230</x:v>
      </x:c>
      <x:c r="T726" s="15" t="n">
        <x:v>325827</x:v>
      </x:c>
      <x:c r="U726" s="16" t="n">
        <x:v>6723.63</x:v>
      </x:c>
      <x:c r="V726" t="str">
        <x:v>JTRE</x:v>
      </x:c>
      <x:c r="W726" t="str">
        <x:v>Ružinov</x:v>
      </x:c>
      <x:c r="X726" s="11" t="str">
        <x:v>Voľný</x:v>
      </x:c>
      <x:c r="Y726" s="11" t="str">
        <x:v>https://d-y.sk/byty/j03.08/</x:v>
      </x:c>
      <x:c r="Z726" s="11" t="n">
        <x:v>46252.68496519676</x:v>
      </x:c>
      <x:c r="AA726" s="11" t="n">
        <x:v>46254.51251577547</x:v>
      </x:c>
      <x:c r="AB726" s="11" t="n">
        <x:v>46254.51251577547</x:v>
      </x:c>
      <x:c r="AC726" t="str">
        <x:v>downtown_yards</x:v>
      </x:c>
    </x:row>
    <x:row r="727" ht="22" customHeight="1">
      <x:c r="A727" t="str">
        <x:v>Downtown Yards</x:v>
      </x:c>
      <x:c r="B727" t="str">
        <x:v>J03.09</x:v>
      </x:c>
      <x:c r="C727" t="str">
        <x:v>available</x:v>
      </x:c>
      <x:c r="D727" t="str">
        <x:v>present</x:v>
      </x:c>
      <x:c r="E727" t="str">
        <x:v>baseline</x:v>
      </x:c>
      <x:c r="F727" s="11" t="n">
        <x:v>46252.68496519676</x:v>
      </x:c>
      <x:c r="G727" t="str">
        <x:v>flat</x:v>
      </x:c>
      <x:c r="H727" s="12" t="n">
        <x:v>3</x:v>
      </x:c>
      <x:c r="I727" s="13" t="n">
        <x:v>3</x:v>
      </x:c>
      <x:c r="J727" t="str">
        <x:v>J</x:v>
      </x:c>
      <x:c r="K727" s="14" t="n">
        <x:v>73.71</x:v>
      </x:c>
      <x:c r="L727" s="14"/>
      <x:c r="M727" s="14"/>
      <x:c r="N727" s="14"/>
      <x:c r="O727" s="14"/>
      <x:c r="P727" s="14" t="n">
        <x:v>12.1</x:v>
      </x:c>
      <x:c r="Q727" s="14" t="n">
        <x:v>85.81</x:v>
      </x:c>
      <x:c r="R727" s="15" t="n">
        <x:v>494706</x:v>
      </x:c>
      <x:c r="S727" s="15" t="n">
        <x:v>571827</x:v>
      </x:c>
      <x:c r="T727" s="15" t="n">
        <x:v>494706</x:v>
      </x:c>
      <x:c r="U727" s="16" t="n">
        <x:v>6711.52</x:v>
      </x:c>
      <x:c r="V727" t="str">
        <x:v>JTRE</x:v>
      </x:c>
      <x:c r="W727" t="str">
        <x:v>Ružinov</x:v>
      </x:c>
      <x:c r="X727" s="11" t="str">
        <x:v>Voľný</x:v>
      </x:c>
      <x:c r="Y727" s="11" t="str">
        <x:v>https://d-y.sk/byty/j03.09/</x:v>
      </x:c>
      <x:c r="Z727" s="11" t="n">
        <x:v>46252.68496519676</x:v>
      </x:c>
      <x:c r="AA727" s="11" t="n">
        <x:v>46254.51251577547</x:v>
      </x:c>
      <x:c r="AB727" s="11" t="n">
        <x:v>46254.51251577547</x:v>
      </x:c>
      <x:c r="AC727" t="str">
        <x:v>downtown_yards</x:v>
      </x:c>
    </x:row>
    <x:row r="728" ht="22" customHeight="1">
      <x:c r="A728" t="str">
        <x:v>Downtown Yards</x:v>
      </x:c>
      <x:c r="B728" t="str">
        <x:v>J03.10</x:v>
      </x:c>
      <x:c r="C728" t="str">
        <x:v>available</x:v>
      </x:c>
      <x:c r="D728" t="str">
        <x:v>present</x:v>
      </x:c>
      <x:c r="E728" t="str">
        <x:v>baseline</x:v>
      </x:c>
      <x:c r="F728" s="11" t="n">
        <x:v>46252.68496519676</x:v>
      </x:c>
      <x:c r="G728" t="str">
        <x:v>apartment</x:v>
      </x:c>
      <x:c r="H728" s="12" t="n">
        <x:v>1</x:v>
      </x:c>
      <x:c r="I728" s="13" t="n">
        <x:v>3</x:v>
      </x:c>
      <x:c r="J728" t="str">
        <x:v>J</x:v>
      </x:c>
      <x:c r="K728" s="14" t="n">
        <x:v>30.87</x:v>
      </x:c>
      <x:c r="L728" s="14"/>
      <x:c r="M728" s="14"/>
      <x:c r="N728" s="14"/>
      <x:c r="O728" s="14"/>
      <x:c r="P728" s="14" t="n">
        <x:v>3.23</x:v>
      </x:c>
      <x:c r="Q728" s="14" t="n">
        <x:v>34.1</x:v>
      </x:c>
      <x:c r="R728" s="15" t="n">
        <x:v>242064</x:v>
      </x:c>
      <x:c r="S728" s="15" t="n">
        <x:v>267402</x:v>
      </x:c>
      <x:c r="T728" s="15" t="n">
        <x:v>242064</x:v>
      </x:c>
      <x:c r="U728" s="16" t="n">
        <x:v>7841.4</x:v>
      </x:c>
      <x:c r="V728" t="str">
        <x:v>JTRE</x:v>
      </x:c>
      <x:c r="W728" t="str">
        <x:v>Ružinov</x:v>
      </x:c>
      <x:c r="X728" s="11" t="str">
        <x:v>Voľný</x:v>
      </x:c>
      <x:c r="Y728" s="11" t="str">
        <x:v>https://d-y.sk/byty/j03.10/</x:v>
      </x:c>
      <x:c r="Z728" s="11" t="n">
        <x:v>46252.68496519676</x:v>
      </x:c>
      <x:c r="AA728" s="11" t="n">
        <x:v>46254.51251577547</x:v>
      </x:c>
      <x:c r="AB728" s="11" t="n">
        <x:v>46254.51251577547</x:v>
      </x:c>
      <x:c r="AC728" t="str">
        <x:v>downtown_yards</x:v>
      </x:c>
    </x:row>
    <x:row r="729" ht="22" customHeight="1">
      <x:c r="A729" t="str">
        <x:v>Downtown Yards</x:v>
      </x:c>
      <x:c r="B729" t="str">
        <x:v>J04.01</x:v>
      </x:c>
      <x:c r="C729" t="str">
        <x:v>available</x:v>
      </x:c>
      <x:c r="D729" t="str">
        <x:v>present</x:v>
      </x:c>
      <x:c r="E729" t="str">
        <x:v>baseline</x:v>
      </x:c>
      <x:c r="F729" s="11" t="n">
        <x:v>46252.68496519676</x:v>
      </x:c>
      <x:c r="G729" t="str">
        <x:v>apartment</x:v>
      </x:c>
      <x:c r="H729" s="12" t="n">
        <x:v>1</x:v>
      </x:c>
      <x:c r="I729" s="13" t="n">
        <x:v>4</x:v>
      </x:c>
      <x:c r="J729" t="str">
        <x:v>J</x:v>
      </x:c>
      <x:c r="K729" s="14" t="n">
        <x:v>31.58</x:v>
      </x:c>
      <x:c r="L729" s="14"/>
      <x:c r="M729" s="14"/>
      <x:c r="N729" s="14"/>
      <x:c r="O729" s="14"/>
      <x:c r="P729" s="14" t="n">
        <x:v>3.21</x:v>
      </x:c>
      <x:c r="Q729" s="14" t="n">
        <x:v>34.79</x:v>
      </x:c>
      <x:c r="R729" s="15" t="n">
        <x:v>244770</x:v>
      </x:c>
      <x:c r="S729" s="15" t="n">
        <x:v>270354</x:v>
      </x:c>
      <x:c r="T729" s="15" t="n">
        <x:v>244770</x:v>
      </x:c>
      <x:c r="U729" s="16" t="n">
        <x:v>7750.79</x:v>
      </x:c>
      <x:c r="V729" t="str">
        <x:v>JTRE</x:v>
      </x:c>
      <x:c r="W729" t="str">
        <x:v>Ružinov</x:v>
      </x:c>
      <x:c r="X729" s="11" t="str">
        <x:v>Voľný</x:v>
      </x:c>
      <x:c r="Y729" s="11" t="str">
        <x:v>https://d-y.sk/byty/j04.01/</x:v>
      </x:c>
      <x:c r="Z729" s="11" t="n">
        <x:v>46252.68496519676</x:v>
      </x:c>
      <x:c r="AA729" s="11" t="n">
        <x:v>46254.51251577547</x:v>
      </x:c>
      <x:c r="AB729" s="11" t="n">
        <x:v>46254.51251577547</x:v>
      </x:c>
      <x:c r="AC729" t="str">
        <x:v>downtown_yards</x:v>
      </x:c>
    </x:row>
    <x:row r="730" ht="22" customHeight="1">
      <x:c r="A730" t="str">
        <x:v>Downtown Yards</x:v>
      </x:c>
      <x:c r="B730" t="str">
        <x:v>J04.02</x:v>
      </x:c>
      <x:c r="C730" t="str">
        <x:v>available</x:v>
      </x:c>
      <x:c r="D730" t="str">
        <x:v>present</x:v>
      </x:c>
      <x:c r="E730" t="str">
        <x:v>baseline</x:v>
      </x:c>
      <x:c r="F730" s="11" t="n">
        <x:v>46252.68496519676</x:v>
      </x:c>
      <x:c r="G730" t="str">
        <x:v>flat</x:v>
      </x:c>
      <x:c r="H730" s="12" t="n">
        <x:v>3</x:v>
      </x:c>
      <x:c r="I730" s="13" t="n">
        <x:v>4</x:v>
      </x:c>
      <x:c r="J730" t="str">
        <x:v>J</x:v>
      </x:c>
      <x:c r="K730" s="14" t="n">
        <x:v>80.02</x:v>
      </x:c>
      <x:c r="L730" s="14"/>
      <x:c r="M730" s="14"/>
      <x:c r="N730" s="14"/>
      <x:c r="O730" s="14"/>
      <x:c r="P730" s="14" t="n">
        <x:v>9.14</x:v>
      </x:c>
      <x:c r="Q730" s="14" t="n">
        <x:v>89.16</x:v>
      </x:c>
      <x:c r="R730" s="15" t="n">
        <x:v>536034</x:v>
      </x:c>
      <x:c r="S730" s="15" t="n">
        <x:v>585726</x:v>
      </x:c>
      <x:c r="T730" s="15" t="n">
        <x:v>536034</x:v>
      </x:c>
      <x:c r="U730" s="16" t="n">
        <x:v>6698.75</x:v>
      </x:c>
      <x:c r="V730" t="str">
        <x:v>JTRE</x:v>
      </x:c>
      <x:c r="W730" t="str">
        <x:v>Ružinov</x:v>
      </x:c>
      <x:c r="X730" s="11" t="str">
        <x:v>Voľný</x:v>
      </x:c>
      <x:c r="Y730" s="11" t="str">
        <x:v>https://d-y.sk/byty/j04.02/</x:v>
      </x:c>
      <x:c r="Z730" s="11" t="n">
        <x:v>46252.68496519676</x:v>
      </x:c>
      <x:c r="AA730" s="11" t="n">
        <x:v>46254.51251577547</x:v>
      </x:c>
      <x:c r="AB730" s="11" t="n">
        <x:v>46254.51251577547</x:v>
      </x:c>
      <x:c r="AC730" t="str">
        <x:v>downtown_yards</x:v>
      </x:c>
    </x:row>
    <x:row r="731" ht="22" customHeight="1">
      <x:c r="A731" t="str">
        <x:v>Downtown Yards</x:v>
      </x:c>
      <x:c r="B731" t="str">
        <x:v>J04.03</x:v>
      </x:c>
      <x:c r="C731" t="str">
        <x:v>available</x:v>
      </x:c>
      <x:c r="D731" t="str">
        <x:v>present</x:v>
      </x:c>
      <x:c r="E731" t="str">
        <x:v>baseline</x:v>
      </x:c>
      <x:c r="F731" s="11" t="n">
        <x:v>46252.68496519676</x:v>
      </x:c>
      <x:c r="G731" t="str">
        <x:v>flat</x:v>
      </x:c>
      <x:c r="H731" s="12" t="n">
        <x:v>2</x:v>
      </x:c>
      <x:c r="I731" s="13" t="n">
        <x:v>4</x:v>
      </x:c>
      <x:c r="J731" t="str">
        <x:v>J</x:v>
      </x:c>
      <x:c r="K731" s="14" t="n">
        <x:v>51.95</x:v>
      </x:c>
      <x:c r="L731" s="14"/>
      <x:c r="M731" s="14"/>
      <x:c r="N731" s="14"/>
      <x:c r="O731" s="14"/>
      <x:c r="P731" s="14" t="n">
        <x:v>3.82</x:v>
      </x:c>
      <x:c r="Q731" s="14" t="n">
        <x:v>55.77</x:v>
      </x:c>
      <x:c r="R731" s="15" t="n">
        <x:v>354240</x:v>
      </x:c>
      <x:c r="S731" s="15" t="n">
        <x:v>380808</x:v>
      </x:c>
      <x:c r="T731" s="15" t="n">
        <x:v>354240</x:v>
      </x:c>
      <x:c r="U731" s="16" t="n">
        <x:v>6818.86</x:v>
      </x:c>
      <x:c r="V731" t="str">
        <x:v>JTRE</x:v>
      </x:c>
      <x:c r="W731" t="str">
        <x:v>Ružinov</x:v>
      </x:c>
      <x:c r="X731" s="11" t="str">
        <x:v>Voľný</x:v>
      </x:c>
      <x:c r="Y731" s="11" t="str">
        <x:v>https://d-y.sk/byty/j04.03/</x:v>
      </x:c>
      <x:c r="Z731" s="11" t="n">
        <x:v>46252.68496519676</x:v>
      </x:c>
      <x:c r="AA731" s="11" t="n">
        <x:v>46254.51251577547</x:v>
      </x:c>
      <x:c r="AB731" s="11" t="n">
        <x:v>46254.51251577547</x:v>
      </x:c>
      <x:c r="AC731" t="str">
        <x:v>downtown_yards</x:v>
      </x:c>
    </x:row>
    <x:row r="732" ht="22" customHeight="1">
      <x:c r="A732" t="str">
        <x:v>Downtown Yards</x:v>
      </x:c>
      <x:c r="B732" t="str">
        <x:v>J04.04</x:v>
      </x:c>
      <x:c r="C732" t="str">
        <x:v>sold</x:v>
      </x:c>
      <x:c r="D732" t="str">
        <x:v>present</x:v>
      </x:c>
      <x:c r="E732" t="str">
        <x:v>baseline</x:v>
      </x:c>
      <x:c r="F732" s="11" t="n">
        <x:v>46252.68496519676</x:v>
      </x:c>
      <x:c r="G732" t="str">
        <x:v>flat</x:v>
      </x:c>
      <x:c r="H732" s="12" t="n">
        <x:v>2</x:v>
      </x:c>
      <x:c r="I732" s="13" t="n">
        <x:v>4</x:v>
      </x:c>
      <x:c r="J732" t="str">
        <x:v>J</x:v>
      </x:c>
      <x:c r="K732" s="14" t="n">
        <x:v>51.4</x:v>
      </x:c>
      <x:c r="L732" s="14"/>
      <x:c r="M732" s="14"/>
      <x:c r="N732" s="14"/>
      <x:c r="O732" s="14"/>
      <x:c r="P732" s="14" t="n">
        <x:v>3.82</x:v>
      </x:c>
      <x:c r="Q732" s="14" t="n">
        <x:v>55.22</x:v>
      </x:c>
      <x:c r="R732" s="15"/>
      <x:c r="S732" s="15"/>
      <x:c r="T732" s="15"/>
      <x:c r="U732" s="16"/>
      <x:c r="V732" t="str">
        <x:v>JTRE</x:v>
      </x:c>
      <x:c r="W732" t="str">
        <x:v>Ružinov</x:v>
      </x:c>
      <x:c r="X732" s="11" t="str">
        <x:v>Predaný</x:v>
      </x:c>
      <x:c r="Y732" s="11" t="str">
        <x:v>https://d-y.sk/byty/j04.04/</x:v>
      </x:c>
      <x:c r="Z732" s="11" t="n">
        <x:v>46252.68496519676</x:v>
      </x:c>
      <x:c r="AA732" s="11" t="n">
        <x:v>46254.51251577547</x:v>
      </x:c>
      <x:c r="AB732" s="11" t="n">
        <x:v>46254.51251577547</x:v>
      </x:c>
      <x:c r="AC732" t="str">
        <x:v>downtown_yards</x:v>
      </x:c>
    </x:row>
    <x:row r="733" ht="22" customHeight="1">
      <x:c r="A733" t="str">
        <x:v>Downtown Yards</x:v>
      </x:c>
      <x:c r="B733" t="str">
        <x:v>J04.05</x:v>
      </x:c>
      <x:c r="C733" t="str">
        <x:v>sold</x:v>
      </x:c>
      <x:c r="D733" t="str">
        <x:v>present</x:v>
      </x:c>
      <x:c r="E733" t="str">
        <x:v>baseline</x:v>
      </x:c>
      <x:c r="F733" s="11" t="n">
        <x:v>46252.68496519676</x:v>
      </x:c>
      <x:c r="G733" t="str">
        <x:v>flat</x:v>
      </x:c>
      <x:c r="H733" s="12" t="n">
        <x:v>2</x:v>
      </x:c>
      <x:c r="I733" s="13" t="n">
        <x:v>4</x:v>
      </x:c>
      <x:c r="J733" t="str">
        <x:v>J</x:v>
      </x:c>
      <x:c r="K733" s="14" t="n">
        <x:v>50.39</x:v>
      </x:c>
      <x:c r="L733" s="14"/>
      <x:c r="M733" s="14"/>
      <x:c r="N733" s="14"/>
      <x:c r="O733" s="14"/>
      <x:c r="P733" s="14" t="n">
        <x:v>4.39</x:v>
      </x:c>
      <x:c r="Q733" s="14" t="n">
        <x:v>54.78</x:v>
      </x:c>
      <x:c r="R733" s="15"/>
      <x:c r="S733" s="15"/>
      <x:c r="T733" s="15"/>
      <x:c r="U733" s="16"/>
      <x:c r="V733" t="str">
        <x:v>JTRE</x:v>
      </x:c>
      <x:c r="W733" t="str">
        <x:v>Ružinov</x:v>
      </x:c>
      <x:c r="X733" s="11" t="str">
        <x:v>Predaný</x:v>
      </x:c>
      <x:c r="Y733" s="11" t="str">
        <x:v>https://d-y.sk/byty/j04.05/</x:v>
      </x:c>
      <x:c r="Z733" s="11" t="n">
        <x:v>46252.68496519676</x:v>
      </x:c>
      <x:c r="AA733" s="11" t="n">
        <x:v>46254.51251577547</x:v>
      </x:c>
      <x:c r="AB733" s="11" t="n">
        <x:v>46254.51251577547</x:v>
      </x:c>
      <x:c r="AC733" t="str">
        <x:v>downtown_yards</x:v>
      </x:c>
    </x:row>
    <x:row r="734" ht="22" customHeight="1">
      <x:c r="A734" t="str">
        <x:v>Downtown Yards</x:v>
      </x:c>
      <x:c r="B734" t="str">
        <x:v>J04.06</x:v>
      </x:c>
      <x:c r="C734" t="str">
        <x:v>available</x:v>
      </x:c>
      <x:c r="D734" t="str">
        <x:v>present</x:v>
      </x:c>
      <x:c r="E734" t="str">
        <x:v>baseline</x:v>
      </x:c>
      <x:c r="F734" s="11" t="n">
        <x:v>46252.68496519676</x:v>
      </x:c>
      <x:c r="G734" t="str">
        <x:v>flat</x:v>
      </x:c>
      <x:c r="H734" s="12" t="n">
        <x:v>2</x:v>
      </x:c>
      <x:c r="I734" s="13" t="n">
        <x:v>4</x:v>
      </x:c>
      <x:c r="J734" t="str">
        <x:v>J</x:v>
      </x:c>
      <x:c r="K734" s="14" t="n">
        <x:v>61.72</x:v>
      </x:c>
      <x:c r="L734" s="14"/>
      <x:c r="M734" s="14"/>
      <x:c r="N734" s="14"/>
      <x:c r="O734" s="14"/>
      <x:c r="P734" s="14" t="n">
        <x:v>6.58</x:v>
      </x:c>
      <x:c r="Q734" s="14" t="n">
        <x:v>68.3</x:v>
      </x:c>
      <x:c r="R734" s="15" t="n">
        <x:v>373674</x:v>
      </x:c>
      <x:c r="S734" s="15" t="n">
        <x:v>424596</x:v>
      </x:c>
      <x:c r="T734" s="15" t="n">
        <x:v>373674</x:v>
      </x:c>
      <x:c r="U734" s="16" t="n">
        <x:v>6054.34</x:v>
      </x:c>
      <x:c r="V734" t="str">
        <x:v>JTRE</x:v>
      </x:c>
      <x:c r="W734" t="str">
        <x:v>Ružinov</x:v>
      </x:c>
      <x:c r="X734" s="11" t="str">
        <x:v>Voľný</x:v>
      </x:c>
      <x:c r="Y734" s="11" t="str">
        <x:v>https://d-y.sk/byty/j04.06/</x:v>
      </x:c>
      <x:c r="Z734" s="11" t="n">
        <x:v>46252.68496519676</x:v>
      </x:c>
      <x:c r="AA734" s="11" t="n">
        <x:v>46254.51251577547</x:v>
      </x:c>
      <x:c r="AB734" s="11" t="n">
        <x:v>46254.51251577547</x:v>
      </x:c>
      <x:c r="AC734" t="str">
        <x:v>downtown_yards</x:v>
      </x:c>
    </x:row>
    <x:row r="735" ht="22" customHeight="1">
      <x:c r="A735" t="str">
        <x:v>Downtown Yards</x:v>
      </x:c>
      <x:c r="B735" t="str">
        <x:v>J04.07</x:v>
      </x:c>
      <x:c r="C735" t="str">
        <x:v>sold</x:v>
      </x:c>
      <x:c r="D735" t="str">
        <x:v>present</x:v>
      </x:c>
      <x:c r="E735" t="str">
        <x:v>baseline</x:v>
      </x:c>
      <x:c r="F735" s="11" t="n">
        <x:v>46252.68496519676</x:v>
      </x:c>
      <x:c r="G735" t="str">
        <x:v>flat</x:v>
      </x:c>
      <x:c r="H735" s="12" t="n">
        <x:v>2</x:v>
      </x:c>
      <x:c r="I735" s="13" t="n">
        <x:v>4</x:v>
      </x:c>
      <x:c r="J735" t="str">
        <x:v>J</x:v>
      </x:c>
      <x:c r="K735" s="14" t="n">
        <x:v>51.25</x:v>
      </x:c>
      <x:c r="L735" s="14"/>
      <x:c r="M735" s="14"/>
      <x:c r="N735" s="14"/>
      <x:c r="O735" s="14"/>
      <x:c r="P735" s="14" t="n">
        <x:v>6.58</x:v>
      </x:c>
      <x:c r="Q735" s="14" t="n">
        <x:v>57.83</x:v>
      </x:c>
      <x:c r="R735" s="15"/>
      <x:c r="S735" s="15"/>
      <x:c r="T735" s="15"/>
      <x:c r="U735" s="16"/>
      <x:c r="V735" t="str">
        <x:v>JTRE</x:v>
      </x:c>
      <x:c r="W735" t="str">
        <x:v>Ružinov</x:v>
      </x:c>
      <x:c r="X735" s="11" t="str">
        <x:v>Predaný</x:v>
      </x:c>
      <x:c r="Y735" s="11" t="str">
        <x:v>https://d-y.sk/byty/j04.07/</x:v>
      </x:c>
      <x:c r="Z735" s="11" t="n">
        <x:v>46252.68496519676</x:v>
      </x:c>
      <x:c r="AA735" s="11" t="n">
        <x:v>46254.51251577547</x:v>
      </x:c>
      <x:c r="AB735" s="11" t="n">
        <x:v>46254.51251577547</x:v>
      </x:c>
      <x:c r="AC735" t="str">
        <x:v>downtown_yards</x:v>
      </x:c>
    </x:row>
    <x:row r="736" ht="22" customHeight="1">
      <x:c r="A736" t="str">
        <x:v>Downtown Yards</x:v>
      </x:c>
      <x:c r="B736" t="str">
        <x:v>J04.08</x:v>
      </x:c>
      <x:c r="C736" t="str">
        <x:v>available</x:v>
      </x:c>
      <x:c r="D736" t="str">
        <x:v>present</x:v>
      </x:c>
      <x:c r="E736" t="str">
        <x:v>baseline</x:v>
      </x:c>
      <x:c r="F736" s="11" t="n">
        <x:v>46252.68496519676</x:v>
      </x:c>
      <x:c r="G736" t="str">
        <x:v>flat</x:v>
      </x:c>
      <x:c r="H736" s="12" t="n">
        <x:v>2</x:v>
      </x:c>
      <x:c r="I736" s="13" t="n">
        <x:v>4</x:v>
      </x:c>
      <x:c r="J736" t="str">
        <x:v>J</x:v>
      </x:c>
      <x:c r="K736" s="14" t="n">
        <x:v>49.45</x:v>
      </x:c>
      <x:c r="L736" s="14"/>
      <x:c r="M736" s="14"/>
      <x:c r="N736" s="14"/>
      <x:c r="O736" s="14"/>
      <x:c r="P736" s="14" t="n">
        <x:v>6.58</x:v>
      </x:c>
      <x:c r="Q736" s="14" t="n">
        <x:v>56.03</x:v>
      </x:c>
      <x:c r="R736" s="15" t="n">
        <x:v>336405</x:v>
      </x:c>
      <x:c r="S736" s="15" t="n">
        <x:v>382161</x:v>
      </x:c>
      <x:c r="T736" s="15" t="n">
        <x:v>336405</x:v>
      </x:c>
      <x:c r="U736" s="16" t="n">
        <x:v>6802.93</x:v>
      </x:c>
      <x:c r="V736" t="str">
        <x:v>JTRE</x:v>
      </x:c>
      <x:c r="W736" t="str">
        <x:v>Ružinov</x:v>
      </x:c>
      <x:c r="X736" s="11" t="str">
        <x:v>Voľný</x:v>
      </x:c>
      <x:c r="Y736" s="11" t="str">
        <x:v>https://d-y.sk/byty/j04.08/</x:v>
      </x:c>
      <x:c r="Z736" s="11" t="n">
        <x:v>46252.68496519676</x:v>
      </x:c>
      <x:c r="AA736" s="11" t="n">
        <x:v>46254.51251577547</x:v>
      </x:c>
      <x:c r="AB736" s="11" t="n">
        <x:v>46254.51251577547</x:v>
      </x:c>
      <x:c r="AC736" t="str">
        <x:v>downtown_yards</x:v>
      </x:c>
    </x:row>
    <x:row r="737" ht="22" customHeight="1">
      <x:c r="A737" t="str">
        <x:v>Downtown Yards</x:v>
      </x:c>
      <x:c r="B737" t="str">
        <x:v>J04.09</x:v>
      </x:c>
      <x:c r="C737" t="str">
        <x:v>available</x:v>
      </x:c>
      <x:c r="D737" t="str">
        <x:v>present</x:v>
      </x:c>
      <x:c r="E737" t="str">
        <x:v>baseline</x:v>
      </x:c>
      <x:c r="F737" s="11" t="n">
        <x:v>46252.68496519676</x:v>
      </x:c>
      <x:c r="G737" t="str">
        <x:v>flat</x:v>
      </x:c>
      <x:c r="H737" s="12" t="n">
        <x:v>3</x:v>
      </x:c>
      <x:c r="I737" s="13" t="n">
        <x:v>4</x:v>
      </x:c>
      <x:c r="J737" t="str">
        <x:v>J</x:v>
      </x:c>
      <x:c r="K737" s="14" t="n">
        <x:v>76.13</x:v>
      </x:c>
      <x:c r="L737" s="14"/>
      <x:c r="M737" s="14"/>
      <x:c r="N737" s="14"/>
      <x:c r="O737" s="14"/>
      <x:c r="P737" s="14" t="n">
        <x:v>12.1</x:v>
      </x:c>
      <x:c r="Q737" s="14" t="n">
        <x:v>88.23</x:v>
      </x:c>
      <x:c r="R737" s="15" t="n">
        <x:v>516231</x:v>
      </x:c>
      <x:c r="S737" s="15" t="n">
        <x:v>596796</x:v>
      </x:c>
      <x:c r="T737" s="15" t="n">
        <x:v>516231</x:v>
      </x:c>
      <x:c r="U737" s="16" t="n">
        <x:v>6780.91</x:v>
      </x:c>
      <x:c r="V737" t="str">
        <x:v>JTRE</x:v>
      </x:c>
      <x:c r="W737" t="str">
        <x:v>Ružinov</x:v>
      </x:c>
      <x:c r="X737" s="11" t="str">
        <x:v>Voľný</x:v>
      </x:c>
      <x:c r="Y737" s="11" t="str">
        <x:v>https://d-y.sk/byty/j04.09/</x:v>
      </x:c>
      <x:c r="Z737" s="11" t="n">
        <x:v>46252.68496519676</x:v>
      </x:c>
      <x:c r="AA737" s="11" t="n">
        <x:v>46254.51251577547</x:v>
      </x:c>
      <x:c r="AB737" s="11" t="n">
        <x:v>46254.51251577547</x:v>
      </x:c>
      <x:c r="AC737" t="str">
        <x:v>downtown_yards</x:v>
      </x:c>
    </x:row>
    <x:row r="738" ht="22" customHeight="1">
      <x:c r="A738" t="str">
        <x:v>Downtown Yards</x:v>
      </x:c>
      <x:c r="B738" t="str">
        <x:v>J04.10</x:v>
      </x:c>
      <x:c r="C738" t="str">
        <x:v>available</x:v>
      </x:c>
      <x:c r="D738" t="str">
        <x:v>present</x:v>
      </x:c>
      <x:c r="E738" t="str">
        <x:v>baseline</x:v>
      </x:c>
      <x:c r="F738" s="11" t="n">
        <x:v>46252.68496519676</x:v>
      </x:c>
      <x:c r="G738" t="str">
        <x:v>apartment</x:v>
      </x:c>
      <x:c r="H738" s="12" t="n">
        <x:v>1</x:v>
      </x:c>
      <x:c r="I738" s="13" t="n">
        <x:v>4</x:v>
      </x:c>
      <x:c r="J738" t="str">
        <x:v>J</x:v>
      </x:c>
      <x:c r="K738" s="14" t="n">
        <x:v>31.58</x:v>
      </x:c>
      <x:c r="L738" s="14"/>
      <x:c r="M738" s="14"/>
      <x:c r="N738" s="14"/>
      <x:c r="O738" s="14"/>
      <x:c r="P738" s="14" t="n">
        <x:v>3.23</x:v>
      </x:c>
      <x:c r="Q738" s="14" t="n">
        <x:v>34.81</x:v>
      </x:c>
      <x:c r="R738" s="15" t="n">
        <x:v>244770</x:v>
      </x:c>
      <x:c r="S738" s="15" t="n">
        <x:v>270354</x:v>
      </x:c>
      <x:c r="T738" s="15" t="n">
        <x:v>244770</x:v>
      </x:c>
      <x:c r="U738" s="16" t="n">
        <x:v>7750.79</x:v>
      </x:c>
      <x:c r="V738" t="str">
        <x:v>JTRE</x:v>
      </x:c>
      <x:c r="W738" t="str">
        <x:v>Ružinov</x:v>
      </x:c>
      <x:c r="X738" s="11" t="str">
        <x:v>Voľný</x:v>
      </x:c>
      <x:c r="Y738" s="11" t="str">
        <x:v>https://d-y.sk/byty/j04.10/</x:v>
      </x:c>
      <x:c r="Z738" s="11" t="n">
        <x:v>46252.68496519676</x:v>
      </x:c>
      <x:c r="AA738" s="11" t="n">
        <x:v>46254.51251577547</x:v>
      </x:c>
      <x:c r="AB738" s="11" t="n">
        <x:v>46254.51251577547</x:v>
      </x:c>
      <x:c r="AC738" t="str">
        <x:v>downtown_yards</x:v>
      </x:c>
    </x:row>
    <x:row r="739" ht="22" customHeight="1">
      <x:c r="A739" t="str">
        <x:v>Downtown Yards</x:v>
      </x:c>
      <x:c r="B739" t="str">
        <x:v>J05.01</x:v>
      </x:c>
      <x:c r="C739" t="str">
        <x:v>available</x:v>
      </x:c>
      <x:c r="D739" t="str">
        <x:v>present</x:v>
      </x:c>
      <x:c r="E739" t="str">
        <x:v>baseline</x:v>
      </x:c>
      <x:c r="F739" s="11" t="n">
        <x:v>46252.68496519676</x:v>
      </x:c>
      <x:c r="G739" t="str">
        <x:v>apartment</x:v>
      </x:c>
      <x:c r="H739" s="12" t="n">
        <x:v>1</x:v>
      </x:c>
      <x:c r="I739" s="13" t="n">
        <x:v>5</x:v>
      </x:c>
      <x:c r="J739" t="str">
        <x:v>J</x:v>
      </x:c>
      <x:c r="K739" s="14" t="n">
        <x:v>31.77</x:v>
      </x:c>
      <x:c r="L739" s="14"/>
      <x:c r="M739" s="14"/>
      <x:c r="N739" s="14"/>
      <x:c r="O739" s="14"/>
      <x:c r="P739" s="14" t="n">
        <x:v>3.21</x:v>
      </x:c>
      <x:c r="Q739" s="14" t="n">
        <x:v>34.98</x:v>
      </x:c>
      <x:c r="R739" s="15" t="n">
        <x:v>247968</x:v>
      </x:c>
      <x:c r="S739" s="15" t="n">
        <x:v>273921</x:v>
      </x:c>
      <x:c r="T739" s="15" t="n">
        <x:v>247968</x:v>
      </x:c>
      <x:c r="U739" s="16" t="n">
        <x:v>7805.1</x:v>
      </x:c>
      <x:c r="V739" t="str">
        <x:v>JTRE</x:v>
      </x:c>
      <x:c r="W739" t="str">
        <x:v>Ružinov</x:v>
      </x:c>
      <x:c r="X739" s="11" t="str">
        <x:v>Voľný</x:v>
      </x:c>
      <x:c r="Y739" s="11" t="str">
        <x:v>https://d-y.sk/byty/j05.01/</x:v>
      </x:c>
      <x:c r="Z739" s="11" t="n">
        <x:v>46252.68496519676</x:v>
      </x:c>
      <x:c r="AA739" s="11" t="n">
        <x:v>46254.51251577547</x:v>
      </x:c>
      <x:c r="AB739" s="11" t="n">
        <x:v>46254.51251577547</x:v>
      </x:c>
      <x:c r="AC739" t="str">
        <x:v>downtown_yards</x:v>
      </x:c>
    </x:row>
    <x:row r="740" ht="22" customHeight="1">
      <x:c r="A740" t="str">
        <x:v>Downtown Yards</x:v>
      </x:c>
      <x:c r="B740" t="str">
        <x:v>J05.02</x:v>
      </x:c>
      <x:c r="C740" t="str">
        <x:v>available</x:v>
      </x:c>
      <x:c r="D740" t="str">
        <x:v>present</x:v>
      </x:c>
      <x:c r="E740" t="str">
        <x:v>baseline</x:v>
      </x:c>
      <x:c r="F740" s="11" t="n">
        <x:v>46252.68496519676</x:v>
      </x:c>
      <x:c r="G740" t="str">
        <x:v>flat</x:v>
      </x:c>
      <x:c r="H740" s="12" t="n">
        <x:v>3</x:v>
      </x:c>
      <x:c r="I740" s="13" t="n">
        <x:v>5</x:v>
      </x:c>
      <x:c r="J740" t="str">
        <x:v>J</x:v>
      </x:c>
      <x:c r="K740" s="14" t="n">
        <x:v>80.27</x:v>
      </x:c>
      <x:c r="L740" s="14"/>
      <x:c r="M740" s="14"/>
      <x:c r="N740" s="14"/>
      <x:c r="O740" s="14"/>
      <x:c r="P740" s="14" t="n">
        <x:v>9.14</x:v>
      </x:c>
      <x:c r="Q740" s="14" t="n">
        <x:v>89.41</x:v>
      </x:c>
      <x:c r="R740" s="15" t="n">
        <x:v>541692</x:v>
      </x:c>
      <x:c r="S740" s="15" t="n">
        <x:v>591999</x:v>
      </x:c>
      <x:c r="T740" s="15" t="n">
        <x:v>541692</x:v>
      </x:c>
      <x:c r="U740" s="16" t="n">
        <x:v>6748.37</x:v>
      </x:c>
      <x:c r="V740" t="str">
        <x:v>JTRE</x:v>
      </x:c>
      <x:c r="W740" t="str">
        <x:v>Ružinov</x:v>
      </x:c>
      <x:c r="X740" s="11" t="str">
        <x:v>Voľný</x:v>
      </x:c>
      <x:c r="Y740" s="11" t="str">
        <x:v>https://d-y.sk/byty/j05.02/</x:v>
      </x:c>
      <x:c r="Z740" s="11" t="n">
        <x:v>46252.68496519676</x:v>
      </x:c>
      <x:c r="AA740" s="11" t="n">
        <x:v>46254.51251577547</x:v>
      </x:c>
      <x:c r="AB740" s="11" t="n">
        <x:v>46254.51251577547</x:v>
      </x:c>
      <x:c r="AC740" t="str">
        <x:v>downtown_yards</x:v>
      </x:c>
    </x:row>
    <x:row r="741" ht="22" customHeight="1">
      <x:c r="A741" t="str">
        <x:v>Downtown Yards</x:v>
      </x:c>
      <x:c r="B741" t="str">
        <x:v>J05.03</x:v>
      </x:c>
      <x:c r="C741" t="str">
        <x:v>available</x:v>
      </x:c>
      <x:c r="D741" t="str">
        <x:v>present</x:v>
      </x:c>
      <x:c r="E741" t="str">
        <x:v>baseline</x:v>
      </x:c>
      <x:c r="F741" s="11" t="n">
        <x:v>46252.68496519676</x:v>
      </x:c>
      <x:c r="G741" t="str">
        <x:v>flat</x:v>
      </x:c>
      <x:c r="H741" s="12" t="n">
        <x:v>2</x:v>
      </x:c>
      <x:c r="I741" s="13" t="n">
        <x:v>5</x:v>
      </x:c>
      <x:c r="J741" t="str">
        <x:v>J</x:v>
      </x:c>
      <x:c r="K741" s="14" t="n">
        <x:v>51.95</x:v>
      </x:c>
      <x:c r="L741" s="14"/>
      <x:c r="M741" s="14"/>
      <x:c r="N741" s="14"/>
      <x:c r="O741" s="14"/>
      <x:c r="P741" s="14" t="n">
        <x:v>3.82</x:v>
      </x:c>
      <x:c r="Q741" s="14" t="n">
        <x:v>55.77</x:v>
      </x:c>
      <x:c r="R741" s="15" t="n">
        <x:v>356946</x:v>
      </x:c>
      <x:c r="S741" s="15" t="n">
        <x:v>383760</x:v>
      </x:c>
      <x:c r="T741" s="15" t="n">
        <x:v>356946</x:v>
      </x:c>
      <x:c r="U741" s="16" t="n">
        <x:v>6870.95</x:v>
      </x:c>
      <x:c r="V741" t="str">
        <x:v>JTRE</x:v>
      </x:c>
      <x:c r="W741" t="str">
        <x:v>Ružinov</x:v>
      </x:c>
      <x:c r="X741" s="11" t="str">
        <x:v>Voľný</x:v>
      </x:c>
      <x:c r="Y741" s="11" t="str">
        <x:v>https://d-y.sk/byty/j05.03/</x:v>
      </x:c>
      <x:c r="Z741" s="11" t="n">
        <x:v>46252.68496519676</x:v>
      </x:c>
      <x:c r="AA741" s="11" t="n">
        <x:v>46254.51251577547</x:v>
      </x:c>
      <x:c r="AB741" s="11" t="n">
        <x:v>46254.51251577547</x:v>
      </x:c>
      <x:c r="AC741" t="str">
        <x:v>downtown_yards</x:v>
      </x:c>
    </x:row>
    <x:row r="742" ht="22" customHeight="1">
      <x:c r="A742" t="str">
        <x:v>Downtown Yards</x:v>
      </x:c>
      <x:c r="B742" t="str">
        <x:v>J05.04</x:v>
      </x:c>
      <x:c r="C742" t="str">
        <x:v>sold</x:v>
      </x:c>
      <x:c r="D742" t="str">
        <x:v>present</x:v>
      </x:c>
      <x:c r="E742" t="str">
        <x:v>baseline</x:v>
      </x:c>
      <x:c r="F742" s="11" t="n">
        <x:v>46252.68496519676</x:v>
      </x:c>
      <x:c r="G742" t="str">
        <x:v>flat</x:v>
      </x:c>
      <x:c r="H742" s="12" t="n">
        <x:v>2</x:v>
      </x:c>
      <x:c r="I742" s="13" t="n">
        <x:v>5</x:v>
      </x:c>
      <x:c r="J742" t="str">
        <x:v>J</x:v>
      </x:c>
      <x:c r="K742" s="14" t="n">
        <x:v>51.4</x:v>
      </x:c>
      <x:c r="L742" s="14"/>
      <x:c r="M742" s="14"/>
      <x:c r="N742" s="14"/>
      <x:c r="O742" s="14"/>
      <x:c r="P742" s="14" t="n">
        <x:v>3.82</x:v>
      </x:c>
      <x:c r="Q742" s="14" t="n">
        <x:v>55.22</x:v>
      </x:c>
      <x:c r="R742" s="15"/>
      <x:c r="S742" s="15"/>
      <x:c r="T742" s="15"/>
      <x:c r="U742" s="16"/>
      <x:c r="V742" t="str">
        <x:v>JTRE</x:v>
      </x:c>
      <x:c r="W742" t="str">
        <x:v>Ružinov</x:v>
      </x:c>
      <x:c r="X742" s="11" t="str">
        <x:v>Predaný</x:v>
      </x:c>
      <x:c r="Y742" s="11" t="str">
        <x:v>https://d-y.sk/byty/j05.04/</x:v>
      </x:c>
      <x:c r="Z742" s="11" t="n">
        <x:v>46252.68496519676</x:v>
      </x:c>
      <x:c r="AA742" s="11" t="n">
        <x:v>46254.51251577547</x:v>
      </x:c>
      <x:c r="AB742" s="11" t="n">
        <x:v>46254.51251577547</x:v>
      </x:c>
      <x:c r="AC742" t="str">
        <x:v>downtown_yards</x:v>
      </x:c>
    </x:row>
    <x:row r="743" ht="22" customHeight="1">
      <x:c r="A743" t="str">
        <x:v>Downtown Yards</x:v>
      </x:c>
      <x:c r="B743" t="str">
        <x:v>J05.05</x:v>
      </x:c>
      <x:c r="C743" t="str">
        <x:v>sold</x:v>
      </x:c>
      <x:c r="D743" t="str">
        <x:v>present</x:v>
      </x:c>
      <x:c r="E743" t="str">
        <x:v>baseline</x:v>
      </x:c>
      <x:c r="F743" s="11" t="n">
        <x:v>46252.68496519676</x:v>
      </x:c>
      <x:c r="G743" t="str">
        <x:v>flat</x:v>
      </x:c>
      <x:c r="H743" s="12" t="n">
        <x:v>2</x:v>
      </x:c>
      <x:c r="I743" s="13" t="n">
        <x:v>5</x:v>
      </x:c>
      <x:c r="J743" t="str">
        <x:v>J</x:v>
      </x:c>
      <x:c r="K743" s="14" t="n">
        <x:v>50.39</x:v>
      </x:c>
      <x:c r="L743" s="14"/>
      <x:c r="M743" s="14"/>
      <x:c r="N743" s="14"/>
      <x:c r="O743" s="14"/>
      <x:c r="P743" s="14" t="n">
        <x:v>4.39</x:v>
      </x:c>
      <x:c r="Q743" s="14" t="n">
        <x:v>54.78</x:v>
      </x:c>
      <x:c r="R743" s="15"/>
      <x:c r="S743" s="15"/>
      <x:c r="T743" s="15"/>
      <x:c r="U743" s="16"/>
      <x:c r="V743" t="str">
        <x:v>JTRE</x:v>
      </x:c>
      <x:c r="W743" t="str">
        <x:v>Ružinov</x:v>
      </x:c>
      <x:c r="X743" s="11" t="str">
        <x:v>Predaný</x:v>
      </x:c>
      <x:c r="Y743" s="11" t="str">
        <x:v>https://d-y.sk/byty/j05.05/</x:v>
      </x:c>
      <x:c r="Z743" s="11" t="n">
        <x:v>46252.68496519676</x:v>
      </x:c>
      <x:c r="AA743" s="11" t="n">
        <x:v>46254.51251577547</x:v>
      </x:c>
      <x:c r="AB743" s="11" t="n">
        <x:v>46254.51251577547</x:v>
      </x:c>
      <x:c r="AC743" t="str">
        <x:v>downtown_yards</x:v>
      </x:c>
    </x:row>
    <x:row r="744" ht="22" customHeight="1">
      <x:c r="A744" t="str">
        <x:v>Downtown Yards</x:v>
      </x:c>
      <x:c r="B744" t="str">
        <x:v>J05.06</x:v>
      </x:c>
      <x:c r="C744" t="str">
        <x:v>pre_reserved</x:v>
      </x:c>
      <x:c r="D744" t="str">
        <x:v>present</x:v>
      </x:c>
      <x:c r="E744" t="str">
        <x:v>baseline</x:v>
      </x:c>
      <x:c r="F744" s="11" t="n">
        <x:v>46252.68496519676</x:v>
      </x:c>
      <x:c r="G744" t="str">
        <x:v>flat</x:v>
      </x:c>
      <x:c r="H744" s="12" t="n">
        <x:v>2</x:v>
      </x:c>
      <x:c r="I744" s="13" t="n">
        <x:v>5</x:v>
      </x:c>
      <x:c r="J744" t="str">
        <x:v>J</x:v>
      </x:c>
      <x:c r="K744" s="14" t="n">
        <x:v>61.72</x:v>
      </x:c>
      <x:c r="L744" s="14"/>
      <x:c r="M744" s="14"/>
      <x:c r="N744" s="14"/>
      <x:c r="O744" s="14"/>
      <x:c r="P744" s="14" t="n">
        <x:v>6.58</x:v>
      </x:c>
      <x:c r="Q744" s="14" t="n">
        <x:v>68.3</x:v>
      </x:c>
      <x:c r="R744" s="15" t="n">
        <x:v>378348</x:v>
      </x:c>
      <x:c r="S744" s="15" t="n">
        <x:v>429885</x:v>
      </x:c>
      <x:c r="T744" s="15" t="n">
        <x:v>378348</x:v>
      </x:c>
      <x:c r="U744" s="16" t="n">
        <x:v>6130.07</x:v>
      </x:c>
      <x:c r="V744" t="str">
        <x:v>JTRE</x:v>
      </x:c>
      <x:c r="W744" t="str">
        <x:v>Ružinov</x:v>
      </x:c>
      <x:c r="X744" s="11" t="str">
        <x:v>Predrezervovaný</x:v>
      </x:c>
      <x:c r="Y744" s="11" t="str">
        <x:v>https://d-y.sk/byty/j05.06/</x:v>
      </x:c>
      <x:c r="Z744" s="11" t="n">
        <x:v>46252.68496519676</x:v>
      </x:c>
      <x:c r="AA744" s="11" t="n">
        <x:v>46254.51251577547</x:v>
      </x:c>
      <x:c r="AB744" s="11" t="n">
        <x:v>46254.51251577547</x:v>
      </x:c>
      <x:c r="AC744" t="str">
        <x:v>downtown_yards</x:v>
      </x:c>
    </x:row>
    <x:row r="745" ht="22" customHeight="1">
      <x:c r="A745" t="str">
        <x:v>Downtown Yards</x:v>
      </x:c>
      <x:c r="B745" t="str">
        <x:v>J05.07</x:v>
      </x:c>
      <x:c r="C745" t="str">
        <x:v>sold</x:v>
      </x:c>
      <x:c r="D745" t="str">
        <x:v>present</x:v>
      </x:c>
      <x:c r="E745" t="str">
        <x:v>baseline</x:v>
      </x:c>
      <x:c r="F745" s="11" t="n">
        <x:v>46252.68496519676</x:v>
      </x:c>
      <x:c r="G745" t="str">
        <x:v>flat</x:v>
      </x:c>
      <x:c r="H745" s="12" t="n">
        <x:v>2</x:v>
      </x:c>
      <x:c r="I745" s="13" t="n">
        <x:v>5</x:v>
      </x:c>
      <x:c r="J745" t="str">
        <x:v>J</x:v>
      </x:c>
      <x:c r="K745" s="14" t="n">
        <x:v>51.25</x:v>
      </x:c>
      <x:c r="L745" s="14"/>
      <x:c r="M745" s="14"/>
      <x:c r="N745" s="14"/>
      <x:c r="O745" s="14"/>
      <x:c r="P745" s="14" t="n">
        <x:v>6.58</x:v>
      </x:c>
      <x:c r="Q745" s="14" t="n">
        <x:v>57.83</x:v>
      </x:c>
      <x:c r="R745" s="15"/>
      <x:c r="S745" s="15"/>
      <x:c r="T745" s="15"/>
      <x:c r="U745" s="16"/>
      <x:c r="V745" t="str">
        <x:v>JTRE</x:v>
      </x:c>
      <x:c r="W745" t="str">
        <x:v>Ružinov</x:v>
      </x:c>
      <x:c r="X745" s="11" t="str">
        <x:v>Predaný</x:v>
      </x:c>
      <x:c r="Y745" s="11" t="str">
        <x:v>https://d-y.sk/byty/j05.07/</x:v>
      </x:c>
      <x:c r="Z745" s="11" t="n">
        <x:v>46252.68496519676</x:v>
      </x:c>
      <x:c r="AA745" s="11" t="n">
        <x:v>46254.51251577547</x:v>
      </x:c>
      <x:c r="AB745" s="11" t="n">
        <x:v>46254.51251577547</x:v>
      </x:c>
      <x:c r="AC745" t="str">
        <x:v>downtown_yards</x:v>
      </x:c>
    </x:row>
    <x:row r="746" ht="22" customHeight="1">
      <x:c r="A746" t="str">
        <x:v>Downtown Yards</x:v>
      </x:c>
      <x:c r="B746" t="str">
        <x:v>J05.08</x:v>
      </x:c>
      <x:c r="C746" t="str">
        <x:v>sold</x:v>
      </x:c>
      <x:c r="D746" t="str">
        <x:v>present</x:v>
      </x:c>
      <x:c r="E746" t="str">
        <x:v>baseline</x:v>
      </x:c>
      <x:c r="F746" s="11" t="n">
        <x:v>46252.68496519676</x:v>
      </x:c>
      <x:c r="G746" t="str">
        <x:v>flat</x:v>
      </x:c>
      <x:c r="H746" s="12" t="n">
        <x:v>2</x:v>
      </x:c>
      <x:c r="I746" s="13" t="n">
        <x:v>5</x:v>
      </x:c>
      <x:c r="J746" t="str">
        <x:v>J</x:v>
      </x:c>
      <x:c r="K746" s="14" t="n">
        <x:v>49.45</x:v>
      </x:c>
      <x:c r="L746" s="14"/>
      <x:c r="M746" s="14"/>
      <x:c r="N746" s="14"/>
      <x:c r="O746" s="14"/>
      <x:c r="P746" s="14" t="n">
        <x:v>6.58</x:v>
      </x:c>
      <x:c r="Q746" s="14" t="n">
        <x:v>56.03</x:v>
      </x:c>
      <x:c r="R746" s="15"/>
      <x:c r="S746" s="15"/>
      <x:c r="T746" s="15"/>
      <x:c r="U746" s="16"/>
      <x:c r="V746" t="str">
        <x:v>JTRE</x:v>
      </x:c>
      <x:c r="W746" t="str">
        <x:v>Ružinov</x:v>
      </x:c>
      <x:c r="X746" s="11" t="str">
        <x:v>Predaný</x:v>
      </x:c>
      <x:c r="Y746" s="11" t="str">
        <x:v>https://d-y.sk/byty/j05.08/</x:v>
      </x:c>
      <x:c r="Z746" s="11" t="n">
        <x:v>46252.68496519676</x:v>
      </x:c>
      <x:c r="AA746" s="11" t="n">
        <x:v>46254.51251577547</x:v>
      </x:c>
      <x:c r="AB746" s="11" t="n">
        <x:v>46254.51251577547</x:v>
      </x:c>
      <x:c r="AC746" t="str">
        <x:v>downtown_yards</x:v>
      </x:c>
    </x:row>
    <x:row r="747" ht="22" customHeight="1">
      <x:c r="A747" t="str">
        <x:v>Downtown Yards</x:v>
      </x:c>
      <x:c r="B747" t="str">
        <x:v>J05.09</x:v>
      </x:c>
      <x:c r="C747" t="str">
        <x:v>available</x:v>
      </x:c>
      <x:c r="D747" t="str">
        <x:v>present</x:v>
      </x:c>
      <x:c r="E747" t="str">
        <x:v>baseline</x:v>
      </x:c>
      <x:c r="F747" s="11" t="n">
        <x:v>46252.68496519676</x:v>
      </x:c>
      <x:c r="G747" t="str">
        <x:v>flat</x:v>
      </x:c>
      <x:c r="H747" s="12" t="n">
        <x:v>3</x:v>
      </x:c>
      <x:c r="I747" s="13" t="n">
        <x:v>5</x:v>
      </x:c>
      <x:c r="J747" t="str">
        <x:v>J</x:v>
      </x:c>
      <x:c r="K747" s="14" t="n">
        <x:v>76.66</x:v>
      </x:c>
      <x:c r="L747" s="14"/>
      <x:c r="M747" s="14"/>
      <x:c r="N747" s="14"/>
      <x:c r="O747" s="14"/>
      <x:c r="P747" s="14" t="n">
        <x:v>12.1</x:v>
      </x:c>
      <x:c r="Q747" s="14" t="n">
        <x:v>88.76</x:v>
      </x:c>
      <x:c r="R747" s="15" t="n">
        <x:v>525948</x:v>
      </x:c>
      <x:c r="S747" s="15" t="n">
        <x:v>607989</x:v>
      </x:c>
      <x:c r="T747" s="15" t="n">
        <x:v>525948</x:v>
      </x:c>
      <x:c r="U747" s="16" t="n">
        <x:v>6860.79</x:v>
      </x:c>
      <x:c r="V747" t="str">
        <x:v>JTRE</x:v>
      </x:c>
      <x:c r="W747" t="str">
        <x:v>Ružinov</x:v>
      </x:c>
      <x:c r="X747" s="11" t="str">
        <x:v>Voľný</x:v>
      </x:c>
      <x:c r="Y747" s="11" t="str">
        <x:v>https://d-y.sk/byty/j05.09/</x:v>
      </x:c>
      <x:c r="Z747" s="11" t="n">
        <x:v>46252.68496519676</x:v>
      </x:c>
      <x:c r="AA747" s="11" t="n">
        <x:v>46254.51251577547</x:v>
      </x:c>
      <x:c r="AB747" s="11" t="n">
        <x:v>46254.51251577547</x:v>
      </x:c>
      <x:c r="AC747" t="str">
        <x:v>downtown_yards</x:v>
      </x:c>
    </x:row>
    <x:row r="748" ht="22" customHeight="1">
      <x:c r="A748" t="str">
        <x:v>Downtown Yards</x:v>
      </x:c>
      <x:c r="B748" t="str">
        <x:v>J05.10</x:v>
      </x:c>
      <x:c r="C748" t="str">
        <x:v>available</x:v>
      </x:c>
      <x:c r="D748" t="str">
        <x:v>present</x:v>
      </x:c>
      <x:c r="E748" t="str">
        <x:v>baseline</x:v>
      </x:c>
      <x:c r="F748" s="11" t="n">
        <x:v>46252.68496519676</x:v>
      </x:c>
      <x:c r="G748" t="str">
        <x:v>apartment</x:v>
      </x:c>
      <x:c r="H748" s="12" t="n">
        <x:v>1</x:v>
      </x:c>
      <x:c r="I748" s="13" t="n">
        <x:v>5</x:v>
      </x:c>
      <x:c r="J748" t="str">
        <x:v>J</x:v>
      </x:c>
      <x:c r="K748" s="14" t="n">
        <x:v>31.77</x:v>
      </x:c>
      <x:c r="L748" s="14"/>
      <x:c r="M748" s="14"/>
      <x:c r="N748" s="14"/>
      <x:c r="O748" s="14"/>
      <x:c r="P748" s="14" t="n">
        <x:v>3.23</x:v>
      </x:c>
      <x:c r="Q748" s="14" t="n">
        <x:v>35</x:v>
      </x:c>
      <x:c r="R748" s="15" t="n">
        <x:v>248091</x:v>
      </x:c>
      <x:c r="S748" s="15" t="n">
        <x:v>274044</x:v>
      </x:c>
      <x:c r="T748" s="15" t="n">
        <x:v>248091</x:v>
      </x:c>
      <x:c r="U748" s="16" t="n">
        <x:v>7808.97</x:v>
      </x:c>
      <x:c r="V748" t="str">
        <x:v>JTRE</x:v>
      </x:c>
      <x:c r="W748" t="str">
        <x:v>Ružinov</x:v>
      </x:c>
      <x:c r="X748" s="11" t="str">
        <x:v>Voľný</x:v>
      </x:c>
      <x:c r="Y748" s="11" t="str">
        <x:v>https://d-y.sk/byty/j05.10/</x:v>
      </x:c>
      <x:c r="Z748" s="11" t="n">
        <x:v>46252.68496519676</x:v>
      </x:c>
      <x:c r="AA748" s="11" t="n">
        <x:v>46254.51251577547</x:v>
      </x:c>
      <x:c r="AB748" s="11" t="n">
        <x:v>46254.51251577547</x:v>
      </x:c>
      <x:c r="AC748" t="str">
        <x:v>downtown_yards</x:v>
      </x:c>
    </x:row>
    <x:row r="749" ht="22" customHeight="1">
      <x:c r="A749" t="str">
        <x:v>Downtown Yards</x:v>
      </x:c>
      <x:c r="B749" t="str">
        <x:v>J06.01</x:v>
      </x:c>
      <x:c r="C749" t="str">
        <x:v>available</x:v>
      </x:c>
      <x:c r="D749" t="str">
        <x:v>present</x:v>
      </x:c>
      <x:c r="E749" t="str">
        <x:v>baseline</x:v>
      </x:c>
      <x:c r="F749" s="11" t="n">
        <x:v>46252.68496519676</x:v>
      </x:c>
      <x:c r="G749" t="str">
        <x:v>apartment</x:v>
      </x:c>
      <x:c r="H749" s="12" t="n">
        <x:v>1</x:v>
      </x:c>
      <x:c r="I749" s="13" t="n">
        <x:v>6</x:v>
      </x:c>
      <x:c r="J749" t="str">
        <x:v>J</x:v>
      </x:c>
      <x:c r="K749" s="14" t="n">
        <x:v>31.77</x:v>
      </x:c>
      <x:c r="L749" s="14"/>
      <x:c r="M749" s="14"/>
      <x:c r="N749" s="14"/>
      <x:c r="O749" s="14"/>
      <x:c r="P749" s="14" t="n">
        <x:v>3.21</x:v>
      </x:c>
      <x:c r="Q749" s="14" t="n">
        <x:v>34.98</x:v>
      </x:c>
      <x:c r="R749" s="15" t="n">
        <x:v>249813</x:v>
      </x:c>
      <x:c r="S749" s="15" t="n">
        <x:v>276012</x:v>
      </x:c>
      <x:c r="T749" s="15" t="n">
        <x:v>249813</x:v>
      </x:c>
      <x:c r="U749" s="16" t="n">
        <x:v>7863.17</x:v>
      </x:c>
      <x:c r="V749" t="str">
        <x:v>JTRE</x:v>
      </x:c>
      <x:c r="W749" t="str">
        <x:v>Ružinov</x:v>
      </x:c>
      <x:c r="X749" s="11" t="str">
        <x:v>Voľný</x:v>
      </x:c>
      <x:c r="Y749" s="11" t="str">
        <x:v>https://d-y.sk/byty/j06.01/</x:v>
      </x:c>
      <x:c r="Z749" s="11" t="n">
        <x:v>46252.68496519676</x:v>
      </x:c>
      <x:c r="AA749" s="11" t="n">
        <x:v>46254.51251577547</x:v>
      </x:c>
      <x:c r="AB749" s="11" t="n">
        <x:v>46254.51251577547</x:v>
      </x:c>
      <x:c r="AC749" t="str">
        <x:v>downtown_yards</x:v>
      </x:c>
    </x:row>
    <x:row r="750" ht="22" customHeight="1">
      <x:c r="A750" t="str">
        <x:v>Downtown Yards</x:v>
      </x:c>
      <x:c r="B750" t="str">
        <x:v>J06.02</x:v>
      </x:c>
      <x:c r="C750" t="str">
        <x:v>available</x:v>
      </x:c>
      <x:c r="D750" t="str">
        <x:v>present</x:v>
      </x:c>
      <x:c r="E750" t="str">
        <x:v>baseline</x:v>
      </x:c>
      <x:c r="F750" s="11" t="n">
        <x:v>46252.68496519676</x:v>
      </x:c>
      <x:c r="G750" t="str">
        <x:v>flat</x:v>
      </x:c>
      <x:c r="H750" s="12" t="n">
        <x:v>3</x:v>
      </x:c>
      <x:c r="I750" s="13" t="n">
        <x:v>6</x:v>
      </x:c>
      <x:c r="J750" t="str">
        <x:v>J</x:v>
      </x:c>
      <x:c r="K750" s="14" t="n">
        <x:v>80.48</x:v>
      </x:c>
      <x:c r="L750" s="14"/>
      <x:c r="M750" s="14"/>
      <x:c r="N750" s="14"/>
      <x:c r="O750" s="14"/>
      <x:c r="P750" s="14" t="n">
        <x:v>9.14</x:v>
      </x:c>
      <x:c r="Q750" s="14" t="n">
        <x:v>89.62</x:v>
      </x:c>
      <x:c r="R750" s="15" t="n">
        <x:v>547104</x:v>
      </x:c>
      <x:c r="S750" s="15" t="n">
        <x:v>597903</x:v>
      </x:c>
      <x:c r="T750" s="15" t="n">
        <x:v>547104</x:v>
      </x:c>
      <x:c r="U750" s="16" t="n">
        <x:v>6798.01</x:v>
      </x:c>
      <x:c r="V750" t="str">
        <x:v>JTRE</x:v>
      </x:c>
      <x:c r="W750" t="str">
        <x:v>Ružinov</x:v>
      </x:c>
      <x:c r="X750" s="11" t="str">
        <x:v>Voľný</x:v>
      </x:c>
      <x:c r="Y750" s="11" t="str">
        <x:v>https://d-y.sk/byty/j06.02/</x:v>
      </x:c>
      <x:c r="Z750" s="11" t="n">
        <x:v>46252.68496519676</x:v>
      </x:c>
      <x:c r="AA750" s="11" t="n">
        <x:v>46254.51251577547</x:v>
      </x:c>
      <x:c r="AB750" s="11" t="n">
        <x:v>46254.51251577547</x:v>
      </x:c>
      <x:c r="AC750" t="str">
        <x:v>downtown_yards</x:v>
      </x:c>
    </x:row>
    <x:row r="751" ht="22" customHeight="1">
      <x:c r="A751" t="str">
        <x:v>Downtown Yards</x:v>
      </x:c>
      <x:c r="B751" t="str">
        <x:v>J06.03</x:v>
      </x:c>
      <x:c r="C751" t="str">
        <x:v>available</x:v>
      </x:c>
      <x:c r="D751" t="str">
        <x:v>present</x:v>
      </x:c>
      <x:c r="E751" t="str">
        <x:v>baseline</x:v>
      </x:c>
      <x:c r="F751" s="11" t="n">
        <x:v>46252.68496519676</x:v>
      </x:c>
      <x:c r="G751" t="str">
        <x:v>flat</x:v>
      </x:c>
      <x:c r="H751" s="12" t="n">
        <x:v>2</x:v>
      </x:c>
      <x:c r="I751" s="13" t="n">
        <x:v>6</x:v>
      </x:c>
      <x:c r="J751" t="str">
        <x:v>J</x:v>
      </x:c>
      <x:c r="K751" s="14" t="n">
        <x:v>51.95</x:v>
      </x:c>
      <x:c r="L751" s="14"/>
      <x:c r="M751" s="14"/>
      <x:c r="N751" s="14"/>
      <x:c r="O751" s="14"/>
      <x:c r="P751" s="14" t="n">
        <x:v>3.82</x:v>
      </x:c>
      <x:c r="Q751" s="14" t="n">
        <x:v>55.77</x:v>
      </x:c>
      <x:c r="R751" s="15" t="n">
        <x:v>359529</x:v>
      </x:c>
      <x:c r="S751" s="15" t="n">
        <x:v>386589</x:v>
      </x:c>
      <x:c r="T751" s="15" t="n">
        <x:v>359529</x:v>
      </x:c>
      <x:c r="U751" s="16" t="n">
        <x:v>6920.67</x:v>
      </x:c>
      <x:c r="V751" t="str">
        <x:v>JTRE</x:v>
      </x:c>
      <x:c r="W751" t="str">
        <x:v>Ružinov</x:v>
      </x:c>
      <x:c r="X751" s="11" t="str">
        <x:v>Voľný</x:v>
      </x:c>
      <x:c r="Y751" s="11" t="str">
        <x:v>https://d-y.sk/byty/j06.03/</x:v>
      </x:c>
      <x:c r="Z751" s="11" t="n">
        <x:v>46252.68496519676</x:v>
      </x:c>
      <x:c r="AA751" s="11" t="n">
        <x:v>46254.51251577547</x:v>
      </x:c>
      <x:c r="AB751" s="11" t="n">
        <x:v>46254.51251577547</x:v>
      </x:c>
      <x:c r="AC751" t="str">
        <x:v>downtown_yards</x:v>
      </x:c>
    </x:row>
    <x:row r="752" ht="22" customHeight="1">
      <x:c r="A752" t="str">
        <x:v>Downtown Yards</x:v>
      </x:c>
      <x:c r="B752" t="str">
        <x:v>J06.04</x:v>
      </x:c>
      <x:c r="C752" t="str">
        <x:v>sold</x:v>
      </x:c>
      <x:c r="D752" t="str">
        <x:v>present</x:v>
      </x:c>
      <x:c r="E752" t="str">
        <x:v>baseline</x:v>
      </x:c>
      <x:c r="F752" s="11" t="n">
        <x:v>46252.68496519676</x:v>
      </x:c>
      <x:c r="G752" t="str">
        <x:v>flat</x:v>
      </x:c>
      <x:c r="H752" s="12" t="n">
        <x:v>2</x:v>
      </x:c>
      <x:c r="I752" s="13" t="n">
        <x:v>6</x:v>
      </x:c>
      <x:c r="J752" t="str">
        <x:v>J</x:v>
      </x:c>
      <x:c r="K752" s="14" t="n">
        <x:v>51.4</x:v>
      </x:c>
      <x:c r="L752" s="14"/>
      <x:c r="M752" s="14"/>
      <x:c r="N752" s="14"/>
      <x:c r="O752" s="14"/>
      <x:c r="P752" s="14" t="n">
        <x:v>3.82</x:v>
      </x:c>
      <x:c r="Q752" s="14" t="n">
        <x:v>55.22</x:v>
      </x:c>
      <x:c r="R752" s="15"/>
      <x:c r="S752" s="15"/>
      <x:c r="T752" s="15"/>
      <x:c r="U752" s="16"/>
      <x:c r="V752" t="str">
        <x:v>JTRE</x:v>
      </x:c>
      <x:c r="W752" t="str">
        <x:v>Ružinov</x:v>
      </x:c>
      <x:c r="X752" s="11" t="str">
        <x:v>Predaný</x:v>
      </x:c>
      <x:c r="Y752" s="11" t="str">
        <x:v>https://d-y.sk/byty/j06.04/</x:v>
      </x:c>
      <x:c r="Z752" s="11" t="n">
        <x:v>46252.68496519676</x:v>
      </x:c>
      <x:c r="AA752" s="11" t="n">
        <x:v>46254.51251577547</x:v>
      </x:c>
      <x:c r="AB752" s="11" t="n">
        <x:v>46254.51251577547</x:v>
      </x:c>
      <x:c r="AC752" t="str">
        <x:v>downtown_yards</x:v>
      </x:c>
    </x:row>
    <x:row r="753" ht="22" customHeight="1">
      <x:c r="A753" t="str">
        <x:v>Downtown Yards</x:v>
      </x:c>
      <x:c r="B753" t="str">
        <x:v>J06.05</x:v>
      </x:c>
      <x:c r="C753" t="str">
        <x:v>available</x:v>
      </x:c>
      <x:c r="D753" t="str">
        <x:v>present</x:v>
      </x:c>
      <x:c r="E753" t="str">
        <x:v>baseline</x:v>
      </x:c>
      <x:c r="F753" s="11" t="n">
        <x:v>46252.68496519676</x:v>
      </x:c>
      <x:c r="G753" t="str">
        <x:v>flat</x:v>
      </x:c>
      <x:c r="H753" s="12" t="n">
        <x:v>3</x:v>
      </x:c>
      <x:c r="I753" s="13" t="n">
        <x:v>6</x:v>
      </x:c>
      <x:c r="J753" t="str">
        <x:v>J</x:v>
      </x:c>
      <x:c r="K753" s="14" t="n">
        <x:v>81.01</x:v>
      </x:c>
      <x:c r="L753" s="14"/>
      <x:c r="M753" s="14"/>
      <x:c r="N753" s="14"/>
      <x:c r="O753" s="14"/>
      <x:c r="P753" s="14" t="n">
        <x:v>4.39</x:v>
      </x:c>
      <x:c r="Q753" s="14" t="n">
        <x:v>85.4</x:v>
      </x:c>
      <x:c r="R753" s="15" t="n">
        <x:v>520167</x:v>
      </x:c>
      <x:c r="S753" s="15" t="n">
        <x:v>568383</x:v>
      </x:c>
      <x:c r="T753" s="15" t="n">
        <x:v>520167</x:v>
      </x:c>
      <x:c r="U753" s="16" t="n">
        <x:v>6421.02</x:v>
      </x:c>
      <x:c r="V753" t="str">
        <x:v>JTRE</x:v>
      </x:c>
      <x:c r="W753" t="str">
        <x:v>Ružinov</x:v>
      </x:c>
      <x:c r="X753" s="11" t="str">
        <x:v>Voľný</x:v>
      </x:c>
      <x:c r="Y753" s="11" t="str">
        <x:v>https://d-y.sk/byty/j06.05/</x:v>
      </x:c>
      <x:c r="Z753" s="11" t="n">
        <x:v>46252.68496519676</x:v>
      </x:c>
      <x:c r="AA753" s="11" t="n">
        <x:v>46254.51251577547</x:v>
      </x:c>
      <x:c r="AB753" s="11" t="n">
        <x:v>46254.51251577547</x:v>
      </x:c>
      <x:c r="AC753" t="str">
        <x:v>downtown_yards</x:v>
      </x:c>
    </x:row>
    <x:row r="754" ht="22" customHeight="1">
      <x:c r="A754" t="str">
        <x:v>Downtown Yards</x:v>
      </x:c>
      <x:c r="B754" t="str">
        <x:v>J06.06</x:v>
      </x:c>
      <x:c r="C754" t="str">
        <x:v>available</x:v>
      </x:c>
      <x:c r="D754" t="str">
        <x:v>present</x:v>
      </x:c>
      <x:c r="E754" t="str">
        <x:v>baseline</x:v>
      </x:c>
      <x:c r="F754" s="11" t="n">
        <x:v>46252.68496519676</x:v>
      </x:c>
      <x:c r="G754" t="str">
        <x:v>flat</x:v>
      </x:c>
      <x:c r="H754" s="12" t="n">
        <x:v>3</x:v>
      </x:c>
      <x:c r="I754" s="13" t="n">
        <x:v>6</x:v>
      </x:c>
      <x:c r="J754" t="str">
        <x:v>J</x:v>
      </x:c>
      <x:c r="K754" s="14" t="n">
        <x:v>81.07</x:v>
      </x:c>
      <x:c r="L754" s="14"/>
      <x:c r="M754" s="14"/>
      <x:c r="N754" s="14"/>
      <x:c r="O754" s="14"/>
      <x:c r="P754" s="14" t="n">
        <x:v>6.58</x:v>
      </x:c>
      <x:c r="Q754" s="14" t="n">
        <x:v>87.65</x:v>
      </x:c>
      <x:c r="R754" s="15" t="n">
        <x:v>518322</x:v>
      </x:c>
      <x:c r="S754" s="15" t="n">
        <x:v>599133</x:v>
      </x:c>
      <x:c r="T754" s="15" t="n">
        <x:v>518322</x:v>
      </x:c>
      <x:c r="U754" s="16" t="n">
        <x:v>6393.51</x:v>
      </x:c>
      <x:c r="V754" t="str">
        <x:v>JTRE</x:v>
      </x:c>
      <x:c r="W754" t="str">
        <x:v>Ružinov</x:v>
      </x:c>
      <x:c r="X754" s="11" t="str">
        <x:v>Voľný</x:v>
      </x:c>
      <x:c r="Y754" s="11" t="str">
        <x:v>https://d-y.sk/byty/j06.06/</x:v>
      </x:c>
      <x:c r="Z754" s="11" t="n">
        <x:v>46252.68496519676</x:v>
      </x:c>
      <x:c r="AA754" s="11" t="n">
        <x:v>46254.51251577547</x:v>
      </x:c>
      <x:c r="AB754" s="11" t="n">
        <x:v>46254.51251577547</x:v>
      </x:c>
      <x:c r="AC754" t="str">
        <x:v>downtown_yards</x:v>
      </x:c>
    </x:row>
    <x:row r="755" ht="22" customHeight="1">
      <x:c r="A755" t="str">
        <x:v>Downtown Yards</x:v>
      </x:c>
      <x:c r="B755" t="str">
        <x:v>J06.07</x:v>
      </x:c>
      <x:c r="C755" t="str">
        <x:v>sold</x:v>
      </x:c>
      <x:c r="D755" t="str">
        <x:v>present</x:v>
      </x:c>
      <x:c r="E755" t="str">
        <x:v>baseline</x:v>
      </x:c>
      <x:c r="F755" s="11" t="n">
        <x:v>46252.68496519676</x:v>
      </x:c>
      <x:c r="G755" t="str">
        <x:v>flat</x:v>
      </x:c>
      <x:c r="H755" s="12" t="n">
        <x:v>2</x:v>
      </x:c>
      <x:c r="I755" s="13" t="n">
        <x:v>6</x:v>
      </x:c>
      <x:c r="J755" t="str">
        <x:v>J</x:v>
      </x:c>
      <x:c r="K755" s="14" t="n">
        <x:v>51.62</x:v>
      </x:c>
      <x:c r="L755" s="14"/>
      <x:c r="M755" s="14"/>
      <x:c r="N755" s="14"/>
      <x:c r="O755" s="14"/>
      <x:c r="P755" s="14" t="n">
        <x:v>6.58</x:v>
      </x:c>
      <x:c r="Q755" s="14" t="n">
        <x:v>58.2</x:v>
      </x:c>
      <x:c r="R755" s="15"/>
      <x:c r="S755" s="15"/>
      <x:c r="T755" s="15"/>
      <x:c r="U755" s="16"/>
      <x:c r="V755" t="str">
        <x:v>JTRE</x:v>
      </x:c>
      <x:c r="W755" t="str">
        <x:v>Ružinov</x:v>
      </x:c>
      <x:c r="X755" s="11" t="str">
        <x:v>Predaný</x:v>
      </x:c>
      <x:c r="Y755" s="11" t="str">
        <x:v>https://d-y.sk/byty/j06.07/</x:v>
      </x:c>
      <x:c r="Z755" s="11" t="n">
        <x:v>46252.68496519676</x:v>
      </x:c>
      <x:c r="AA755" s="11" t="n">
        <x:v>46254.51251577547</x:v>
      </x:c>
      <x:c r="AB755" s="11" t="n">
        <x:v>46254.51251577547</x:v>
      </x:c>
      <x:c r="AC755" t="str">
        <x:v>downtown_yards</x:v>
      </x:c>
    </x:row>
    <x:row r="756" ht="22" customHeight="1">
      <x:c r="A756" t="str">
        <x:v>Downtown Yards</x:v>
      </x:c>
      <x:c r="B756" t="str">
        <x:v>J06.08</x:v>
      </x:c>
      <x:c r="C756" t="str">
        <x:v>sold</x:v>
      </x:c>
      <x:c r="D756" t="str">
        <x:v>present</x:v>
      </x:c>
      <x:c r="E756" t="str">
        <x:v>baseline</x:v>
      </x:c>
      <x:c r="F756" s="11" t="n">
        <x:v>46252.68496519676</x:v>
      </x:c>
      <x:c r="G756" t="str">
        <x:v>flat</x:v>
      </x:c>
      <x:c r="H756" s="12" t="n">
        <x:v>2</x:v>
      </x:c>
      <x:c r="I756" s="13" t="n">
        <x:v>6</x:v>
      </x:c>
      <x:c r="J756" t="str">
        <x:v>J</x:v>
      </x:c>
      <x:c r="K756" s="14" t="n">
        <x:v>49.82</x:v>
      </x:c>
      <x:c r="L756" s="14"/>
      <x:c r="M756" s="14"/>
      <x:c r="N756" s="14"/>
      <x:c r="O756" s="14"/>
      <x:c r="P756" s="14" t="n">
        <x:v>6.58</x:v>
      </x:c>
      <x:c r="Q756" s="14" t="n">
        <x:v>56.4</x:v>
      </x:c>
      <x:c r="R756" s="15"/>
      <x:c r="S756" s="15"/>
      <x:c r="T756" s="15"/>
      <x:c r="U756" s="16"/>
      <x:c r="V756" t="str">
        <x:v>JTRE</x:v>
      </x:c>
      <x:c r="W756" t="str">
        <x:v>Ružinov</x:v>
      </x:c>
      <x:c r="X756" s="11" t="str">
        <x:v>Predaný</x:v>
      </x:c>
      <x:c r="Y756" s="11" t="str">
        <x:v>https://d-y.sk/byty/j06.08/</x:v>
      </x:c>
      <x:c r="Z756" s="11" t="n">
        <x:v>46252.68496519676</x:v>
      </x:c>
      <x:c r="AA756" s="11" t="n">
        <x:v>46254.51251577547</x:v>
      </x:c>
      <x:c r="AB756" s="11" t="n">
        <x:v>46254.51251577547</x:v>
      </x:c>
      <x:c r="AC756" t="str">
        <x:v>downtown_yards</x:v>
      </x:c>
    </x:row>
    <x:row r="757" ht="22" customHeight="1">
      <x:c r="A757" t="str">
        <x:v>Downtown Yards</x:v>
      </x:c>
      <x:c r="B757" t="str">
        <x:v>J06.09</x:v>
      </x:c>
      <x:c r="C757" t="str">
        <x:v>available</x:v>
      </x:c>
      <x:c r="D757" t="str">
        <x:v>present</x:v>
      </x:c>
      <x:c r="E757" t="str">
        <x:v>baseline</x:v>
      </x:c>
      <x:c r="F757" s="11" t="n">
        <x:v>46252.68496519676</x:v>
      </x:c>
      <x:c r="G757" t="str">
        <x:v>flat</x:v>
      </x:c>
      <x:c r="H757" s="12" t="n">
        <x:v>3</x:v>
      </x:c>
      <x:c r="I757" s="13" t="n">
        <x:v>6</x:v>
      </x:c>
      <x:c r="J757" t="str">
        <x:v>J</x:v>
      </x:c>
      <x:c r="K757" s="14" t="n">
        <x:v>77.43</x:v>
      </x:c>
      <x:c r="L757" s="14"/>
      <x:c r="M757" s="14"/>
      <x:c r="N757" s="14"/>
      <x:c r="O757" s="14"/>
      <x:c r="P757" s="14" t="n">
        <x:v>12.1</x:v>
      </x:c>
      <x:c r="Q757" s="14" t="n">
        <x:v>89.53</x:v>
      </x:c>
      <x:c r="R757" s="15" t="n">
        <x:v>531975</x:v>
      </x:c>
      <x:c r="S757" s="15" t="n">
        <x:v>614877</x:v>
      </x:c>
      <x:c r="T757" s="15" t="n">
        <x:v>531975</x:v>
      </x:c>
      <x:c r="U757" s="16" t="n">
        <x:v>6870.4</x:v>
      </x:c>
      <x:c r="V757" t="str">
        <x:v>JTRE</x:v>
      </x:c>
      <x:c r="W757" t="str">
        <x:v>Ružinov</x:v>
      </x:c>
      <x:c r="X757" s="11" t="str">
        <x:v>Voľný</x:v>
      </x:c>
      <x:c r="Y757" s="11" t="str">
        <x:v>https://d-y.sk/byty/j06.09/</x:v>
      </x:c>
      <x:c r="Z757" s="11" t="n">
        <x:v>46252.68496519676</x:v>
      </x:c>
      <x:c r="AA757" s="11" t="n">
        <x:v>46254.51251577547</x:v>
      </x:c>
      <x:c r="AB757" s="11" t="n">
        <x:v>46254.51251577547</x:v>
      </x:c>
      <x:c r="AC757" t="str">
        <x:v>downtown_yards</x:v>
      </x:c>
    </x:row>
    <x:row r="758" ht="22" customHeight="1">
      <x:c r="A758" t="str">
        <x:v>Downtown Yards</x:v>
      </x:c>
      <x:c r="B758" t="str">
        <x:v>J06.10</x:v>
      </x:c>
      <x:c r="C758" t="str">
        <x:v>available</x:v>
      </x:c>
      <x:c r="D758" t="str">
        <x:v>present</x:v>
      </x:c>
      <x:c r="E758" t="str">
        <x:v>baseline</x:v>
      </x:c>
      <x:c r="F758" s="11" t="n">
        <x:v>46252.68496519676</x:v>
      </x:c>
      <x:c r="G758" t="str">
        <x:v>apartment</x:v>
      </x:c>
      <x:c r="H758" s="12" t="n">
        <x:v>1</x:v>
      </x:c>
      <x:c r="I758" s="13" t="n">
        <x:v>6</x:v>
      </x:c>
      <x:c r="J758" t="str">
        <x:v>J</x:v>
      </x:c>
      <x:c r="K758" s="14" t="n">
        <x:v>31.77</x:v>
      </x:c>
      <x:c r="L758" s="14"/>
      <x:c r="M758" s="14"/>
      <x:c r="N758" s="14"/>
      <x:c r="O758" s="14"/>
      <x:c r="P758" s="14" t="n">
        <x:v>3.23</x:v>
      </x:c>
      <x:c r="Q758" s="14" t="n">
        <x:v>35</x:v>
      </x:c>
      <x:c r="R758" s="15" t="n">
        <x:v>249936</x:v>
      </x:c>
      <x:c r="S758" s="15" t="n">
        <x:v>276135</x:v>
      </x:c>
      <x:c r="T758" s="15" t="n">
        <x:v>249936</x:v>
      </x:c>
      <x:c r="U758" s="16" t="n">
        <x:v>7867.04</x:v>
      </x:c>
      <x:c r="V758" t="str">
        <x:v>JTRE</x:v>
      </x:c>
      <x:c r="W758" t="str">
        <x:v>Ružinov</x:v>
      </x:c>
      <x:c r="X758" s="11" t="str">
        <x:v>Voľný</x:v>
      </x:c>
      <x:c r="Y758" s="11" t="str">
        <x:v>https://d-y.sk/byty/j06.10/</x:v>
      </x:c>
      <x:c r="Z758" s="11" t="n">
        <x:v>46252.68496519676</x:v>
      </x:c>
      <x:c r="AA758" s="11" t="n">
        <x:v>46254.51251577547</x:v>
      </x:c>
      <x:c r="AB758" s="11" t="n">
        <x:v>46254.51251577547</x:v>
      </x:c>
      <x:c r="AC758" t="str">
        <x:v>downtown_yards</x:v>
      </x:c>
    </x:row>
    <x:row r="759" ht="22" customHeight="1">
      <x:c r="A759" t="str">
        <x:v>Downtown Yards</x:v>
      </x:c>
      <x:c r="B759" t="str">
        <x:v>J07.01</x:v>
      </x:c>
      <x:c r="C759" t="str">
        <x:v>available</x:v>
      </x:c>
      <x:c r="D759" t="str">
        <x:v>present</x:v>
      </x:c>
      <x:c r="E759" t="str">
        <x:v>baseline</x:v>
      </x:c>
      <x:c r="F759" s="11" t="n">
        <x:v>46252.68496519676</x:v>
      </x:c>
      <x:c r="G759" t="str">
        <x:v>apartment</x:v>
      </x:c>
      <x:c r="H759" s="12" t="n">
        <x:v>1</x:v>
      </x:c>
      <x:c r="I759" s="13" t="n">
        <x:v>7</x:v>
      </x:c>
      <x:c r="J759" t="str">
        <x:v>J</x:v>
      </x:c>
      <x:c r="K759" s="14" t="n">
        <x:v>31.77</x:v>
      </x:c>
      <x:c r="L759" s="14"/>
      <x:c r="M759" s="14"/>
      <x:c r="N759" s="14"/>
      <x:c r="O759" s="14"/>
      <x:c r="P759" s="14" t="n">
        <x:v>3.21</x:v>
      </x:c>
      <x:c r="Q759" s="14" t="n">
        <x:v>34.98</x:v>
      </x:c>
      <x:c r="R759" s="15" t="n">
        <x:v>251781</x:v>
      </x:c>
      <x:c r="S759" s="15" t="n">
        <x:v>278103</x:v>
      </x:c>
      <x:c r="T759" s="15" t="n">
        <x:v>251781</x:v>
      </x:c>
      <x:c r="U759" s="16" t="n">
        <x:v>7925.12</x:v>
      </x:c>
      <x:c r="V759" t="str">
        <x:v>JTRE</x:v>
      </x:c>
      <x:c r="W759" t="str">
        <x:v>Ružinov</x:v>
      </x:c>
      <x:c r="X759" s="11" t="str">
        <x:v>Voľný</x:v>
      </x:c>
      <x:c r="Y759" s="11" t="str">
        <x:v>https://d-y.sk/byty/j07.01/</x:v>
      </x:c>
      <x:c r="Z759" s="11" t="n">
        <x:v>46252.68496519676</x:v>
      </x:c>
      <x:c r="AA759" s="11" t="n">
        <x:v>46254.51251577547</x:v>
      </x:c>
      <x:c r="AB759" s="11" t="n">
        <x:v>46254.51251577547</x:v>
      </x:c>
      <x:c r="AC759" t="str">
        <x:v>downtown_yards</x:v>
      </x:c>
    </x:row>
    <x:row r="760" ht="22" customHeight="1">
      <x:c r="A760" t="str">
        <x:v>Downtown Yards</x:v>
      </x:c>
      <x:c r="B760" t="str">
        <x:v>J07.02</x:v>
      </x:c>
      <x:c r="C760" t="str">
        <x:v>available</x:v>
      </x:c>
      <x:c r="D760" t="str">
        <x:v>present</x:v>
      </x:c>
      <x:c r="E760" t="str">
        <x:v>baseline</x:v>
      </x:c>
      <x:c r="F760" s="11" t="n">
        <x:v>46252.68496519676</x:v>
      </x:c>
      <x:c r="G760" t="str">
        <x:v>flat</x:v>
      </x:c>
      <x:c r="H760" s="12" t="n">
        <x:v>3</x:v>
      </x:c>
      <x:c r="I760" s="13" t="n">
        <x:v>7</x:v>
      </x:c>
      <x:c r="J760" t="str">
        <x:v>J</x:v>
      </x:c>
      <x:c r="K760" s="14" t="n">
        <x:v>80.48</x:v>
      </x:c>
      <x:c r="L760" s="14"/>
      <x:c r="M760" s="14"/>
      <x:c r="N760" s="14"/>
      <x:c r="O760" s="14"/>
      <x:c r="P760" s="14" t="n">
        <x:v>9.14</x:v>
      </x:c>
      <x:c r="Q760" s="14" t="n">
        <x:v>89.62</x:v>
      </x:c>
      <x:c r="R760" s="15" t="n">
        <x:v>551286</x:v>
      </x:c>
      <x:c r="S760" s="15" t="n">
        <x:v>602454</x:v>
      </x:c>
      <x:c r="T760" s="15" t="n">
        <x:v>551286</x:v>
      </x:c>
      <x:c r="U760" s="16" t="n">
        <x:v>6849.98</x:v>
      </x:c>
      <x:c r="V760" t="str">
        <x:v>JTRE</x:v>
      </x:c>
      <x:c r="W760" t="str">
        <x:v>Ružinov</x:v>
      </x:c>
      <x:c r="X760" s="11" t="str">
        <x:v>Voľný</x:v>
      </x:c>
      <x:c r="Y760" s="11" t="str">
        <x:v>https://d-y.sk/byty/j07.02/</x:v>
      </x:c>
      <x:c r="Z760" s="11" t="n">
        <x:v>46252.68496519676</x:v>
      </x:c>
      <x:c r="AA760" s="11" t="n">
        <x:v>46254.51251577547</x:v>
      </x:c>
      <x:c r="AB760" s="11" t="n">
        <x:v>46254.51251577547</x:v>
      </x:c>
      <x:c r="AC760" t="str">
        <x:v>downtown_yards</x:v>
      </x:c>
    </x:row>
    <x:row r="761" ht="22" customHeight="1">
      <x:c r="A761" t="str">
        <x:v>Downtown Yards</x:v>
      </x:c>
      <x:c r="B761" t="str">
        <x:v>J07.03</x:v>
      </x:c>
      <x:c r="C761" t="str">
        <x:v>available</x:v>
      </x:c>
      <x:c r="D761" t="str">
        <x:v>present</x:v>
      </x:c>
      <x:c r="E761" t="str">
        <x:v>baseline</x:v>
      </x:c>
      <x:c r="F761" s="11" t="n">
        <x:v>46252.68496519676</x:v>
      </x:c>
      <x:c r="G761" t="str">
        <x:v>flat</x:v>
      </x:c>
      <x:c r="H761" s="12" t="n">
        <x:v>2</x:v>
      </x:c>
      <x:c r="I761" s="13" t="n">
        <x:v>7</x:v>
      </x:c>
      <x:c r="J761" t="str">
        <x:v>J</x:v>
      </x:c>
      <x:c r="K761" s="14" t="n">
        <x:v>51.96</x:v>
      </x:c>
      <x:c r="L761" s="14"/>
      <x:c r="M761" s="14"/>
      <x:c r="N761" s="14"/>
      <x:c r="O761" s="14"/>
      <x:c r="P761" s="14" t="n">
        <x:v>3.82</x:v>
      </x:c>
      <x:c r="Q761" s="14" t="n">
        <x:v>55.78</x:v>
      </x:c>
      <x:c r="R761" s="15" t="n">
        <x:v>362481</x:v>
      </x:c>
      <x:c r="S761" s="15" t="n">
        <x:v>389664</x:v>
      </x:c>
      <x:c r="T761" s="15" t="n">
        <x:v>362481</x:v>
      </x:c>
      <x:c r="U761" s="16" t="n">
        <x:v>6976.15</x:v>
      </x:c>
      <x:c r="V761" t="str">
        <x:v>JTRE</x:v>
      </x:c>
      <x:c r="W761" t="str">
        <x:v>Ružinov</x:v>
      </x:c>
      <x:c r="X761" s="11" t="str">
        <x:v>Voľný</x:v>
      </x:c>
      <x:c r="Y761" s="11" t="str">
        <x:v>https://d-y.sk/byty/j07.03/</x:v>
      </x:c>
      <x:c r="Z761" s="11" t="n">
        <x:v>46252.68496519676</x:v>
      </x:c>
      <x:c r="AA761" s="11" t="n">
        <x:v>46254.51251577547</x:v>
      </x:c>
      <x:c r="AB761" s="11" t="n">
        <x:v>46254.51251577547</x:v>
      </x:c>
      <x:c r="AC761" t="str">
        <x:v>downtown_yards</x:v>
      </x:c>
    </x:row>
    <x:row r="762" ht="22" customHeight="1">
      <x:c r="A762" t="str">
        <x:v>Downtown Yards</x:v>
      </x:c>
      <x:c r="B762" t="str">
        <x:v>J07.04</x:v>
      </x:c>
      <x:c r="C762" t="str">
        <x:v>available</x:v>
      </x:c>
      <x:c r="D762" t="str">
        <x:v>present</x:v>
      </x:c>
      <x:c r="E762" t="str">
        <x:v>baseline</x:v>
      </x:c>
      <x:c r="F762" s="11" t="n">
        <x:v>46252.68496519676</x:v>
      </x:c>
      <x:c r="G762" t="str">
        <x:v>flat</x:v>
      </x:c>
      <x:c r="H762" s="12" t="n">
        <x:v>2</x:v>
      </x:c>
      <x:c r="I762" s="13" t="n">
        <x:v>7</x:v>
      </x:c>
      <x:c r="J762" t="str">
        <x:v>J</x:v>
      </x:c>
      <x:c r="K762" s="14" t="n">
        <x:v>51.4</x:v>
      </x:c>
      <x:c r="L762" s="14"/>
      <x:c r="M762" s="14"/>
      <x:c r="N762" s="14"/>
      <x:c r="O762" s="14"/>
      <x:c r="P762" s="14" t="n">
        <x:v>3.82</x:v>
      </x:c>
      <x:c r="Q762" s="14" t="n">
        <x:v>55.22</x:v>
      </x:c>
      <x:c r="R762" s="15" t="n">
        <x:v>358668</x:v>
      </x:c>
      <x:c r="S762" s="15" t="n">
        <x:v>385605</x:v>
      </x:c>
      <x:c r="T762" s="15" t="n">
        <x:v>358668</x:v>
      </x:c>
      <x:c r="U762" s="16" t="n">
        <x:v>6977.98</x:v>
      </x:c>
      <x:c r="V762" t="str">
        <x:v>JTRE</x:v>
      </x:c>
      <x:c r="W762" t="str">
        <x:v>Ružinov</x:v>
      </x:c>
      <x:c r="X762" s="11" t="str">
        <x:v>Voľný</x:v>
      </x:c>
      <x:c r="Y762" s="11" t="str">
        <x:v>https://d-y.sk/byty/j07.04/</x:v>
      </x:c>
      <x:c r="Z762" s="11" t="n">
        <x:v>46252.68496519676</x:v>
      </x:c>
      <x:c r="AA762" s="11" t="n">
        <x:v>46254.51251577547</x:v>
      </x:c>
      <x:c r="AB762" s="11" t="n">
        <x:v>46254.51251577547</x:v>
      </x:c>
      <x:c r="AC762" t="str">
        <x:v>downtown_yards</x:v>
      </x:c>
    </x:row>
    <x:row r="763" ht="22" customHeight="1">
      <x:c r="A763" t="str">
        <x:v>Downtown Yards</x:v>
      </x:c>
      <x:c r="B763" t="str">
        <x:v>J07.05</x:v>
      </x:c>
      <x:c r="C763" t="str">
        <x:v>available</x:v>
      </x:c>
      <x:c r="D763" t="str">
        <x:v>present</x:v>
      </x:c>
      <x:c r="E763" t="str">
        <x:v>baseline</x:v>
      </x:c>
      <x:c r="F763" s="11" t="n">
        <x:v>46252.68496519676</x:v>
      </x:c>
      <x:c r="G763" t="str">
        <x:v>flat</x:v>
      </x:c>
      <x:c r="H763" s="12" t="n">
        <x:v>3</x:v>
      </x:c>
      <x:c r="I763" s="13" t="n">
        <x:v>7</x:v>
      </x:c>
      <x:c r="J763" t="str">
        <x:v>J</x:v>
      </x:c>
      <x:c r="K763" s="14" t="n">
        <x:v>81.39</x:v>
      </x:c>
      <x:c r="L763" s="14"/>
      <x:c r="M763" s="14"/>
      <x:c r="N763" s="14"/>
      <x:c r="O763" s="14"/>
      <x:c r="P763" s="14" t="n">
        <x:v>4.39</x:v>
      </x:c>
      <x:c r="Q763" s="14" t="n">
        <x:v>85.78</x:v>
      </x:c>
      <x:c r="R763" s="15" t="n">
        <x:v>526440</x:v>
      </x:c>
      <x:c r="S763" s="15" t="n">
        <x:v>575271</x:v>
      </x:c>
      <x:c r="T763" s="15" t="n">
        <x:v>526440</x:v>
      </x:c>
      <x:c r="U763" s="16" t="n">
        <x:v>6468.12</x:v>
      </x:c>
      <x:c r="V763" t="str">
        <x:v>JTRE</x:v>
      </x:c>
      <x:c r="W763" t="str">
        <x:v>Ružinov</x:v>
      </x:c>
      <x:c r="X763" s="11" t="str">
        <x:v>Voľný</x:v>
      </x:c>
      <x:c r="Y763" s="11" t="str">
        <x:v>https://d-y.sk/byty/j07.05/</x:v>
      </x:c>
      <x:c r="Z763" s="11" t="n">
        <x:v>46252.68496519676</x:v>
      </x:c>
      <x:c r="AA763" s="11" t="n">
        <x:v>46254.51251577547</x:v>
      </x:c>
      <x:c r="AB763" s="11" t="n">
        <x:v>46254.51251577547</x:v>
      </x:c>
      <x:c r="AC763" t="str">
        <x:v>downtown_yards</x:v>
      </x:c>
    </x:row>
    <x:row r="764" ht="22" customHeight="1">
      <x:c r="A764" t="str">
        <x:v>Downtown Yards</x:v>
      </x:c>
      <x:c r="B764" t="str">
        <x:v>J07.06</x:v>
      </x:c>
      <x:c r="C764" t="str">
        <x:v>available</x:v>
      </x:c>
      <x:c r="D764" t="str">
        <x:v>present</x:v>
      </x:c>
      <x:c r="E764" t="str">
        <x:v>baseline</x:v>
      </x:c>
      <x:c r="F764" s="11" t="n">
        <x:v>46252.68496519676</x:v>
      </x:c>
      <x:c r="G764" t="str">
        <x:v>flat</x:v>
      </x:c>
      <x:c r="H764" s="12" t="n">
        <x:v>3</x:v>
      </x:c>
      <x:c r="I764" s="13" t="n">
        <x:v>7</x:v>
      </x:c>
      <x:c r="J764" t="str">
        <x:v>J</x:v>
      </x:c>
      <x:c r="K764" s="14" t="n">
        <x:v>81.45</x:v>
      </x:c>
      <x:c r="L764" s="14"/>
      <x:c r="M764" s="14"/>
      <x:c r="N764" s="14"/>
      <x:c r="O764" s="14"/>
      <x:c r="P764" s="14" t="n">
        <x:v>6.58</x:v>
      </x:c>
      <x:c r="Q764" s="14" t="n">
        <x:v>88.03</x:v>
      </x:c>
      <x:c r="R764" s="15" t="n">
        <x:v>526071</x:v>
      </x:c>
      <x:c r="S764" s="15" t="n">
        <x:v>608112</x:v>
      </x:c>
      <x:c r="T764" s="15" t="n">
        <x:v>526071</x:v>
      </x:c>
      <x:c r="U764" s="16" t="n">
        <x:v>6458.82</x:v>
      </x:c>
      <x:c r="V764" t="str">
        <x:v>JTRE</x:v>
      </x:c>
      <x:c r="W764" t="str">
        <x:v>Ružinov</x:v>
      </x:c>
      <x:c r="X764" s="11" t="str">
        <x:v>Voľný</x:v>
      </x:c>
      <x:c r="Y764" s="11" t="str">
        <x:v>https://d-y.sk/byty/j07.06/</x:v>
      </x:c>
      <x:c r="Z764" s="11" t="n">
        <x:v>46252.68496519676</x:v>
      </x:c>
      <x:c r="AA764" s="11" t="n">
        <x:v>46254.51251577547</x:v>
      </x:c>
      <x:c r="AB764" s="11" t="n">
        <x:v>46254.51251577547</x:v>
      </x:c>
      <x:c r="AC764" t="str">
        <x:v>downtown_yards</x:v>
      </x:c>
    </x:row>
    <x:row r="765" ht="22" customHeight="1">
      <x:c r="A765" t="str">
        <x:v>Downtown Yards</x:v>
      </x:c>
      <x:c r="B765" t="str">
        <x:v>J07.07</x:v>
      </x:c>
      <x:c r="C765" t="str">
        <x:v>sold</x:v>
      </x:c>
      <x:c r="D765" t="str">
        <x:v>present</x:v>
      </x:c>
      <x:c r="E765" t="str">
        <x:v>baseline</x:v>
      </x:c>
      <x:c r="F765" s="11" t="n">
        <x:v>46252.68496519676</x:v>
      </x:c>
      <x:c r="G765" t="str">
        <x:v>flat</x:v>
      </x:c>
      <x:c r="H765" s="12" t="n">
        <x:v>2</x:v>
      </x:c>
      <x:c r="I765" s="13" t="n">
        <x:v>7</x:v>
      </x:c>
      <x:c r="J765" t="str">
        <x:v>J</x:v>
      </x:c>
      <x:c r="K765" s="14" t="n">
        <x:v>51.62</x:v>
      </x:c>
      <x:c r="L765" s="14"/>
      <x:c r="M765" s="14"/>
      <x:c r="N765" s="14"/>
      <x:c r="O765" s="14"/>
      <x:c r="P765" s="14" t="n">
        <x:v>6.58</x:v>
      </x:c>
      <x:c r="Q765" s="14" t="n">
        <x:v>58.2</x:v>
      </x:c>
      <x:c r="R765" s="15"/>
      <x:c r="S765" s="15"/>
      <x:c r="T765" s="15"/>
      <x:c r="U765" s="16"/>
      <x:c r="V765" t="str">
        <x:v>JTRE</x:v>
      </x:c>
      <x:c r="W765" t="str">
        <x:v>Ružinov</x:v>
      </x:c>
      <x:c r="X765" s="11" t="str">
        <x:v>Predaný</x:v>
      </x:c>
      <x:c r="Y765" s="11" t="str">
        <x:v>https://d-y.sk/byty/j07.07/</x:v>
      </x:c>
      <x:c r="Z765" s="11" t="n">
        <x:v>46252.68496519676</x:v>
      </x:c>
      <x:c r="AA765" s="11" t="n">
        <x:v>46254.51251577547</x:v>
      </x:c>
      <x:c r="AB765" s="11" t="n">
        <x:v>46254.51251577547</x:v>
      </x:c>
      <x:c r="AC765" t="str">
        <x:v>downtown_yards</x:v>
      </x:c>
    </x:row>
    <x:row r="766" ht="22" customHeight="1">
      <x:c r="A766" t="str">
        <x:v>Downtown Yards</x:v>
      </x:c>
      <x:c r="B766" t="str">
        <x:v>J07.08</x:v>
      </x:c>
      <x:c r="C766" t="str">
        <x:v>sold</x:v>
      </x:c>
      <x:c r="D766" t="str">
        <x:v>present</x:v>
      </x:c>
      <x:c r="E766" t="str">
        <x:v>baseline</x:v>
      </x:c>
      <x:c r="F766" s="11" t="n">
        <x:v>46252.68496519676</x:v>
      </x:c>
      <x:c r="G766" t="str">
        <x:v>flat</x:v>
      </x:c>
      <x:c r="H766" s="12" t="n">
        <x:v>2</x:v>
      </x:c>
      <x:c r="I766" s="13" t="n">
        <x:v>7</x:v>
      </x:c>
      <x:c r="J766" t="str">
        <x:v>J</x:v>
      </x:c>
      <x:c r="K766" s="14" t="n">
        <x:v>49.82</x:v>
      </x:c>
      <x:c r="L766" s="14"/>
      <x:c r="M766" s="14"/>
      <x:c r="N766" s="14"/>
      <x:c r="O766" s="14"/>
      <x:c r="P766" s="14" t="n">
        <x:v>6.58</x:v>
      </x:c>
      <x:c r="Q766" s="14" t="n">
        <x:v>56.4</x:v>
      </x:c>
      <x:c r="R766" s="15"/>
      <x:c r="S766" s="15"/>
      <x:c r="T766" s="15"/>
      <x:c r="U766" s="16"/>
      <x:c r="V766" t="str">
        <x:v>JTRE</x:v>
      </x:c>
      <x:c r="W766" t="str">
        <x:v>Ružinov</x:v>
      </x:c>
      <x:c r="X766" s="11" t="str">
        <x:v>Predaný</x:v>
      </x:c>
      <x:c r="Y766" s="11" t="str">
        <x:v>https://d-y.sk/byty/j07.08/</x:v>
      </x:c>
      <x:c r="Z766" s="11" t="n">
        <x:v>46252.68496519676</x:v>
      </x:c>
      <x:c r="AA766" s="11" t="n">
        <x:v>46254.51251577547</x:v>
      </x:c>
      <x:c r="AB766" s="11" t="n">
        <x:v>46254.51251577547</x:v>
      </x:c>
      <x:c r="AC766" t="str">
        <x:v>downtown_yards</x:v>
      </x:c>
    </x:row>
    <x:row r="767" ht="22" customHeight="1">
      <x:c r="A767" t="str">
        <x:v>Downtown Yards</x:v>
      </x:c>
      <x:c r="B767" t="str">
        <x:v>J07.09</x:v>
      </x:c>
      <x:c r="C767" t="str">
        <x:v>available</x:v>
      </x:c>
      <x:c r="D767" t="str">
        <x:v>present</x:v>
      </x:c>
      <x:c r="E767" t="str">
        <x:v>baseline</x:v>
      </x:c>
      <x:c r="F767" s="11" t="n">
        <x:v>46252.68496519676</x:v>
      </x:c>
      <x:c r="G767" t="str">
        <x:v>flat</x:v>
      </x:c>
      <x:c r="H767" s="12" t="n">
        <x:v>3</x:v>
      </x:c>
      <x:c r="I767" s="13" t="n">
        <x:v>7</x:v>
      </x:c>
      <x:c r="J767" t="str">
        <x:v>J</x:v>
      </x:c>
      <x:c r="K767" s="14" t="n">
        <x:v>77.43</x:v>
      </x:c>
      <x:c r="L767" s="14"/>
      <x:c r="M767" s="14"/>
      <x:c r="N767" s="14"/>
      <x:c r="O767" s="14"/>
      <x:c r="P767" s="14" t="n">
        <x:v>12.1</x:v>
      </x:c>
      <x:c r="Q767" s="14" t="n">
        <x:v>89.53</x:v>
      </x:c>
      <x:c r="R767" s="15" t="n">
        <x:v>537510</x:v>
      </x:c>
      <x:c r="S767" s="15" t="n">
        <x:v>621273</x:v>
      </x:c>
      <x:c r="T767" s="15" t="n">
        <x:v>537510</x:v>
      </x:c>
      <x:c r="U767" s="16" t="n">
        <x:v>6941.88</x:v>
      </x:c>
      <x:c r="V767" t="str">
        <x:v>JTRE</x:v>
      </x:c>
      <x:c r="W767" t="str">
        <x:v>Ružinov</x:v>
      </x:c>
      <x:c r="X767" s="11" t="str">
        <x:v>Voľný</x:v>
      </x:c>
      <x:c r="Y767" s="11" t="str">
        <x:v>https://d-y.sk/byty/j07.09/</x:v>
      </x:c>
      <x:c r="Z767" s="11" t="n">
        <x:v>46252.68496519676</x:v>
      </x:c>
      <x:c r="AA767" s="11" t="n">
        <x:v>46254.51251577547</x:v>
      </x:c>
      <x:c r="AB767" s="11" t="n">
        <x:v>46254.51251577547</x:v>
      </x:c>
      <x:c r="AC767" t="str">
        <x:v>downtown_yards</x:v>
      </x:c>
    </x:row>
    <x:row r="768" ht="22" customHeight="1">
      <x:c r="A768" t="str">
        <x:v>Downtown Yards</x:v>
      </x:c>
      <x:c r="B768" t="str">
        <x:v>J07.10</x:v>
      </x:c>
      <x:c r="C768" t="str">
        <x:v>available</x:v>
      </x:c>
      <x:c r="D768" t="str">
        <x:v>present</x:v>
      </x:c>
      <x:c r="E768" t="str">
        <x:v>baseline</x:v>
      </x:c>
      <x:c r="F768" s="11" t="n">
        <x:v>46252.68496519676</x:v>
      </x:c>
      <x:c r="G768" t="str">
        <x:v>apartment</x:v>
      </x:c>
      <x:c r="H768" s="12" t="n">
        <x:v>1</x:v>
      </x:c>
      <x:c r="I768" s="13" t="n">
        <x:v>7</x:v>
      </x:c>
      <x:c r="J768" t="str">
        <x:v>J</x:v>
      </x:c>
      <x:c r="K768" s="14" t="n">
        <x:v>31.77</x:v>
      </x:c>
      <x:c r="L768" s="14"/>
      <x:c r="M768" s="14"/>
      <x:c r="N768" s="14"/>
      <x:c r="O768" s="14"/>
      <x:c r="P768" s="14" t="n">
        <x:v>3.23</x:v>
      </x:c>
      <x:c r="Q768" s="14" t="n">
        <x:v>35</x:v>
      </x:c>
      <x:c r="R768" s="15" t="n">
        <x:v>251781</x:v>
      </x:c>
      <x:c r="S768" s="15" t="n">
        <x:v>278103</x:v>
      </x:c>
      <x:c r="T768" s="15" t="n">
        <x:v>251781</x:v>
      </x:c>
      <x:c r="U768" s="16" t="n">
        <x:v>7925.12</x:v>
      </x:c>
      <x:c r="V768" t="str">
        <x:v>JTRE</x:v>
      </x:c>
      <x:c r="W768" t="str">
        <x:v>Ružinov</x:v>
      </x:c>
      <x:c r="X768" s="11" t="str">
        <x:v>Voľný</x:v>
      </x:c>
      <x:c r="Y768" s="11" t="str">
        <x:v>https://d-y.sk/byty/j07.10/</x:v>
      </x:c>
      <x:c r="Z768" s="11" t="n">
        <x:v>46252.68496519676</x:v>
      </x:c>
      <x:c r="AA768" s="11" t="n">
        <x:v>46254.51251577547</x:v>
      </x:c>
      <x:c r="AB768" s="11" t="n">
        <x:v>46254.51251577547</x:v>
      </x:c>
      <x:c r="AC768" t="str">
        <x:v>downtown_yards</x:v>
      </x:c>
    </x:row>
    <x:row r="769" ht="22" customHeight="1">
      <x:c r="A769" t="str">
        <x:v>Downtown Yards</x:v>
      </x:c>
      <x:c r="B769" t="str">
        <x:v>J08.01</x:v>
      </x:c>
      <x:c r="C769" t="str">
        <x:v>available</x:v>
      </x:c>
      <x:c r="D769" t="str">
        <x:v>present</x:v>
      </x:c>
      <x:c r="E769" t="str">
        <x:v>baseline</x:v>
      </x:c>
      <x:c r="F769" s="11" t="n">
        <x:v>46252.68496519676</x:v>
      </x:c>
      <x:c r="G769" t="str">
        <x:v>apartment</x:v>
      </x:c>
      <x:c r="H769" s="12" t="n">
        <x:v>1</x:v>
      </x:c>
      <x:c r="I769" s="13" t="n">
        <x:v>8</x:v>
      </x:c>
      <x:c r="J769" t="str">
        <x:v>J</x:v>
      </x:c>
      <x:c r="K769" s="14" t="n">
        <x:v>31.77</x:v>
      </x:c>
      <x:c r="L769" s="14"/>
      <x:c r="M769" s="14"/>
      <x:c r="N769" s="14"/>
      <x:c r="O769" s="14"/>
      <x:c r="P769" s="14" t="n">
        <x:v>3.21</x:v>
      </x:c>
      <x:c r="Q769" s="14" t="n">
        <x:v>34.98</x:v>
      </x:c>
      <x:c r="R769" s="15" t="n">
        <x:v>253626</x:v>
      </x:c>
      <x:c r="S769" s="15" t="n">
        <x:v>280194</x:v>
      </x:c>
      <x:c r="T769" s="15" t="n">
        <x:v>253626</x:v>
      </x:c>
      <x:c r="U769" s="16" t="n">
        <x:v>7983.19</x:v>
      </x:c>
      <x:c r="V769" t="str">
        <x:v>JTRE</x:v>
      </x:c>
      <x:c r="W769" t="str">
        <x:v>Ružinov</x:v>
      </x:c>
      <x:c r="X769" s="11" t="str">
        <x:v>Voľný</x:v>
      </x:c>
      <x:c r="Y769" s="11" t="str">
        <x:v>https://d-y.sk/byty/j08.01/</x:v>
      </x:c>
      <x:c r="Z769" s="11" t="n">
        <x:v>46252.68496519676</x:v>
      </x:c>
      <x:c r="AA769" s="11" t="n">
        <x:v>46254.51251577547</x:v>
      </x:c>
      <x:c r="AB769" s="11" t="n">
        <x:v>46254.51251577547</x:v>
      </x:c>
      <x:c r="AC769" t="str">
        <x:v>downtown_yards</x:v>
      </x:c>
    </x:row>
    <x:row r="770" ht="22" customHeight="1">
      <x:c r="A770" t="str">
        <x:v>Downtown Yards</x:v>
      </x:c>
      <x:c r="B770" t="str">
        <x:v>J08.02</x:v>
      </x:c>
      <x:c r="C770" t="str">
        <x:v>available</x:v>
      </x:c>
      <x:c r="D770" t="str">
        <x:v>present</x:v>
      </x:c>
      <x:c r="E770" t="str">
        <x:v>baseline</x:v>
      </x:c>
      <x:c r="F770" s="11" t="n">
        <x:v>46252.68496519676</x:v>
      </x:c>
      <x:c r="G770" t="str">
        <x:v>flat</x:v>
      </x:c>
      <x:c r="H770" s="12" t="n">
        <x:v>3</x:v>
      </x:c>
      <x:c r="I770" s="13" t="n">
        <x:v>8</x:v>
      </x:c>
      <x:c r="J770" t="str">
        <x:v>J</x:v>
      </x:c>
      <x:c r="K770" s="14" t="n">
        <x:v>80.48</x:v>
      </x:c>
      <x:c r="L770" s="14"/>
      <x:c r="M770" s="14"/>
      <x:c r="N770" s="14"/>
      <x:c r="O770" s="14"/>
      <x:c r="P770" s="14" t="n">
        <x:v>9.14</x:v>
      </x:c>
      <x:c r="Q770" s="14" t="n">
        <x:v>89.62</x:v>
      </x:c>
      <x:c r="R770" s="15" t="n">
        <x:v>556698</x:v>
      </x:c>
      <x:c r="S770" s="15" t="n">
        <x:v>608358</x:v>
      </x:c>
      <x:c r="T770" s="15" t="n">
        <x:v>556698</x:v>
      </x:c>
      <x:c r="U770" s="16" t="n">
        <x:v>6917.22</x:v>
      </x:c>
      <x:c r="V770" t="str">
        <x:v>JTRE</x:v>
      </x:c>
      <x:c r="W770" t="str">
        <x:v>Ružinov</x:v>
      </x:c>
      <x:c r="X770" s="11" t="str">
        <x:v>Voľný</x:v>
      </x:c>
      <x:c r="Y770" s="11" t="str">
        <x:v>https://d-y.sk/byty/j08.02/</x:v>
      </x:c>
      <x:c r="Z770" s="11" t="n">
        <x:v>46252.68496519676</x:v>
      </x:c>
      <x:c r="AA770" s="11" t="n">
        <x:v>46254.51251577547</x:v>
      </x:c>
      <x:c r="AB770" s="11" t="n">
        <x:v>46254.51251577547</x:v>
      </x:c>
      <x:c r="AC770" t="str">
        <x:v>downtown_yards</x:v>
      </x:c>
    </x:row>
    <x:row r="771" ht="22" customHeight="1">
      <x:c r="A771" t="str">
        <x:v>Downtown Yards</x:v>
      </x:c>
      <x:c r="B771" t="str">
        <x:v>J08.03</x:v>
      </x:c>
      <x:c r="C771" t="str">
        <x:v>sold</x:v>
      </x:c>
      <x:c r="D771" t="str">
        <x:v>present</x:v>
      </x:c>
      <x:c r="E771" t="str">
        <x:v>baseline</x:v>
      </x:c>
      <x:c r="F771" s="11" t="n">
        <x:v>46252.68496519676</x:v>
      </x:c>
      <x:c r="G771" t="str">
        <x:v>flat</x:v>
      </x:c>
      <x:c r="H771" s="12" t="n">
        <x:v>2</x:v>
      </x:c>
      <x:c r="I771" s="13" t="n">
        <x:v>8</x:v>
      </x:c>
      <x:c r="J771" t="str">
        <x:v>J</x:v>
      </x:c>
      <x:c r="K771" s="14" t="n">
        <x:v>51.95</x:v>
      </x:c>
      <x:c r="L771" s="14"/>
      <x:c r="M771" s="14"/>
      <x:c r="N771" s="14"/>
      <x:c r="O771" s="14"/>
      <x:c r="P771" s="14" t="n">
        <x:v>3.82</x:v>
      </x:c>
      <x:c r="Q771" s="14" t="n">
        <x:v>55.77</x:v>
      </x:c>
      <x:c r="R771" s="15"/>
      <x:c r="S771" s="15"/>
      <x:c r="T771" s="15"/>
      <x:c r="U771" s="16"/>
      <x:c r="V771" t="str">
        <x:v>JTRE</x:v>
      </x:c>
      <x:c r="W771" t="str">
        <x:v>Ružinov</x:v>
      </x:c>
      <x:c r="X771" s="11" t="str">
        <x:v>Predaný</x:v>
      </x:c>
      <x:c r="Y771" s="11" t="str">
        <x:v>https://d-y.sk/byty/j08.03/</x:v>
      </x:c>
      <x:c r="Z771" s="11" t="n">
        <x:v>46252.68496519676</x:v>
      </x:c>
      <x:c r="AA771" s="11" t="n">
        <x:v>46254.51251577547</x:v>
      </x:c>
      <x:c r="AB771" s="11" t="n">
        <x:v>46254.51251577547</x:v>
      </x:c>
      <x:c r="AC771" t="str">
        <x:v>downtown_yards</x:v>
      </x:c>
    </x:row>
    <x:row r="772" ht="22" customHeight="1">
      <x:c r="A772" t="str">
        <x:v>Downtown Yards</x:v>
      </x:c>
      <x:c r="B772" t="str">
        <x:v>J08.04</x:v>
      </x:c>
      <x:c r="C772" t="str">
        <x:v>sold</x:v>
      </x:c>
      <x:c r="D772" t="str">
        <x:v>present</x:v>
      </x:c>
      <x:c r="E772" t="str">
        <x:v>baseline</x:v>
      </x:c>
      <x:c r="F772" s="11" t="n">
        <x:v>46252.68496519676</x:v>
      </x:c>
      <x:c r="G772" t="str">
        <x:v>flat</x:v>
      </x:c>
      <x:c r="H772" s="12" t="n">
        <x:v>2</x:v>
      </x:c>
      <x:c r="I772" s="13" t="n">
        <x:v>8</x:v>
      </x:c>
      <x:c r="J772" t="str">
        <x:v>J</x:v>
      </x:c>
      <x:c r="K772" s="14" t="n">
        <x:v>51.4</x:v>
      </x:c>
      <x:c r="L772" s="14"/>
      <x:c r="M772" s="14"/>
      <x:c r="N772" s="14"/>
      <x:c r="O772" s="14"/>
      <x:c r="P772" s="14" t="n">
        <x:v>3.82</x:v>
      </x:c>
      <x:c r="Q772" s="14" t="n">
        <x:v>55.22</x:v>
      </x:c>
      <x:c r="R772" s="15"/>
      <x:c r="S772" s="15"/>
      <x:c r="T772" s="15"/>
      <x:c r="U772" s="16"/>
      <x:c r="V772" t="str">
        <x:v>JTRE</x:v>
      </x:c>
      <x:c r="W772" t="str">
        <x:v>Ružinov</x:v>
      </x:c>
      <x:c r="X772" s="11" t="str">
        <x:v>Predaný</x:v>
      </x:c>
      <x:c r="Y772" s="11" t="str">
        <x:v>https://d-y.sk/byty/j08.04/</x:v>
      </x:c>
      <x:c r="Z772" s="11" t="n">
        <x:v>46252.68496519676</x:v>
      </x:c>
      <x:c r="AA772" s="11" t="n">
        <x:v>46254.51251577547</x:v>
      </x:c>
      <x:c r="AB772" s="11" t="n">
        <x:v>46254.51251577547</x:v>
      </x:c>
      <x:c r="AC772" t="str">
        <x:v>downtown_yards</x:v>
      </x:c>
    </x:row>
    <x:row r="773" ht="22" customHeight="1">
      <x:c r="A773" t="str">
        <x:v>Downtown Yards</x:v>
      </x:c>
      <x:c r="B773" t="str">
        <x:v>J08.05</x:v>
      </x:c>
      <x:c r="C773" t="str">
        <x:v>available</x:v>
      </x:c>
      <x:c r="D773" t="str">
        <x:v>present</x:v>
      </x:c>
      <x:c r="E773" t="str">
        <x:v>baseline</x:v>
      </x:c>
      <x:c r="F773" s="11" t="n">
        <x:v>46252.68496519676</x:v>
      </x:c>
      <x:c r="G773" t="str">
        <x:v>flat</x:v>
      </x:c>
      <x:c r="H773" s="12" t="n">
        <x:v>3</x:v>
      </x:c>
      <x:c r="I773" s="13" t="n">
        <x:v>8</x:v>
      </x:c>
      <x:c r="J773" t="str">
        <x:v>J</x:v>
      </x:c>
      <x:c r="K773" s="14" t="n">
        <x:v>81.96</x:v>
      </x:c>
      <x:c r="L773" s="14"/>
      <x:c r="M773" s="14"/>
      <x:c r="N773" s="14"/>
      <x:c r="O773" s="14"/>
      <x:c r="P773" s="14" t="n">
        <x:v>4.39</x:v>
      </x:c>
      <x:c r="Q773" s="14" t="n">
        <x:v>86.35</x:v>
      </x:c>
      <x:c r="R773" s="15" t="n">
        <x:v>535296</x:v>
      </x:c>
      <x:c r="S773" s="15" t="n">
        <x:v>584988</x:v>
      </x:c>
      <x:c r="T773" s="15" t="n">
        <x:v>535296</x:v>
      </x:c>
      <x:c r="U773" s="16" t="n">
        <x:v>6531.19</x:v>
      </x:c>
      <x:c r="V773" t="str">
        <x:v>JTRE</x:v>
      </x:c>
      <x:c r="W773" t="str">
        <x:v>Ružinov</x:v>
      </x:c>
      <x:c r="X773" s="11" t="str">
        <x:v>Voľný</x:v>
      </x:c>
      <x:c r="Y773" s="11" t="str">
        <x:v>https://d-y.sk/byty/j08.05/</x:v>
      </x:c>
      <x:c r="Z773" s="11" t="n">
        <x:v>46252.68496519676</x:v>
      </x:c>
      <x:c r="AA773" s="11" t="n">
        <x:v>46254.51251577547</x:v>
      </x:c>
      <x:c r="AB773" s="11" t="n">
        <x:v>46254.51251577547</x:v>
      </x:c>
      <x:c r="AC773" t="str">
        <x:v>downtown_yards</x:v>
      </x:c>
    </x:row>
    <x:row r="774" ht="22" customHeight="1">
      <x:c r="A774" t="str">
        <x:v>Downtown Yards</x:v>
      </x:c>
      <x:c r="B774" t="str">
        <x:v>J08.06</x:v>
      </x:c>
      <x:c r="C774" t="str">
        <x:v>available</x:v>
      </x:c>
      <x:c r="D774" t="str">
        <x:v>present</x:v>
      </x:c>
      <x:c r="E774" t="str">
        <x:v>baseline</x:v>
      </x:c>
      <x:c r="F774" s="11" t="n">
        <x:v>46252.68496519676</x:v>
      </x:c>
      <x:c r="G774" t="str">
        <x:v>flat</x:v>
      </x:c>
      <x:c r="H774" s="12" t="n">
        <x:v>3</x:v>
      </x:c>
      <x:c r="I774" s="13" t="n">
        <x:v>8</x:v>
      </x:c>
      <x:c r="J774" t="str">
        <x:v>J</x:v>
      </x:c>
      <x:c r="K774" s="14" t="n">
        <x:v>81.64</x:v>
      </x:c>
      <x:c r="L774" s="14"/>
      <x:c r="M774" s="14"/>
      <x:c r="N774" s="14"/>
      <x:c r="O774" s="14"/>
      <x:c r="P774" s="14" t="n">
        <x:v>6.58</x:v>
      </x:c>
      <x:c r="Q774" s="14" t="n">
        <x:v>88.22</x:v>
      </x:c>
      <x:c r="R774" s="15" t="n">
        <x:v>533205</x:v>
      </x:c>
      <x:c r="S774" s="15" t="n">
        <x:v>616353</x:v>
      </x:c>
      <x:c r="T774" s="15" t="n">
        <x:v>533205</x:v>
      </x:c>
      <x:c r="U774" s="16" t="n">
        <x:v>6531.17</x:v>
      </x:c>
      <x:c r="V774" t="str">
        <x:v>JTRE</x:v>
      </x:c>
      <x:c r="W774" t="str">
        <x:v>Ružinov</x:v>
      </x:c>
      <x:c r="X774" s="11" t="str">
        <x:v>Voľný</x:v>
      </x:c>
      <x:c r="Y774" s="11" t="str">
        <x:v>https://d-y.sk/byty/j08.06/</x:v>
      </x:c>
      <x:c r="Z774" s="11" t="n">
        <x:v>46252.68496519676</x:v>
      </x:c>
      <x:c r="AA774" s="11" t="n">
        <x:v>46254.51251577547</x:v>
      </x:c>
      <x:c r="AB774" s="11" t="n">
        <x:v>46254.51251577547</x:v>
      </x:c>
      <x:c r="AC774" t="str">
        <x:v>downtown_yards</x:v>
      </x:c>
    </x:row>
    <x:row r="775" ht="22" customHeight="1">
      <x:c r="A775" t="str">
        <x:v>Downtown Yards</x:v>
      </x:c>
      <x:c r="B775" t="str">
        <x:v>J08.07</x:v>
      </x:c>
      <x:c r="C775" t="str">
        <x:v>sold</x:v>
      </x:c>
      <x:c r="D775" t="str">
        <x:v>present</x:v>
      </x:c>
      <x:c r="E775" t="str">
        <x:v>baseline</x:v>
      </x:c>
      <x:c r="F775" s="11" t="n">
        <x:v>46252.68496519676</x:v>
      </x:c>
      <x:c r="G775" t="str">
        <x:v>flat</x:v>
      </x:c>
      <x:c r="H775" s="12" t="n">
        <x:v>2</x:v>
      </x:c>
      <x:c r="I775" s="13" t="n">
        <x:v>8</x:v>
      </x:c>
      <x:c r="J775" t="str">
        <x:v>J</x:v>
      </x:c>
      <x:c r="K775" s="14" t="n">
        <x:v>51.62</x:v>
      </x:c>
      <x:c r="L775" s="14"/>
      <x:c r="M775" s="14"/>
      <x:c r="N775" s="14"/>
      <x:c r="O775" s="14"/>
      <x:c r="P775" s="14" t="n">
        <x:v>6.58</x:v>
      </x:c>
      <x:c r="Q775" s="14" t="n">
        <x:v>58.2</x:v>
      </x:c>
      <x:c r="R775" s="15"/>
      <x:c r="S775" s="15"/>
      <x:c r="T775" s="15"/>
      <x:c r="U775" s="16"/>
      <x:c r="V775" t="str">
        <x:v>JTRE</x:v>
      </x:c>
      <x:c r="W775" t="str">
        <x:v>Ružinov</x:v>
      </x:c>
      <x:c r="X775" s="11" t="str">
        <x:v>Predaný</x:v>
      </x:c>
      <x:c r="Y775" s="11" t="str">
        <x:v>https://d-y.sk/byty/j08.07/</x:v>
      </x:c>
      <x:c r="Z775" s="11" t="n">
        <x:v>46252.68496519676</x:v>
      </x:c>
      <x:c r="AA775" s="11" t="n">
        <x:v>46254.51251577547</x:v>
      </x:c>
      <x:c r="AB775" s="11" t="n">
        <x:v>46254.51251577547</x:v>
      </x:c>
      <x:c r="AC775" t="str">
        <x:v>downtown_yards</x:v>
      </x:c>
    </x:row>
    <x:row r="776" ht="22" customHeight="1">
      <x:c r="A776" t="str">
        <x:v>Downtown Yards</x:v>
      </x:c>
      <x:c r="B776" t="str">
        <x:v>J08.08</x:v>
      </x:c>
      <x:c r="C776" t="str">
        <x:v>pre_reserved</x:v>
      </x:c>
      <x:c r="D776" t="str">
        <x:v>present</x:v>
      </x:c>
      <x:c r="E776" t="str">
        <x:v>baseline</x:v>
      </x:c>
      <x:c r="F776" s="11" t="n">
        <x:v>46252.68496519676</x:v>
      </x:c>
      <x:c r="G776" t="str">
        <x:v>flat</x:v>
      </x:c>
      <x:c r="H776" s="12" t="n">
        <x:v>2</x:v>
      </x:c>
      <x:c r="I776" s="13" t="n">
        <x:v>8</x:v>
      </x:c>
      <x:c r="J776" t="str">
        <x:v>J</x:v>
      </x:c>
      <x:c r="K776" s="14" t="n">
        <x:v>49.82</x:v>
      </x:c>
      <x:c r="L776" s="14"/>
      <x:c r="M776" s="14"/>
      <x:c r="N776" s="14"/>
      <x:c r="O776" s="14"/>
      <x:c r="P776" s="14" t="n">
        <x:v>6.58</x:v>
      </x:c>
      <x:c r="Q776" s="14" t="n">
        <x:v>56.4</x:v>
      </x:c>
      <x:c r="R776" s="15" t="n">
        <x:v>354117</x:v>
      </x:c>
      <x:c r="S776" s="15" t="n">
        <x:v>402333</x:v>
      </x:c>
      <x:c r="T776" s="15" t="n">
        <x:v>354117</x:v>
      </x:c>
      <x:c r="U776" s="16" t="n">
        <x:v>7107.93</x:v>
      </x:c>
      <x:c r="V776" t="str">
        <x:v>JTRE</x:v>
      </x:c>
      <x:c r="W776" t="str">
        <x:v>Ružinov</x:v>
      </x:c>
      <x:c r="X776" s="11" t="str">
        <x:v>Predrezervovaný</x:v>
      </x:c>
      <x:c r="Y776" s="11" t="str">
        <x:v>https://d-y.sk/byty/j08.08/</x:v>
      </x:c>
      <x:c r="Z776" s="11" t="n">
        <x:v>46252.68496519676</x:v>
      </x:c>
      <x:c r="AA776" s="11" t="n">
        <x:v>46254.51251577547</x:v>
      </x:c>
      <x:c r="AB776" s="11" t="n">
        <x:v>46254.51251577547</x:v>
      </x:c>
      <x:c r="AC776" t="str">
        <x:v>downtown_yards</x:v>
      </x:c>
    </x:row>
    <x:row r="777" ht="22" customHeight="1">
      <x:c r="A777" t="str">
        <x:v>Downtown Yards</x:v>
      </x:c>
      <x:c r="B777" t="str">
        <x:v>J08.09</x:v>
      </x:c>
      <x:c r="C777" t="str">
        <x:v>available</x:v>
      </x:c>
      <x:c r="D777" t="str">
        <x:v>present</x:v>
      </x:c>
      <x:c r="E777" t="str">
        <x:v>baseline</x:v>
      </x:c>
      <x:c r="F777" s="11" t="n">
        <x:v>46252.68496519676</x:v>
      </x:c>
      <x:c r="G777" t="str">
        <x:v>flat</x:v>
      </x:c>
      <x:c r="H777" s="12" t="n">
        <x:v>3</x:v>
      </x:c>
      <x:c r="I777" s="13" t="n">
        <x:v>8</x:v>
      </x:c>
      <x:c r="J777" t="str">
        <x:v>J</x:v>
      </x:c>
      <x:c r="K777" s="14" t="n">
        <x:v>77.43</x:v>
      </x:c>
      <x:c r="L777" s="14"/>
      <x:c r="M777" s="14"/>
      <x:c r="N777" s="14"/>
      <x:c r="O777" s="14"/>
      <x:c r="P777" s="14" t="n">
        <x:v>12.1</x:v>
      </x:c>
      <x:c r="Q777" s="14" t="n">
        <x:v>89.53</x:v>
      </x:c>
      <x:c r="R777" s="15" t="n">
        <x:v>543414</x:v>
      </x:c>
      <x:c r="S777" s="15" t="n">
        <x:v>628161</x:v>
      </x:c>
      <x:c r="T777" s="15" t="n">
        <x:v>543414</x:v>
      </x:c>
      <x:c r="U777" s="16" t="n">
        <x:v>7018.13</x:v>
      </x:c>
      <x:c r="V777" t="str">
        <x:v>JTRE</x:v>
      </x:c>
      <x:c r="W777" t="str">
        <x:v>Ružinov</x:v>
      </x:c>
      <x:c r="X777" s="11" t="str">
        <x:v>Voľný</x:v>
      </x:c>
      <x:c r="Y777" s="11" t="str">
        <x:v>https://d-y.sk/byty/j08.09/</x:v>
      </x:c>
      <x:c r="Z777" s="11" t="n">
        <x:v>46252.68496519676</x:v>
      </x:c>
      <x:c r="AA777" s="11" t="n">
        <x:v>46254.51251577547</x:v>
      </x:c>
      <x:c r="AB777" s="11" t="n">
        <x:v>46254.51251577547</x:v>
      </x:c>
      <x:c r="AC777" t="str">
        <x:v>downtown_yards</x:v>
      </x:c>
    </x:row>
    <x:row r="778" ht="22" customHeight="1">
      <x:c r="A778" t="str">
        <x:v>Downtown Yards</x:v>
      </x:c>
      <x:c r="B778" t="str">
        <x:v>J08.10</x:v>
      </x:c>
      <x:c r="C778" t="str">
        <x:v>available</x:v>
      </x:c>
      <x:c r="D778" t="str">
        <x:v>present</x:v>
      </x:c>
      <x:c r="E778" t="str">
        <x:v>baseline</x:v>
      </x:c>
      <x:c r="F778" s="11" t="n">
        <x:v>46252.68496519676</x:v>
      </x:c>
      <x:c r="G778" t="str">
        <x:v>apartment</x:v>
      </x:c>
      <x:c r="H778" s="12" t="n">
        <x:v>1</x:v>
      </x:c>
      <x:c r="I778" s="13" t="n">
        <x:v>8</x:v>
      </x:c>
      <x:c r="J778" t="str">
        <x:v>J</x:v>
      </x:c>
      <x:c r="K778" s="14" t="n">
        <x:v>31.77</x:v>
      </x:c>
      <x:c r="L778" s="14"/>
      <x:c r="M778" s="14"/>
      <x:c r="N778" s="14"/>
      <x:c r="O778" s="14"/>
      <x:c r="P778" s="14" t="n">
        <x:v>3.23</x:v>
      </x:c>
      <x:c r="Q778" s="14" t="n">
        <x:v>35</x:v>
      </x:c>
      <x:c r="R778" s="15" t="n">
        <x:v>253749</x:v>
      </x:c>
      <x:c r="S778" s="15" t="n">
        <x:v>280317</x:v>
      </x:c>
      <x:c r="T778" s="15" t="n">
        <x:v>253749</x:v>
      </x:c>
      <x:c r="U778" s="16" t="n">
        <x:v>7987.06</x:v>
      </x:c>
      <x:c r="V778" t="str">
        <x:v>JTRE</x:v>
      </x:c>
      <x:c r="W778" t="str">
        <x:v>Ružinov</x:v>
      </x:c>
      <x:c r="X778" s="11" t="str">
        <x:v>Voľný</x:v>
      </x:c>
      <x:c r="Y778" s="11" t="str">
        <x:v>https://d-y.sk/byty/j08.10/</x:v>
      </x:c>
      <x:c r="Z778" s="11" t="n">
        <x:v>46252.68496519676</x:v>
      </x:c>
      <x:c r="AA778" s="11" t="n">
        <x:v>46254.51251577547</x:v>
      </x:c>
      <x:c r="AB778" s="11" t="n">
        <x:v>46254.51251577547</x:v>
      </x:c>
      <x:c r="AC778" t="str">
        <x:v>downtown_yards</x:v>
      </x:c>
    </x:row>
    <x:row r="779" ht="22" customHeight="1">
      <x:c r="A779" t="str">
        <x:v>Downtown Yards</x:v>
      </x:c>
      <x:c r="B779" t="str">
        <x:v>J09.08</x:v>
      </x:c>
      <x:c r="C779" t="str">
        <x:v>sold</x:v>
      </x:c>
      <x:c r="D779" t="str">
        <x:v>present</x:v>
      </x:c>
      <x:c r="E779" t="str">
        <x:v>baseline</x:v>
      </x:c>
      <x:c r="F779" s="11" t="n">
        <x:v>46252.68496519676</x:v>
      </x:c>
      <x:c r="G779" t="str">
        <x:v>flat</x:v>
      </x:c>
      <x:c r="H779" s="12" t="n">
        <x:v>2</x:v>
      </x:c>
      <x:c r="I779" s="13" t="n">
        <x:v>9</x:v>
      </x:c>
      <x:c r="J779" t="str">
        <x:v>J</x:v>
      </x:c>
      <x:c r="K779" s="14" t="n">
        <x:v>49.82</x:v>
      </x:c>
      <x:c r="L779" s="14"/>
      <x:c r="M779" s="14"/>
      <x:c r="N779" s="14"/>
      <x:c r="O779" s="14"/>
      <x:c r="P779" s="14" t="n">
        <x:v>6.58</x:v>
      </x:c>
      <x:c r="Q779" s="14" t="n">
        <x:v>56.4</x:v>
      </x:c>
      <x:c r="R779" s="15"/>
      <x:c r="S779" s="15"/>
      <x:c r="T779" s="15"/>
      <x:c r="U779" s="16"/>
      <x:c r="V779" t="str">
        <x:v>JTRE</x:v>
      </x:c>
      <x:c r="W779" t="str">
        <x:v>Ružinov</x:v>
      </x:c>
      <x:c r="X779" s="11" t="str">
        <x:v>Predaný</x:v>
      </x:c>
      <x:c r="Y779" s="11" t="str">
        <x:v>https://d-y.sk/byty/j09.08/</x:v>
      </x:c>
      <x:c r="Z779" s="11" t="n">
        <x:v>46252.68496519676</x:v>
      </x:c>
      <x:c r="AA779" s="11" t="n">
        <x:v>46254.51251577547</x:v>
      </x:c>
      <x:c r="AB779" s="11" t="n">
        <x:v>46254.51251577547</x:v>
      </x:c>
      <x:c r="AC779" t="str">
        <x:v>downtown_yards</x:v>
      </x:c>
    </x:row>
    <x:row r="780" ht="22" customHeight="1">
      <x:c r="A780" t="str">
        <x:v>Downtown Yards</x:v>
      </x:c>
      <x:c r="B780" t="str">
        <x:v>J10.01</x:v>
      </x:c>
      <x:c r="C780" t="str">
        <x:v>available</x:v>
      </x:c>
      <x:c r="D780" t="str">
        <x:v>present</x:v>
      </x:c>
      <x:c r="E780" t="str">
        <x:v>baseline</x:v>
      </x:c>
      <x:c r="F780" s="11" t="n">
        <x:v>46252.68496519676</x:v>
      </x:c>
      <x:c r="G780" t="str">
        <x:v>apartment</x:v>
      </x:c>
      <x:c r="H780" s="12" t="n">
        <x:v>1</x:v>
      </x:c>
      <x:c r="I780" s="13" t="n">
        <x:v>10</x:v>
      </x:c>
      <x:c r="J780" t="str">
        <x:v>J</x:v>
      </x:c>
      <x:c r="K780" s="14" t="n">
        <x:v>31.77</x:v>
      </x:c>
      <x:c r="L780" s="14"/>
      <x:c r="M780" s="14"/>
      <x:c r="N780" s="14"/>
      <x:c r="O780" s="14"/>
      <x:c r="P780" s="14" t="n">
        <x:v>3.21</x:v>
      </x:c>
      <x:c r="Q780" s="14" t="n">
        <x:v>34.98</x:v>
      </x:c>
      <x:c r="R780" s="15" t="n">
        <x:v>257808</x:v>
      </x:c>
      <x:c r="S780" s="15" t="n">
        <x:v>284745</x:v>
      </x:c>
      <x:c r="T780" s="15" t="n">
        <x:v>257808</x:v>
      </x:c>
      <x:c r="U780" s="16" t="n">
        <x:v>8114.83</x:v>
      </x:c>
      <x:c r="V780" t="str">
        <x:v>JTRE</x:v>
      </x:c>
      <x:c r="W780" t="str">
        <x:v>Ružinov</x:v>
      </x:c>
      <x:c r="X780" s="11" t="str">
        <x:v>Voľný</x:v>
      </x:c>
      <x:c r="Y780" s="11" t="str">
        <x:v>https://d-y.sk/byty/j10.01/</x:v>
      </x:c>
      <x:c r="Z780" s="11" t="n">
        <x:v>46252.68496519676</x:v>
      </x:c>
      <x:c r="AA780" s="11" t="n">
        <x:v>46254.51251577547</x:v>
      </x:c>
      <x:c r="AB780" s="11" t="n">
        <x:v>46254.51251577547</x:v>
      </x:c>
      <x:c r="AC780" t="str">
        <x:v>downtown_yards</x:v>
      </x:c>
    </x:row>
    <x:row r="781" ht="22" customHeight="1">
      <x:c r="A781" t="str">
        <x:v>Downtown Yards</x:v>
      </x:c>
      <x:c r="B781" t="str">
        <x:v>J10.02</x:v>
      </x:c>
      <x:c r="C781" t="str">
        <x:v>available</x:v>
      </x:c>
      <x:c r="D781" t="str">
        <x:v>present</x:v>
      </x:c>
      <x:c r="E781" t="str">
        <x:v>baseline</x:v>
      </x:c>
      <x:c r="F781" s="11" t="n">
        <x:v>46252.68496519676</x:v>
      </x:c>
      <x:c r="G781" t="str">
        <x:v>flat</x:v>
      </x:c>
      <x:c r="H781" s="12" t="n">
        <x:v>3</x:v>
      </x:c>
      <x:c r="I781" s="13" t="n">
        <x:v>10</x:v>
      </x:c>
      <x:c r="J781" t="str">
        <x:v>J</x:v>
      </x:c>
      <x:c r="K781" s="14" t="n">
        <x:v>80.49</x:v>
      </x:c>
      <x:c r="L781" s="14"/>
      <x:c r="M781" s="14"/>
      <x:c r="N781" s="14"/>
      <x:c r="O781" s="14"/>
      <x:c r="P781" s="14" t="n">
        <x:v>9.14</x:v>
      </x:c>
      <x:c r="Q781" s="14" t="n">
        <x:v>89.63</x:v>
      </x:c>
      <x:c r="R781" s="15" t="n">
        <x:v>565923</x:v>
      </x:c>
      <x:c r="S781" s="15" t="n">
        <x:v>618444</x:v>
      </x:c>
      <x:c r="T781" s="15" t="n">
        <x:v>565923</x:v>
      </x:c>
      <x:c r="U781" s="16" t="n">
        <x:v>7030.97</x:v>
      </x:c>
      <x:c r="V781" t="str">
        <x:v>JTRE</x:v>
      </x:c>
      <x:c r="W781" t="str">
        <x:v>Ružinov</x:v>
      </x:c>
      <x:c r="X781" s="11" t="str">
        <x:v>Voľný</x:v>
      </x:c>
      <x:c r="Y781" s="11" t="str">
        <x:v>https://d-y.sk/byty/j10.02/</x:v>
      </x:c>
      <x:c r="Z781" s="11" t="n">
        <x:v>46252.68496519676</x:v>
      </x:c>
      <x:c r="AA781" s="11" t="n">
        <x:v>46254.51251577547</x:v>
      </x:c>
      <x:c r="AB781" s="11" t="n">
        <x:v>46254.51251577547</x:v>
      </x:c>
      <x:c r="AC781" t="str">
        <x:v>downtown_yards</x:v>
      </x:c>
    </x:row>
    <x:row r="782" ht="22" customHeight="1">
      <x:c r="A782" t="str">
        <x:v>Downtown Yards</x:v>
      </x:c>
      <x:c r="B782" t="str">
        <x:v>J10.03</x:v>
      </x:c>
      <x:c r="C782" t="str">
        <x:v>available</x:v>
      </x:c>
      <x:c r="D782" t="str">
        <x:v>present</x:v>
      </x:c>
      <x:c r="E782" t="str">
        <x:v>baseline</x:v>
      </x:c>
      <x:c r="F782" s="11" t="n">
        <x:v>46252.68496519676</x:v>
      </x:c>
      <x:c r="G782" t="str">
        <x:v>flat</x:v>
      </x:c>
      <x:c r="H782" s="12" t="n">
        <x:v>2</x:v>
      </x:c>
      <x:c r="I782" s="13" t="n">
        <x:v>10</x:v>
      </x:c>
      <x:c r="J782" t="str">
        <x:v>J</x:v>
      </x:c>
      <x:c r="K782" s="14" t="n">
        <x:v>51.96</x:v>
      </x:c>
      <x:c r="L782" s="14"/>
      <x:c r="M782" s="14"/>
      <x:c r="N782" s="14"/>
      <x:c r="O782" s="14"/>
      <x:c r="P782" s="14" t="n">
        <x:v>3.82</x:v>
      </x:c>
      <x:c r="Q782" s="14" t="n">
        <x:v>55.78</x:v>
      </x:c>
      <x:c r="R782" s="15" t="n">
        <x:v>366909</x:v>
      </x:c>
      <x:c r="S782" s="15" t="n">
        <x:v>394461</x:v>
      </x:c>
      <x:c r="T782" s="15" t="n">
        <x:v>366909</x:v>
      </x:c>
      <x:c r="U782" s="16" t="n">
        <x:v>7061.37</x:v>
      </x:c>
      <x:c r="V782" t="str">
        <x:v>JTRE</x:v>
      </x:c>
      <x:c r="W782" t="str">
        <x:v>Ružinov</x:v>
      </x:c>
      <x:c r="X782" s="11" t="str">
        <x:v>Voľný</x:v>
      </x:c>
      <x:c r="Y782" s="11" t="str">
        <x:v>https://d-y.sk/byty/j10.03/</x:v>
      </x:c>
      <x:c r="Z782" s="11" t="n">
        <x:v>46252.68496519676</x:v>
      </x:c>
      <x:c r="AA782" s="11" t="n">
        <x:v>46254.51251577547</x:v>
      </x:c>
      <x:c r="AB782" s="11" t="n">
        <x:v>46254.51251577547</x:v>
      </x:c>
      <x:c r="AC782" t="str">
        <x:v>downtown_yards</x:v>
      </x:c>
    </x:row>
    <x:row r="783" ht="22" customHeight="1">
      <x:c r="A783" t="str">
        <x:v>Downtown Yards</x:v>
      </x:c>
      <x:c r="B783" t="str">
        <x:v>J10.04</x:v>
      </x:c>
      <x:c r="C783" t="str">
        <x:v>available</x:v>
      </x:c>
      <x:c r="D783" t="str">
        <x:v>present</x:v>
      </x:c>
      <x:c r="E783" t="str">
        <x:v>baseline</x:v>
      </x:c>
      <x:c r="F783" s="11" t="n">
        <x:v>46252.68496519676</x:v>
      </x:c>
      <x:c r="G783" t="str">
        <x:v>flat</x:v>
      </x:c>
      <x:c r="H783" s="12" t="n">
        <x:v>2</x:v>
      </x:c>
      <x:c r="I783" s="13" t="n">
        <x:v>10</x:v>
      </x:c>
      <x:c r="J783" t="str">
        <x:v>J</x:v>
      </x:c>
      <x:c r="K783" s="14" t="n">
        <x:v>51.4</x:v>
      </x:c>
      <x:c r="L783" s="14"/>
      <x:c r="M783" s="14"/>
      <x:c r="N783" s="14"/>
      <x:c r="O783" s="14"/>
      <x:c r="P783" s="14" t="n">
        <x:v>3.82</x:v>
      </x:c>
      <x:c r="Q783" s="14" t="n">
        <x:v>55.22</x:v>
      </x:c>
      <x:c r="R783" s="15" t="n">
        <x:v>363096</x:v>
      </x:c>
      <x:c r="S783" s="15" t="n">
        <x:v>390402</x:v>
      </x:c>
      <x:c r="T783" s="15" t="n">
        <x:v>363096</x:v>
      </x:c>
      <x:c r="U783" s="16" t="n">
        <x:v>7064.12</x:v>
      </x:c>
      <x:c r="V783" t="str">
        <x:v>JTRE</x:v>
      </x:c>
      <x:c r="W783" t="str">
        <x:v>Ružinov</x:v>
      </x:c>
      <x:c r="X783" s="11" t="str">
        <x:v>Voľný</x:v>
      </x:c>
      <x:c r="Y783" s="11" t="str">
        <x:v>https://d-y.sk/byty/j10.04/</x:v>
      </x:c>
      <x:c r="Z783" s="11" t="n">
        <x:v>46252.68496519676</x:v>
      </x:c>
      <x:c r="AA783" s="11" t="n">
        <x:v>46254.51251577547</x:v>
      </x:c>
      <x:c r="AB783" s="11" t="n">
        <x:v>46254.51251577547</x:v>
      </x:c>
      <x:c r="AC783" t="str">
        <x:v>downtown_yards</x:v>
      </x:c>
    </x:row>
    <x:row r="784" ht="22" customHeight="1">
      <x:c r="A784" t="str">
        <x:v>Downtown Yards</x:v>
      </x:c>
      <x:c r="B784" t="str">
        <x:v>J10.05</x:v>
      </x:c>
      <x:c r="C784" t="str">
        <x:v>available</x:v>
      </x:c>
      <x:c r="D784" t="str">
        <x:v>present</x:v>
      </x:c>
      <x:c r="E784" t="str">
        <x:v>baseline</x:v>
      </x:c>
      <x:c r="F784" s="11" t="n">
        <x:v>46252.68496519676</x:v>
      </x:c>
      <x:c r="G784" t="str">
        <x:v>flat</x:v>
      </x:c>
      <x:c r="H784" s="12" t="n">
        <x:v>3</x:v>
      </x:c>
      <x:c r="I784" s="13" t="n">
        <x:v>10</x:v>
      </x:c>
      <x:c r="J784" t="str">
        <x:v>J</x:v>
      </x:c>
      <x:c r="K784" s="14" t="n">
        <x:v>81.96</x:v>
      </x:c>
      <x:c r="L784" s="14"/>
      <x:c r="M784" s="14"/>
      <x:c r="N784" s="14"/>
      <x:c r="O784" s="14"/>
      <x:c r="P784" s="14" t="n">
        <x:v>4.39</x:v>
      </x:c>
      <x:c r="Q784" s="14" t="n">
        <x:v>86.35</x:v>
      </x:c>
      <x:c r="R784" s="15" t="n">
        <x:v>544275</x:v>
      </x:c>
      <x:c r="S784" s="15" t="n">
        <x:v>594705</x:v>
      </x:c>
      <x:c r="T784" s="15" t="n">
        <x:v>544275</x:v>
      </x:c>
      <x:c r="U784" s="16" t="n">
        <x:v>6640.74</x:v>
      </x:c>
      <x:c r="V784" t="str">
        <x:v>JTRE</x:v>
      </x:c>
      <x:c r="W784" t="str">
        <x:v>Ružinov</x:v>
      </x:c>
      <x:c r="X784" s="11" t="str">
        <x:v>Voľný</x:v>
      </x:c>
      <x:c r="Y784" s="11" t="str">
        <x:v>https://d-y.sk/byty/j10.05/</x:v>
      </x:c>
      <x:c r="Z784" s="11" t="n">
        <x:v>46252.68496519676</x:v>
      </x:c>
      <x:c r="AA784" s="11" t="n">
        <x:v>46254.51251577547</x:v>
      </x:c>
      <x:c r="AB784" s="11" t="n">
        <x:v>46254.51251577547</x:v>
      </x:c>
      <x:c r="AC784" t="str">
        <x:v>downtown_yards</x:v>
      </x:c>
    </x:row>
    <x:row r="785" ht="22" customHeight="1">
      <x:c r="A785" t="str">
        <x:v>Downtown Yards</x:v>
      </x:c>
      <x:c r="B785" t="str">
        <x:v>J10.06</x:v>
      </x:c>
      <x:c r="C785" t="str">
        <x:v>available</x:v>
      </x:c>
      <x:c r="D785" t="str">
        <x:v>present</x:v>
      </x:c>
      <x:c r="E785" t="str">
        <x:v>baseline</x:v>
      </x:c>
      <x:c r="F785" s="11" t="n">
        <x:v>46252.68496519676</x:v>
      </x:c>
      <x:c r="G785" t="str">
        <x:v>flat</x:v>
      </x:c>
      <x:c r="H785" s="12" t="n">
        <x:v>3</x:v>
      </x:c>
      <x:c r="I785" s="13" t="n">
        <x:v>10</x:v>
      </x:c>
      <x:c r="J785" t="str">
        <x:v>J</x:v>
      </x:c>
      <x:c r="K785" s="14" t="n">
        <x:v>81.64</x:v>
      </x:c>
      <x:c r="L785" s="14"/>
      <x:c r="M785" s="14"/>
      <x:c r="N785" s="14"/>
      <x:c r="O785" s="14"/>
      <x:c r="P785" s="14" t="n">
        <x:v>6.58</x:v>
      </x:c>
      <x:c r="Q785" s="14" t="n">
        <x:v>88.22</x:v>
      </x:c>
      <x:c r="R785" s="15" t="n">
        <x:v>545997</x:v>
      </x:c>
      <x:c r="S785" s="15" t="n">
        <x:v>631113</x:v>
      </x:c>
      <x:c r="T785" s="15" t="n">
        <x:v>545997</x:v>
      </x:c>
      <x:c r="U785" s="16" t="n">
        <x:v>6687.86</x:v>
      </x:c>
      <x:c r="V785" t="str">
        <x:v>JTRE</x:v>
      </x:c>
      <x:c r="W785" t="str">
        <x:v>Ružinov</x:v>
      </x:c>
      <x:c r="X785" s="11" t="str">
        <x:v>Voľný</x:v>
      </x:c>
      <x:c r="Y785" s="11" t="str">
        <x:v>https://d-y.sk/byty/j10.06/</x:v>
      </x:c>
      <x:c r="Z785" s="11" t="n">
        <x:v>46252.68496519676</x:v>
      </x:c>
      <x:c r="AA785" s="11" t="n">
        <x:v>46254.51251577547</x:v>
      </x:c>
      <x:c r="AB785" s="11" t="n">
        <x:v>46254.51251577547</x:v>
      </x:c>
      <x:c r="AC785" t="str">
        <x:v>downtown_yards</x:v>
      </x:c>
    </x:row>
    <x:row r="786" ht="22" customHeight="1">
      <x:c r="A786" t="str">
        <x:v>Downtown Yards</x:v>
      </x:c>
      <x:c r="B786" t="str">
        <x:v>J10.07</x:v>
      </x:c>
      <x:c r="C786" t="str">
        <x:v>available</x:v>
      </x:c>
      <x:c r="D786" t="str">
        <x:v>present</x:v>
      </x:c>
      <x:c r="E786" t="str">
        <x:v>baseline</x:v>
      </x:c>
      <x:c r="F786" s="11" t="n">
        <x:v>46252.68496519676</x:v>
      </x:c>
      <x:c r="G786" t="str">
        <x:v>flat</x:v>
      </x:c>
      <x:c r="H786" s="12" t="n">
        <x:v>2</x:v>
      </x:c>
      <x:c r="I786" s="13" t="n">
        <x:v>10</x:v>
      </x:c>
      <x:c r="J786" t="str">
        <x:v>J</x:v>
      </x:c>
      <x:c r="K786" s="14" t="n">
        <x:v>51.62</x:v>
      </x:c>
      <x:c r="L786" s="14"/>
      <x:c r="M786" s="14"/>
      <x:c r="N786" s="14"/>
      <x:c r="O786" s="14"/>
      <x:c r="P786" s="14" t="n">
        <x:v>6.58</x:v>
      </x:c>
      <x:c r="Q786" s="14" t="n">
        <x:v>58.2</x:v>
      </x:c>
      <x:c r="R786" s="15" t="n">
        <x:v>368262</x:v>
      </x:c>
      <x:c r="S786" s="15" t="n">
        <x:v>418446</x:v>
      </x:c>
      <x:c r="T786" s="15" t="n">
        <x:v>368262</x:v>
      </x:c>
      <x:c r="U786" s="16" t="n">
        <x:v>7134.1</x:v>
      </x:c>
      <x:c r="V786" t="str">
        <x:v>JTRE</x:v>
      </x:c>
      <x:c r="W786" t="str">
        <x:v>Ružinov</x:v>
      </x:c>
      <x:c r="X786" s="11" t="str">
        <x:v>Voľný</x:v>
      </x:c>
      <x:c r="Y786" s="11" t="str">
        <x:v>https://d-y.sk/byty/j10.07/</x:v>
      </x:c>
      <x:c r="Z786" s="11" t="n">
        <x:v>46252.68496519676</x:v>
      </x:c>
      <x:c r="AA786" s="11" t="n">
        <x:v>46254.51251577547</x:v>
      </x:c>
      <x:c r="AB786" s="11" t="n">
        <x:v>46254.51251577547</x:v>
      </x:c>
      <x:c r="AC786" t="str">
        <x:v>downtown_yards</x:v>
      </x:c>
    </x:row>
    <x:row r="787" ht="22" customHeight="1">
      <x:c r="A787" t="str">
        <x:v>Downtown Yards</x:v>
      </x:c>
      <x:c r="B787" t="str">
        <x:v>J10.08</x:v>
      </x:c>
      <x:c r="C787" t="str">
        <x:v>available</x:v>
      </x:c>
      <x:c r="D787" t="str">
        <x:v>present</x:v>
      </x:c>
      <x:c r="E787" t="str">
        <x:v>baseline</x:v>
      </x:c>
      <x:c r="F787" s="11" t="n">
        <x:v>46252.68496519676</x:v>
      </x:c>
      <x:c r="G787" t="str">
        <x:v>flat</x:v>
      </x:c>
      <x:c r="H787" s="12" t="n">
        <x:v>2</x:v>
      </x:c>
      <x:c r="I787" s="13" t="n">
        <x:v>10</x:v>
      </x:c>
      <x:c r="J787" t="str">
        <x:v>J</x:v>
      </x:c>
      <x:c r="K787" s="14" t="n">
        <x:v>49.82</x:v>
      </x:c>
      <x:c r="L787" s="14"/>
      <x:c r="M787" s="14"/>
      <x:c r="N787" s="14"/>
      <x:c r="O787" s="14"/>
      <x:c r="P787" s="14" t="n">
        <x:v>6.58</x:v>
      </x:c>
      <x:c r="Q787" s="14" t="n">
        <x:v>56.4</x:v>
      </x:c>
      <x:c r="R787" s="15" t="n">
        <x:v>362604</x:v>
      </x:c>
      <x:c r="S787" s="15" t="n">
        <x:v>411927</x:v>
      </x:c>
      <x:c r="T787" s="15" t="n">
        <x:v>362604</x:v>
      </x:c>
      <x:c r="U787" s="16" t="n">
        <x:v>7278.28</x:v>
      </x:c>
      <x:c r="V787" t="str">
        <x:v>JTRE</x:v>
      </x:c>
      <x:c r="W787" t="str">
        <x:v>Ružinov</x:v>
      </x:c>
      <x:c r="X787" s="11" t="str">
        <x:v>Voľný</x:v>
      </x:c>
      <x:c r="Y787" s="11" t="str">
        <x:v>https://d-y.sk/byty/j10.08/</x:v>
      </x:c>
      <x:c r="Z787" s="11" t="n">
        <x:v>46252.68496519676</x:v>
      </x:c>
      <x:c r="AA787" s="11" t="n">
        <x:v>46254.51251577547</x:v>
      </x:c>
      <x:c r="AB787" s="11" t="n">
        <x:v>46254.51251577547</x:v>
      </x:c>
      <x:c r="AC787" t="str">
        <x:v>downtown_yards</x:v>
      </x:c>
    </x:row>
    <x:row r="788" ht="22" customHeight="1">
      <x:c r="A788" t="str">
        <x:v>Downtown Yards</x:v>
      </x:c>
      <x:c r="B788" t="str">
        <x:v>J10.09</x:v>
      </x:c>
      <x:c r="C788" t="str">
        <x:v>available</x:v>
      </x:c>
      <x:c r="D788" t="str">
        <x:v>present</x:v>
      </x:c>
      <x:c r="E788" t="str">
        <x:v>baseline</x:v>
      </x:c>
      <x:c r="F788" s="11" t="n">
        <x:v>46252.68496519676</x:v>
      </x:c>
      <x:c r="G788" t="str">
        <x:v>flat</x:v>
      </x:c>
      <x:c r="H788" s="12" t="n">
        <x:v>3</x:v>
      </x:c>
      <x:c r="I788" s="13" t="n">
        <x:v>10</x:v>
      </x:c>
      <x:c r="J788" t="str">
        <x:v>J</x:v>
      </x:c>
      <x:c r="K788" s="14" t="n">
        <x:v>77.43</x:v>
      </x:c>
      <x:c r="L788" s="14"/>
      <x:c r="M788" s="14"/>
      <x:c r="N788" s="14"/>
      <x:c r="O788" s="14"/>
      <x:c r="P788" s="14" t="n">
        <x:v>12.1</x:v>
      </x:c>
      <x:c r="Q788" s="14" t="n">
        <x:v>89.53</x:v>
      </x:c>
      <x:c r="R788" s="15" t="n">
        <x:v>556452</x:v>
      </x:c>
      <x:c r="S788" s="15" t="n">
        <x:v>643167</x:v>
      </x:c>
      <x:c r="T788" s="15" t="n">
        <x:v>556452</x:v>
      </x:c>
      <x:c r="U788" s="16" t="n">
        <x:v>7186.52</x:v>
      </x:c>
      <x:c r="V788" t="str">
        <x:v>JTRE</x:v>
      </x:c>
      <x:c r="W788" t="str">
        <x:v>Ružinov</x:v>
      </x:c>
      <x:c r="X788" s="11" t="str">
        <x:v>Voľný</x:v>
      </x:c>
      <x:c r="Y788" s="11" t="str">
        <x:v>https://d-y.sk/byty/j10.09/</x:v>
      </x:c>
      <x:c r="Z788" s="11" t="n">
        <x:v>46252.68496519676</x:v>
      </x:c>
      <x:c r="AA788" s="11" t="n">
        <x:v>46254.51251577547</x:v>
      </x:c>
      <x:c r="AB788" s="11" t="n">
        <x:v>46254.51251577547</x:v>
      </x:c>
      <x:c r="AC788" t="str">
        <x:v>downtown_yards</x:v>
      </x:c>
    </x:row>
    <x:row r="789" ht="22" customHeight="1">
      <x:c r="A789" t="str">
        <x:v>Downtown Yards</x:v>
      </x:c>
      <x:c r="B789" t="str">
        <x:v>J10.10</x:v>
      </x:c>
      <x:c r="C789" t="str">
        <x:v>available</x:v>
      </x:c>
      <x:c r="D789" t="str">
        <x:v>present</x:v>
      </x:c>
      <x:c r="E789" t="str">
        <x:v>baseline</x:v>
      </x:c>
      <x:c r="F789" s="11" t="n">
        <x:v>46252.68496519676</x:v>
      </x:c>
      <x:c r="G789" t="str">
        <x:v>apartment</x:v>
      </x:c>
      <x:c r="H789" s="12" t="n">
        <x:v>1</x:v>
      </x:c>
      <x:c r="I789" s="13" t="n">
        <x:v>10</x:v>
      </x:c>
      <x:c r="J789" t="str">
        <x:v>J</x:v>
      </x:c>
      <x:c r="K789" s="14" t="n">
        <x:v>31.77</x:v>
      </x:c>
      <x:c r="L789" s="14"/>
      <x:c r="M789" s="14"/>
      <x:c r="N789" s="14"/>
      <x:c r="O789" s="14"/>
      <x:c r="P789" s="14" t="n">
        <x:v>3.23</x:v>
      </x:c>
      <x:c r="Q789" s="14" t="n">
        <x:v>35</x:v>
      </x:c>
      <x:c r="R789" s="15" t="n">
        <x:v>257808</x:v>
      </x:c>
      <x:c r="S789" s="15" t="n">
        <x:v>284868</x:v>
      </x:c>
      <x:c r="T789" s="15" t="n">
        <x:v>257808</x:v>
      </x:c>
      <x:c r="U789" s="16" t="n">
        <x:v>8114.83</x:v>
      </x:c>
      <x:c r="V789" t="str">
        <x:v>JTRE</x:v>
      </x:c>
      <x:c r="W789" t="str">
        <x:v>Ružinov</x:v>
      </x:c>
      <x:c r="X789" s="11" t="str">
        <x:v>Voľný</x:v>
      </x:c>
      <x:c r="Y789" s="11" t="str">
        <x:v>https://d-y.sk/byty/j10.10/</x:v>
      </x:c>
      <x:c r="Z789" s="11" t="n">
        <x:v>46252.68496519676</x:v>
      </x:c>
      <x:c r="AA789" s="11" t="n">
        <x:v>46254.51251577547</x:v>
      </x:c>
      <x:c r="AB789" s="11" t="n">
        <x:v>46254.51251577547</x:v>
      </x:c>
      <x:c r="AC789" t="str">
        <x:v>downtown_yards</x:v>
      </x:c>
    </x:row>
    <x:row r="790" ht="22" customHeight="1">
      <x:c r="A790" t="str">
        <x:v>Downtown Yards</x:v>
      </x:c>
      <x:c r="B790" t="str">
        <x:v>J13.01</x:v>
      </x:c>
      <x:c r="C790" t="str">
        <x:v>available</x:v>
      </x:c>
      <x:c r="D790" t="str">
        <x:v>present</x:v>
      </x:c>
      <x:c r="E790" t="str">
        <x:v>baseline</x:v>
      </x:c>
      <x:c r="F790" s="11" t="n">
        <x:v>46252.68496519676</x:v>
      </x:c>
      <x:c r="G790" t="str">
        <x:v>flat</x:v>
      </x:c>
      <x:c r="H790" s="12" t="n">
        <x:v>4</x:v>
      </x:c>
      <x:c r="I790" s="13" t="n">
        <x:v>13</x:v>
      </x:c>
      <x:c r="J790" t="str">
        <x:v>J</x:v>
      </x:c>
      <x:c r="K790" s="14" t="n">
        <x:v>116.8</x:v>
      </x:c>
      <x:c r="L790" s="14"/>
      <x:c r="M790" s="14"/>
      <x:c r="N790" s="14"/>
      <x:c r="O790" s="14"/>
      <x:c r="P790" s="14" t="n">
        <x:v>16.83</x:v>
      </x:c>
      <x:c r="Q790" s="14" t="n">
        <x:v>133.63</x:v>
      </x:c>
      <x:c r="R790" s="15" t="n">
        <x:v>852636</x:v>
      </x:c>
      <x:c r="S790" s="15" t="n">
        <x:v>952635</x:v>
      </x:c>
      <x:c r="T790" s="15" t="n">
        <x:v>852636</x:v>
      </x:c>
      <x:c r="U790" s="16" t="n">
        <x:v>7299.97</x:v>
      </x:c>
      <x:c r="V790" t="str">
        <x:v>JTRE</x:v>
      </x:c>
      <x:c r="W790" t="str">
        <x:v>Ružinov</x:v>
      </x:c>
      <x:c r="X790" s="11" t="str">
        <x:v>Voľný</x:v>
      </x:c>
      <x:c r="Y790" s="11" t="str">
        <x:v>https://d-y.sk/byty/j13.01/</x:v>
      </x:c>
      <x:c r="Z790" s="11" t="n">
        <x:v>46252.68496519676</x:v>
      </x:c>
      <x:c r="AA790" s="11" t="n">
        <x:v>46254.51251577547</x:v>
      </x:c>
      <x:c r="AB790" s="11" t="n">
        <x:v>46254.51251577547</x:v>
      </x:c>
      <x:c r="AC790" t="str">
        <x:v>downtown_yards</x:v>
      </x:c>
    </x:row>
    <x:row r="791" ht="22" customHeight="1">
      <x:c r="A791" t="str">
        <x:v>Downtown Yards</x:v>
      </x:c>
      <x:c r="B791" t="str">
        <x:v>J13.02</x:v>
      </x:c>
      <x:c r="C791" t="str">
        <x:v>available</x:v>
      </x:c>
      <x:c r="D791" t="str">
        <x:v>present</x:v>
      </x:c>
      <x:c r="E791" t="str">
        <x:v>baseline</x:v>
      </x:c>
      <x:c r="F791" s="11" t="n">
        <x:v>46252.68496519676</x:v>
      </x:c>
      <x:c r="G791" t="str">
        <x:v>flat</x:v>
      </x:c>
      <x:c r="H791" s="12" t="n">
        <x:v>2</x:v>
      </x:c>
      <x:c r="I791" s="13" t="n">
        <x:v>13</x:v>
      </x:c>
      <x:c r="J791" t="str">
        <x:v>J</x:v>
      </x:c>
      <x:c r="K791" s="14" t="n">
        <x:v>52.86</x:v>
      </x:c>
      <x:c r="L791" s="14"/>
      <x:c r="M791" s="14"/>
      <x:c r="N791" s="14"/>
      <x:c r="O791" s="14"/>
      <x:c r="P791" s="14" t="n">
        <x:v>8.67</x:v>
      </x:c>
      <x:c r="Q791" s="14" t="n">
        <x:v>61.53</x:v>
      </x:c>
      <x:c r="R791" s="15" t="n">
        <x:v>380808</x:v>
      </x:c>
      <x:c r="S791" s="15" t="n">
        <x:v>409344</x:v>
      </x:c>
      <x:c r="T791" s="15" t="n">
        <x:v>380808</x:v>
      </x:c>
      <x:c r="U791" s="16" t="n">
        <x:v>7204.09</x:v>
      </x:c>
      <x:c r="V791" t="str">
        <x:v>JTRE</x:v>
      </x:c>
      <x:c r="W791" t="str">
        <x:v>Ružinov</x:v>
      </x:c>
      <x:c r="X791" s="11" t="str">
        <x:v>Voľný</x:v>
      </x:c>
      <x:c r="Y791" s="11" t="str">
        <x:v>https://d-y.sk/byty/j13.02/</x:v>
      </x:c>
      <x:c r="Z791" s="11" t="n">
        <x:v>46252.68496519676</x:v>
      </x:c>
      <x:c r="AA791" s="11" t="n">
        <x:v>46254.51251577547</x:v>
      </x:c>
      <x:c r="AB791" s="11" t="n">
        <x:v>46254.51251577547</x:v>
      </x:c>
      <x:c r="AC791" t="str">
        <x:v>downtown_yards</x:v>
      </x:c>
    </x:row>
    <x:row r="792" ht="22" customHeight="1">
      <x:c r="A792" t="str">
        <x:v>Downtown Yards</x:v>
      </x:c>
      <x:c r="B792" t="str">
        <x:v>J13.03</x:v>
      </x:c>
      <x:c r="C792" t="str">
        <x:v>available</x:v>
      </x:c>
      <x:c r="D792" t="str">
        <x:v>present</x:v>
      </x:c>
      <x:c r="E792" t="str">
        <x:v>baseline</x:v>
      </x:c>
      <x:c r="F792" s="11" t="n">
        <x:v>46252.68496519676</x:v>
      </x:c>
      <x:c r="G792" t="str">
        <x:v>flat</x:v>
      </x:c>
      <x:c r="H792" s="12" t="n">
        <x:v>2</x:v>
      </x:c>
      <x:c r="I792" s="13" t="n">
        <x:v>13</x:v>
      </x:c>
      <x:c r="J792" t="str">
        <x:v>J</x:v>
      </x:c>
      <x:c r="K792" s="14" t="n">
        <x:v>52.18</x:v>
      </x:c>
      <x:c r="L792" s="14"/>
      <x:c r="M792" s="14"/>
      <x:c r="N792" s="14"/>
      <x:c r="O792" s="14"/>
      <x:c r="P792" s="14" t="n">
        <x:v>8.67</x:v>
      </x:c>
      <x:c r="Q792" s="14" t="n">
        <x:v>60.85</x:v>
      </x:c>
      <x:c r="R792" s="15" t="n">
        <x:v>376134</x:v>
      </x:c>
      <x:c r="S792" s="15" t="n">
        <x:v>404424</x:v>
      </x:c>
      <x:c r="T792" s="15" t="n">
        <x:v>376134</x:v>
      </x:c>
      <x:c r="U792" s="16" t="n">
        <x:v>7208.39</x:v>
      </x:c>
      <x:c r="V792" t="str">
        <x:v>JTRE</x:v>
      </x:c>
      <x:c r="W792" t="str">
        <x:v>Ružinov</x:v>
      </x:c>
      <x:c r="X792" s="11" t="str">
        <x:v>Voľný</x:v>
      </x:c>
      <x:c r="Y792" s="11" t="str">
        <x:v>https://d-y.sk/byty/j13.03/</x:v>
      </x:c>
      <x:c r="Z792" s="11" t="n">
        <x:v>46252.68496519676</x:v>
      </x:c>
      <x:c r="AA792" s="11" t="n">
        <x:v>46254.51251577547</x:v>
      </x:c>
      <x:c r="AB792" s="11" t="n">
        <x:v>46254.51251577547</x:v>
      </x:c>
      <x:c r="AC792" t="str">
        <x:v>downtown_yards</x:v>
      </x:c>
    </x:row>
    <x:row r="793" ht="22" customHeight="1">
      <x:c r="A793" t="str">
        <x:v>Downtown Yards</x:v>
      </x:c>
      <x:c r="B793" t="str">
        <x:v>J13.04</x:v>
      </x:c>
      <x:c r="C793" t="str">
        <x:v>available</x:v>
      </x:c>
      <x:c r="D793" t="str">
        <x:v>present</x:v>
      </x:c>
      <x:c r="E793" t="str">
        <x:v>baseline</x:v>
      </x:c>
      <x:c r="F793" s="11" t="n">
        <x:v>46252.68496519676</x:v>
      </x:c>
      <x:c r="G793" t="str">
        <x:v>flat</x:v>
      </x:c>
      <x:c r="H793" s="12" t="n">
        <x:v>3</x:v>
      </x:c>
      <x:c r="I793" s="13" t="n">
        <x:v>13</x:v>
      </x:c>
      <x:c r="J793" t="str">
        <x:v>J</x:v>
      </x:c>
      <x:c r="K793" s="14" t="n">
        <x:v>81.96</x:v>
      </x:c>
      <x:c r="L793" s="14"/>
      <x:c r="M793" s="14"/>
      <x:c r="N793" s="14"/>
      <x:c r="O793" s="14"/>
      <x:c r="P793" s="14" t="n">
        <x:v>8.66</x:v>
      </x:c>
      <x:c r="Q793" s="14" t="n">
        <x:v>90.62</x:v>
      </x:c>
      <x:c r="R793" s="15" t="n">
        <x:v>574656</x:v>
      </x:c>
      <x:c r="S793" s="15" t="n">
        <x:v>627915</x:v>
      </x:c>
      <x:c r="T793" s="15" t="n">
        <x:v>574656</x:v>
      </x:c>
      <x:c r="U793" s="16" t="n">
        <x:v>7011.42</x:v>
      </x:c>
      <x:c r="V793" t="str">
        <x:v>JTRE</x:v>
      </x:c>
      <x:c r="W793" t="str">
        <x:v>Ružinov</x:v>
      </x:c>
      <x:c r="X793" s="11" t="str">
        <x:v>Voľný</x:v>
      </x:c>
      <x:c r="Y793" s="11" t="str">
        <x:v>https://d-y.sk/byty/j13.04/</x:v>
      </x:c>
      <x:c r="Z793" s="11" t="n">
        <x:v>46252.68496519676</x:v>
      </x:c>
      <x:c r="AA793" s="11" t="n">
        <x:v>46254.51251577547</x:v>
      </x:c>
      <x:c r="AB793" s="11" t="n">
        <x:v>46254.51251577547</x:v>
      </x:c>
      <x:c r="AC793" t="str">
        <x:v>downtown_yards</x:v>
      </x:c>
    </x:row>
    <x:row r="794" ht="22" customHeight="1">
      <x:c r="A794" t="str">
        <x:v>Downtown Yards</x:v>
      </x:c>
      <x:c r="B794" t="str">
        <x:v>J13.05</x:v>
      </x:c>
      <x:c r="C794" t="str">
        <x:v>available</x:v>
      </x:c>
      <x:c r="D794" t="str">
        <x:v>present</x:v>
      </x:c>
      <x:c r="E794" t="str">
        <x:v>baseline</x:v>
      </x:c>
      <x:c r="F794" s="11" t="n">
        <x:v>46252.68496519676</x:v>
      </x:c>
      <x:c r="G794" t="str">
        <x:v>flat</x:v>
      </x:c>
      <x:c r="H794" s="12" t="n">
        <x:v>3</x:v>
      </x:c>
      <x:c r="I794" s="13" t="n">
        <x:v>13</x:v>
      </x:c>
      <x:c r="J794" t="str">
        <x:v>J</x:v>
      </x:c>
      <x:c r="K794" s="14" t="n">
        <x:v>81.73</x:v>
      </x:c>
      <x:c r="L794" s="14"/>
      <x:c r="M794" s="14"/>
      <x:c r="N794" s="14"/>
      <x:c r="O794" s="14"/>
      <x:c r="P794" s="14" t="n">
        <x:v>6.58</x:v>
      </x:c>
      <x:c r="Q794" s="14" t="n">
        <x:v>88.31</x:v>
      </x:c>
      <x:c r="R794" s="15" t="n">
        <x:v>567522</x:v>
      </x:c>
      <x:c r="S794" s="15" t="n">
        <x:v>656082</x:v>
      </x:c>
      <x:c r="T794" s="15" t="n">
        <x:v>567522</x:v>
      </x:c>
      <x:c r="U794" s="16" t="n">
        <x:v>6943.86</x:v>
      </x:c>
      <x:c r="V794" t="str">
        <x:v>JTRE</x:v>
      </x:c>
      <x:c r="W794" t="str">
        <x:v>Ružinov</x:v>
      </x:c>
      <x:c r="X794" s="11" t="str">
        <x:v>Voľný</x:v>
      </x:c>
      <x:c r="Y794" s="11" t="str">
        <x:v>https://d-y.sk/byty/j13.05/</x:v>
      </x:c>
      <x:c r="Z794" s="11" t="n">
        <x:v>46252.68496519676</x:v>
      </x:c>
      <x:c r="AA794" s="11" t="n">
        <x:v>46254.51251577547</x:v>
      </x:c>
      <x:c r="AB794" s="11" t="n">
        <x:v>46254.51251577547</x:v>
      </x:c>
      <x:c r="AC794" t="str">
        <x:v>downtown_yards</x:v>
      </x:c>
    </x:row>
    <x:row r="795" ht="22" customHeight="1">
      <x:c r="A795" t="str">
        <x:v>Downtown Yards</x:v>
      </x:c>
      <x:c r="B795" t="str">
        <x:v>J13.06</x:v>
      </x:c>
      <x:c r="C795" t="str">
        <x:v>available</x:v>
      </x:c>
      <x:c r="D795" t="str">
        <x:v>present</x:v>
      </x:c>
      <x:c r="E795" t="str">
        <x:v>baseline</x:v>
      </x:c>
      <x:c r="F795" s="11" t="n">
        <x:v>46252.68496519676</x:v>
      </x:c>
      <x:c r="G795" t="str">
        <x:v>flat</x:v>
      </x:c>
      <x:c r="H795" s="12" t="n">
        <x:v>2</x:v>
      </x:c>
      <x:c r="I795" s="13" t="n">
        <x:v>13</x:v>
      </x:c>
      <x:c r="J795" t="str">
        <x:v>J</x:v>
      </x:c>
      <x:c r="K795" s="14" t="n">
        <x:v>52.42</x:v>
      </x:c>
      <x:c r="L795" s="14"/>
      <x:c r="M795" s="14"/>
      <x:c r="N795" s="14"/>
      <x:c r="O795" s="14"/>
      <x:c r="P795" s="14" t="n">
        <x:v>6.58</x:v>
      </x:c>
      <x:c r="Q795" s="14" t="n">
        <x:v>59</x:v>
      </x:c>
      <x:c r="R795" s="15" t="n">
        <x:v>387819</x:v>
      </x:c>
      <x:c r="S795" s="15" t="n">
        <x:v>440586</x:v>
      </x:c>
      <x:c r="T795" s="15" t="n">
        <x:v>387819</x:v>
      </x:c>
      <x:c r="U795" s="16" t="n">
        <x:v>7398.3</x:v>
      </x:c>
      <x:c r="V795" t="str">
        <x:v>JTRE</x:v>
      </x:c>
      <x:c r="W795" t="str">
        <x:v>Ružinov</x:v>
      </x:c>
      <x:c r="X795" s="11" t="str">
        <x:v>Voľný</x:v>
      </x:c>
      <x:c r="Y795" s="11" t="str">
        <x:v>https://d-y.sk/byty/j13.06/</x:v>
      </x:c>
      <x:c r="Z795" s="11" t="n">
        <x:v>46252.68496519676</x:v>
      </x:c>
      <x:c r="AA795" s="11" t="n">
        <x:v>46254.51251577547</x:v>
      </x:c>
      <x:c r="AB795" s="11" t="n">
        <x:v>46254.51251577547</x:v>
      </x:c>
      <x:c r="AC795" t="str">
        <x:v>downtown_yards</x:v>
      </x:c>
    </x:row>
    <x:row r="796" ht="22" customHeight="1">
      <x:c r="A796" t="str">
        <x:v>Downtown Yards</x:v>
      </x:c>
      <x:c r="B796" t="str">
        <x:v>J13.07</x:v>
      </x:c>
      <x:c r="C796" t="str">
        <x:v>available</x:v>
      </x:c>
      <x:c r="D796" t="str">
        <x:v>present</x:v>
      </x:c>
      <x:c r="E796" t="str">
        <x:v>baseline</x:v>
      </x:c>
      <x:c r="F796" s="11" t="n">
        <x:v>46252.68496519676</x:v>
      </x:c>
      <x:c r="G796" t="str">
        <x:v>flat</x:v>
      </x:c>
      <x:c r="H796" s="12" t="n">
        <x:v>2</x:v>
      </x:c>
      <x:c r="I796" s="13" t="n">
        <x:v>13</x:v>
      </x:c>
      <x:c r="J796" t="str">
        <x:v>J</x:v>
      </x:c>
      <x:c r="K796" s="14" t="n">
        <x:v>50.67</x:v>
      </x:c>
      <x:c r="L796" s="14"/>
      <x:c r="M796" s="14"/>
      <x:c r="N796" s="14"/>
      <x:c r="O796" s="14"/>
      <x:c r="P796" s="14" t="n">
        <x:v>6.58</x:v>
      </x:c>
      <x:c r="Q796" s="14" t="n">
        <x:v>57.25</x:v>
      </x:c>
      <x:c r="R796" s="15" t="n">
        <x:v>375519</x:v>
      </x:c>
      <x:c r="S796" s="15" t="n">
        <x:v>426687</x:v>
      </x:c>
      <x:c r="T796" s="15" t="n">
        <x:v>375519</x:v>
      </x:c>
      <x:c r="U796" s="16" t="n">
        <x:v>7411.07</x:v>
      </x:c>
      <x:c r="V796" t="str">
        <x:v>JTRE</x:v>
      </x:c>
      <x:c r="W796" t="str">
        <x:v>Ružinov</x:v>
      </x:c>
      <x:c r="X796" s="11" t="str">
        <x:v>Voľný</x:v>
      </x:c>
      <x:c r="Y796" s="11" t="str">
        <x:v>https://d-y.sk/byty/j13.07/</x:v>
      </x:c>
      <x:c r="Z796" s="11" t="n">
        <x:v>46252.68496519676</x:v>
      </x:c>
      <x:c r="AA796" s="11" t="n">
        <x:v>46254.51251577547</x:v>
      </x:c>
      <x:c r="AB796" s="11" t="n">
        <x:v>46254.51251577547</x:v>
      </x:c>
      <x:c r="AC796" t="str">
        <x:v>downtown_yards</x:v>
      </x:c>
    </x:row>
    <x:row r="797" ht="22" customHeight="1">
      <x:c r="A797" t="str">
        <x:v>Downtown Yards</x:v>
      </x:c>
      <x:c r="B797" t="str">
        <x:v>J13.08</x:v>
      </x:c>
      <x:c r="C797" t="str">
        <x:v>available</x:v>
      </x:c>
      <x:c r="D797" t="str">
        <x:v>present</x:v>
      </x:c>
      <x:c r="E797" t="str">
        <x:v>baseline</x:v>
      </x:c>
      <x:c r="F797" s="11" t="n">
        <x:v>46252.68496519676</x:v>
      </x:c>
      <x:c r="G797" t="str">
        <x:v>flat</x:v>
      </x:c>
      <x:c r="H797" s="12" t="n">
        <x:v>4</x:v>
      </x:c>
      <x:c r="I797" s="13" t="n">
        <x:v>13</x:v>
      </x:c>
      <x:c r="J797" t="str">
        <x:v>J</x:v>
      </x:c>
      <x:c r="K797" s="14" t="n">
        <x:v>112.54</x:v>
      </x:c>
      <x:c r="L797" s="14"/>
      <x:c r="M797" s="14"/>
      <x:c r="N797" s="14"/>
      <x:c r="O797" s="14"/>
      <x:c r="P797" s="14" t="n">
        <x:v>12.1</x:v>
      </x:c>
      <x:c r="Q797" s="14" t="n">
        <x:v>124.64</x:v>
      </x:c>
      <x:c r="R797" s="15" t="n">
        <x:v>883755</x:v>
      </x:c>
      <x:c r="S797" s="15" t="n">
        <x:v>987321</x:v>
      </x:c>
      <x:c r="T797" s="15" t="n">
        <x:v>883755</x:v>
      </x:c>
      <x:c r="U797" s="16" t="n">
        <x:v>7852.81</x:v>
      </x:c>
      <x:c r="V797" t="str">
        <x:v>JTRE</x:v>
      </x:c>
      <x:c r="W797" t="str">
        <x:v>Ružinov</x:v>
      </x:c>
      <x:c r="X797" s="11" t="str">
        <x:v>Voľný</x:v>
      </x:c>
      <x:c r="Y797" s="11" t="str">
        <x:v>https://d-y.sk/byty/j13.08/</x:v>
      </x:c>
      <x:c r="Z797" s="11" t="n">
        <x:v>46252.68496519676</x:v>
      </x:c>
      <x:c r="AA797" s="11" t="n">
        <x:v>46254.51251577547</x:v>
      </x:c>
      <x:c r="AB797" s="11" t="n">
        <x:v>46254.51251577547</x:v>
      </x:c>
      <x:c r="AC797" t="str">
        <x:v>downtown_yards</x:v>
      </x:c>
    </x:row>
    <x:row r="798" ht="22" customHeight="1">
      <x:c r="A798" t="str">
        <x:v>Downtown Yards</x:v>
      </x:c>
      <x:c r="B798" t="str">
        <x:v>J14.01</x:v>
      </x:c>
      <x:c r="C798" t="str">
        <x:v>available</x:v>
      </x:c>
      <x:c r="D798" t="str">
        <x:v>present</x:v>
      </x:c>
      <x:c r="E798" t="str">
        <x:v>baseline</x:v>
      </x:c>
      <x:c r="F798" s="11" t="n">
        <x:v>46252.68496519676</x:v>
      </x:c>
      <x:c r="G798" t="str">
        <x:v>flat</x:v>
      </x:c>
      <x:c r="H798" s="12" t="n">
        <x:v>4</x:v>
      </x:c>
      <x:c r="I798" s="13" t="n">
        <x:v>14</x:v>
      </x:c>
      <x:c r="J798" t="str">
        <x:v>J</x:v>
      </x:c>
      <x:c r="K798" s="14" t="n">
        <x:v>115.64</x:v>
      </x:c>
      <x:c r="L798" s="14"/>
      <x:c r="M798" s="14"/>
      <x:c r="N798" s="14"/>
      <x:c r="O798" s="14"/>
      <x:c r="P798" s="14" t="n">
        <x:v>16.83</x:v>
      </x:c>
      <x:c r="Q798" s="14" t="n">
        <x:v>132.47</x:v>
      </x:c>
      <x:c r="R798" s="15" t="n">
        <x:v>851037</x:v>
      </x:c>
      <x:c r="S798" s="15" t="n">
        <x:v>950790</x:v>
      </x:c>
      <x:c r="T798" s="15" t="n">
        <x:v>851037</x:v>
      </x:c>
      <x:c r="U798" s="16" t="n">
        <x:v>7359.37</x:v>
      </x:c>
      <x:c r="V798" t="str">
        <x:v>JTRE</x:v>
      </x:c>
      <x:c r="W798" t="str">
        <x:v>Ružinov</x:v>
      </x:c>
      <x:c r="X798" s="11" t="str">
        <x:v>Voľný</x:v>
      </x:c>
      <x:c r="Y798" s="11" t="str">
        <x:v>https://d-y.sk/byty/j14.01/</x:v>
      </x:c>
      <x:c r="Z798" s="11" t="n">
        <x:v>46252.68496519676</x:v>
      </x:c>
      <x:c r="AA798" s="11" t="n">
        <x:v>46254.51251577547</x:v>
      </x:c>
      <x:c r="AB798" s="11" t="n">
        <x:v>46254.51251577547</x:v>
      </x:c>
      <x:c r="AC798" t="str">
        <x:v>downtown_yards</x:v>
      </x:c>
    </x:row>
    <x:row r="799" ht="22" customHeight="1">
      <x:c r="A799" t="str">
        <x:v>Downtown Yards</x:v>
      </x:c>
      <x:c r="B799" t="str">
        <x:v>J14.02</x:v>
      </x:c>
      <x:c r="C799" t="str">
        <x:v>available</x:v>
      </x:c>
      <x:c r="D799" t="str">
        <x:v>present</x:v>
      </x:c>
      <x:c r="E799" t="str">
        <x:v>baseline</x:v>
      </x:c>
      <x:c r="F799" s="11" t="n">
        <x:v>46252.68496519676</x:v>
      </x:c>
      <x:c r="G799" t="str">
        <x:v>flat</x:v>
      </x:c>
      <x:c r="H799" s="12" t="n">
        <x:v>2</x:v>
      </x:c>
      <x:c r="I799" s="13" t="n">
        <x:v>14</x:v>
      </x:c>
      <x:c r="J799" t="str">
        <x:v>J</x:v>
      </x:c>
      <x:c r="K799" s="14" t="n">
        <x:v>52.01</x:v>
      </x:c>
      <x:c r="L799" s="14"/>
      <x:c r="M799" s="14"/>
      <x:c r="N799" s="14"/>
      <x:c r="O799" s="14"/>
      <x:c r="P799" s="14" t="n">
        <x:v>8.67</x:v>
      </x:c>
      <x:c r="Q799" s="14" t="n">
        <x:v>60.68</x:v>
      </x:c>
      <x:c r="R799" s="15" t="n">
        <x:v>376011</x:v>
      </x:c>
      <x:c r="S799" s="15" t="n">
        <x:v>404301</x:v>
      </x:c>
      <x:c r="T799" s="15" t="n">
        <x:v>376011</x:v>
      </x:c>
      <x:c r="U799" s="16" t="n">
        <x:v>7229.59</x:v>
      </x:c>
      <x:c r="V799" t="str">
        <x:v>JTRE</x:v>
      </x:c>
      <x:c r="W799" t="str">
        <x:v>Ružinov</x:v>
      </x:c>
      <x:c r="X799" s="11" t="str">
        <x:v>Voľný</x:v>
      </x:c>
      <x:c r="Y799" s="11" t="str">
        <x:v>https://d-y.sk/byty/j14.02/</x:v>
      </x:c>
      <x:c r="Z799" s="11" t="n">
        <x:v>46252.68496519676</x:v>
      </x:c>
      <x:c r="AA799" s="11" t="n">
        <x:v>46254.51251577547</x:v>
      </x:c>
      <x:c r="AB799" s="11" t="n">
        <x:v>46254.51251577547</x:v>
      </x:c>
      <x:c r="AC799" t="str">
        <x:v>downtown_yards</x:v>
      </x:c>
    </x:row>
    <x:row r="800" ht="22" customHeight="1">
      <x:c r="A800" t="str">
        <x:v>Downtown Yards</x:v>
      </x:c>
      <x:c r="B800" t="str">
        <x:v>J14.03</x:v>
      </x:c>
      <x:c r="C800" t="str">
        <x:v>sold</x:v>
      </x:c>
      <x:c r="D800" t="str">
        <x:v>present</x:v>
      </x:c>
      <x:c r="E800" t="str">
        <x:v>baseline</x:v>
      </x:c>
      <x:c r="F800" s="11" t="n">
        <x:v>46252.68496519676</x:v>
      </x:c>
      <x:c r="G800" t="str">
        <x:v>flat</x:v>
      </x:c>
      <x:c r="H800" s="12" t="n">
        <x:v>2</x:v>
      </x:c>
      <x:c r="I800" s="13" t="n">
        <x:v>14</x:v>
      </x:c>
      <x:c r="J800" t="str">
        <x:v>J</x:v>
      </x:c>
      <x:c r="K800" s="14" t="n">
        <x:v>51.45</x:v>
      </x:c>
      <x:c r="L800" s="14"/>
      <x:c r="M800" s="14"/>
      <x:c r="N800" s="14"/>
      <x:c r="O800" s="14"/>
      <x:c r="P800" s="14" t="n">
        <x:v>8.67</x:v>
      </x:c>
      <x:c r="Q800" s="14" t="n">
        <x:v>60.12</x:v>
      </x:c>
      <x:c r="R800" s="15"/>
      <x:c r="S800" s="15"/>
      <x:c r="T800" s="15"/>
      <x:c r="U800" s="16"/>
      <x:c r="V800" t="str">
        <x:v>JTRE</x:v>
      </x:c>
      <x:c r="W800" t="str">
        <x:v>Ružinov</x:v>
      </x:c>
      <x:c r="X800" s="11" t="str">
        <x:v>Predaný</x:v>
      </x:c>
      <x:c r="Y800" s="11" t="str">
        <x:v>https://d-y.sk/byty/j14.03/</x:v>
      </x:c>
      <x:c r="Z800" s="11" t="n">
        <x:v>46252.68496519676</x:v>
      </x:c>
      <x:c r="AA800" s="11" t="n">
        <x:v>46254.51251577547</x:v>
      </x:c>
      <x:c r="AB800" s="11" t="n">
        <x:v>46254.51251577547</x:v>
      </x:c>
      <x:c r="AC800" t="str">
        <x:v>downtown_yards</x:v>
      </x:c>
    </x:row>
    <x:row r="801" ht="22" customHeight="1">
      <x:c r="A801" t="str">
        <x:v>Downtown Yards</x:v>
      </x:c>
      <x:c r="B801" t="str">
        <x:v>J14.04</x:v>
      </x:c>
      <x:c r="C801" t="str">
        <x:v>available</x:v>
      </x:c>
      <x:c r="D801" t="str">
        <x:v>present</x:v>
      </x:c>
      <x:c r="E801" t="str">
        <x:v>baseline</x:v>
      </x:c>
      <x:c r="F801" s="11" t="n">
        <x:v>46252.68496519676</x:v>
      </x:c>
      <x:c r="G801" t="str">
        <x:v>flat</x:v>
      </x:c>
      <x:c r="H801" s="12" t="n">
        <x:v>3</x:v>
      </x:c>
      <x:c r="I801" s="13" t="n">
        <x:v>14</x:v>
      </x:c>
      <x:c r="J801" t="str">
        <x:v>J</x:v>
      </x:c>
      <x:c r="K801" s="14" t="n">
        <x:v>81.96</x:v>
      </x:c>
      <x:c r="L801" s="14"/>
      <x:c r="M801" s="14"/>
      <x:c r="N801" s="14"/>
      <x:c r="O801" s="14"/>
      <x:c r="P801" s="14" t="n">
        <x:v>8.66</x:v>
      </x:c>
      <x:c r="Q801" s="14" t="n">
        <x:v>90.62</x:v>
      </x:c>
      <x:c r="R801" s="15" t="n">
        <x:v>578838</x:v>
      </x:c>
      <x:c r="S801" s="15" t="n">
        <x:v>632589</x:v>
      </x:c>
      <x:c r="T801" s="15" t="n">
        <x:v>578838</x:v>
      </x:c>
      <x:c r="U801" s="16" t="n">
        <x:v>7062.45</x:v>
      </x:c>
      <x:c r="V801" t="str">
        <x:v>JTRE</x:v>
      </x:c>
      <x:c r="W801" t="str">
        <x:v>Ružinov</x:v>
      </x:c>
      <x:c r="X801" s="11" t="str">
        <x:v>Voľný</x:v>
      </x:c>
      <x:c r="Y801" s="11" t="str">
        <x:v>https://d-y.sk/byty/j14.04/</x:v>
      </x:c>
      <x:c r="Z801" s="11" t="n">
        <x:v>46252.68496519676</x:v>
      </x:c>
      <x:c r="AA801" s="11" t="n">
        <x:v>46254.51251577547</x:v>
      </x:c>
      <x:c r="AB801" s="11" t="n">
        <x:v>46254.51251577547</x:v>
      </x:c>
      <x:c r="AC801" t="str">
        <x:v>downtown_yards</x:v>
      </x:c>
    </x:row>
    <x:row r="802" ht="22" customHeight="1">
      <x:c r="A802" t="str">
        <x:v>Downtown Yards</x:v>
      </x:c>
      <x:c r="B802" t="str">
        <x:v>J14.05</x:v>
      </x:c>
      <x:c r="C802" t="str">
        <x:v>available</x:v>
      </x:c>
      <x:c r="D802" t="str">
        <x:v>present</x:v>
      </x:c>
      <x:c r="E802" t="str">
        <x:v>baseline</x:v>
      </x:c>
      <x:c r="F802" s="11" t="n">
        <x:v>46252.68496519676</x:v>
      </x:c>
      <x:c r="G802" t="str">
        <x:v>flat</x:v>
      </x:c>
      <x:c r="H802" s="12" t="n">
        <x:v>3</x:v>
      </x:c>
      <x:c r="I802" s="13" t="n">
        <x:v>14</x:v>
      </x:c>
      <x:c r="J802" t="str">
        <x:v>J</x:v>
      </x:c>
      <x:c r="K802" s="14" t="n">
        <x:v>80.94</x:v>
      </x:c>
      <x:c r="L802" s="14"/>
      <x:c r="M802" s="14"/>
      <x:c r="N802" s="14"/>
      <x:c r="O802" s="14"/>
      <x:c r="P802" s="14" t="n">
        <x:v>6.58</x:v>
      </x:c>
      <x:c r="Q802" s="14" t="n">
        <x:v>87.52</x:v>
      </x:c>
      <x:c r="R802" s="15" t="n">
        <x:v>568014</x:v>
      </x:c>
      <x:c r="S802" s="15" t="n">
        <x:v>656574</x:v>
      </x:c>
      <x:c r="T802" s="15" t="n">
        <x:v>568014</x:v>
      </x:c>
      <x:c r="U802" s="16" t="n">
        <x:v>7017.72</x:v>
      </x:c>
      <x:c r="V802" t="str">
        <x:v>JTRE</x:v>
      </x:c>
      <x:c r="W802" t="str">
        <x:v>Ružinov</x:v>
      </x:c>
      <x:c r="X802" s="11" t="str">
        <x:v>Voľný</x:v>
      </x:c>
      <x:c r="Y802" s="11" t="str">
        <x:v>https://d-y.sk/byty/j14.05/</x:v>
      </x:c>
      <x:c r="Z802" s="11" t="n">
        <x:v>46252.68496519676</x:v>
      </x:c>
      <x:c r="AA802" s="11" t="n">
        <x:v>46254.51251577547</x:v>
      </x:c>
      <x:c r="AB802" s="11" t="n">
        <x:v>46254.51251577547</x:v>
      </x:c>
      <x:c r="AC802" t="str">
        <x:v>downtown_yards</x:v>
      </x:c>
    </x:row>
    <x:row r="803" ht="22" customHeight="1">
      <x:c r="A803" t="str">
        <x:v>Downtown Yards</x:v>
      </x:c>
      <x:c r="B803" t="str">
        <x:v>J14.06</x:v>
      </x:c>
      <x:c r="C803" t="str">
        <x:v>available</x:v>
      </x:c>
      <x:c r="D803" t="str">
        <x:v>present</x:v>
      </x:c>
      <x:c r="E803" t="str">
        <x:v>baseline</x:v>
      </x:c>
      <x:c r="F803" s="11" t="n">
        <x:v>46252.68496519676</x:v>
      </x:c>
      <x:c r="G803" t="str">
        <x:v>flat</x:v>
      </x:c>
      <x:c r="H803" s="12" t="n">
        <x:v>2</x:v>
      </x:c>
      <x:c r="I803" s="13" t="n">
        <x:v>14</x:v>
      </x:c>
      <x:c r="J803" t="str">
        <x:v>J</x:v>
      </x:c>
      <x:c r="K803" s="14" t="n">
        <x:v>51.53</x:v>
      </x:c>
      <x:c r="L803" s="14"/>
      <x:c r="M803" s="14"/>
      <x:c r="N803" s="14"/>
      <x:c r="O803" s="14"/>
      <x:c r="P803" s="14" t="n">
        <x:v>6.58</x:v>
      </x:c>
      <x:c r="Q803" s="14" t="n">
        <x:v>58.11</x:v>
      </x:c>
      <x:c r="R803" s="15" t="n">
        <x:v>385482</x:v>
      </x:c>
      <x:c r="S803" s="15" t="n">
        <x:v>438003</x:v>
      </x:c>
      <x:c r="T803" s="15" t="n">
        <x:v>385482</x:v>
      </x:c>
      <x:c r="U803" s="16" t="n">
        <x:v>7480.73</x:v>
      </x:c>
      <x:c r="V803" t="str">
        <x:v>JTRE</x:v>
      </x:c>
      <x:c r="W803" t="str">
        <x:v>Ružinov</x:v>
      </x:c>
      <x:c r="X803" s="11" t="str">
        <x:v>Voľný</x:v>
      </x:c>
      <x:c r="Y803" s="11" t="str">
        <x:v>https://d-y.sk/byty/j14.06/</x:v>
      </x:c>
      <x:c r="Z803" s="11" t="n">
        <x:v>46252.68496519676</x:v>
      </x:c>
      <x:c r="AA803" s="11" t="n">
        <x:v>46254.51251577547</x:v>
      </x:c>
      <x:c r="AB803" s="11" t="n">
        <x:v>46254.51251577547</x:v>
      </x:c>
      <x:c r="AC803" t="str">
        <x:v>downtown_yards</x:v>
      </x:c>
    </x:row>
    <x:row r="804" ht="22" customHeight="1">
      <x:c r="A804" t="str">
        <x:v>Downtown Yards</x:v>
      </x:c>
      <x:c r="B804" t="str">
        <x:v>J14.07</x:v>
      </x:c>
      <x:c r="C804" t="str">
        <x:v>available</x:v>
      </x:c>
      <x:c r="D804" t="str">
        <x:v>present</x:v>
      </x:c>
      <x:c r="E804" t="str">
        <x:v>baseline</x:v>
      </x:c>
      <x:c r="F804" s="11" t="n">
        <x:v>46252.68496519676</x:v>
      </x:c>
      <x:c r="G804" t="str">
        <x:v>flat</x:v>
      </x:c>
      <x:c r="H804" s="12" t="n">
        <x:v>2</x:v>
      </x:c>
      <x:c r="I804" s="13" t="n">
        <x:v>14</x:v>
      </x:c>
      <x:c r="J804" t="str">
        <x:v>J</x:v>
      </x:c>
      <x:c r="K804" s="14" t="n">
        <x:v>49.74</x:v>
      </x:c>
      <x:c r="L804" s="14"/>
      <x:c r="M804" s="14"/>
      <x:c r="N804" s="14"/>
      <x:c r="O804" s="14"/>
      <x:c r="P804" s="14" t="n">
        <x:v>6.58</x:v>
      </x:c>
      <x:c r="Q804" s="14" t="n">
        <x:v>56.32</x:v>
      </x:c>
      <x:c r="R804" s="15" t="n">
        <x:v>379455</x:v>
      </x:c>
      <x:c r="S804" s="15" t="n">
        <x:v>431115</x:v>
      </x:c>
      <x:c r="T804" s="15" t="n">
        <x:v>379455</x:v>
      </x:c>
      <x:c r="U804" s="16" t="n">
        <x:v>7628.77</x:v>
      </x:c>
      <x:c r="V804" t="str">
        <x:v>JTRE</x:v>
      </x:c>
      <x:c r="W804" t="str">
        <x:v>Ružinov</x:v>
      </x:c>
      <x:c r="X804" s="11" t="str">
        <x:v>Voľný</x:v>
      </x:c>
      <x:c r="Y804" s="11" t="str">
        <x:v>https://d-y.sk/byty/j14.07/</x:v>
      </x:c>
      <x:c r="Z804" s="11" t="n">
        <x:v>46252.68496519676</x:v>
      </x:c>
      <x:c r="AA804" s="11" t="n">
        <x:v>46254.51251577547</x:v>
      </x:c>
      <x:c r="AB804" s="11" t="n">
        <x:v>46254.51251577547</x:v>
      </x:c>
      <x:c r="AC804" t="str">
        <x:v>downtown_yards</x:v>
      </x:c>
    </x:row>
    <x:row r="805" ht="22" customHeight="1">
      <x:c r="A805" t="str">
        <x:v>Downtown Yards</x:v>
      </x:c>
      <x:c r="B805" t="str">
        <x:v>J14.08</x:v>
      </x:c>
      <x:c r="C805" t="str">
        <x:v>available</x:v>
      </x:c>
      <x:c r="D805" t="str">
        <x:v>present</x:v>
      </x:c>
      <x:c r="E805" t="str">
        <x:v>baseline</x:v>
      </x:c>
      <x:c r="F805" s="11" t="n">
        <x:v>46252.68496519676</x:v>
      </x:c>
      <x:c r="G805" t="str">
        <x:v>flat</x:v>
      </x:c>
      <x:c r="H805" s="12" t="n">
        <x:v>4</x:v>
      </x:c>
      <x:c r="I805" s="13" t="n">
        <x:v>14</x:v>
      </x:c>
      <x:c r="J805" t="str">
        <x:v>J</x:v>
      </x:c>
      <x:c r="K805" s="14" t="n">
        <x:v>110.79</x:v>
      </x:c>
      <x:c r="L805" s="14"/>
      <x:c r="M805" s="14"/>
      <x:c r="N805" s="14"/>
      <x:c r="O805" s="14"/>
      <x:c r="P805" s="14" t="n">
        <x:v>12.1</x:v>
      </x:c>
      <x:c r="Q805" s="14" t="n">
        <x:v>122.89</x:v>
      </x:c>
      <x:c r="R805" s="15" t="n">
        <x:v>879450</x:v>
      </x:c>
      <x:c r="S805" s="15" t="n">
        <x:v>982524</x:v>
      </x:c>
      <x:c r="T805" s="15" t="n">
        <x:v>879450</x:v>
      </x:c>
      <x:c r="U805" s="16" t="n">
        <x:v>7937.99</x:v>
      </x:c>
      <x:c r="V805" t="str">
        <x:v>JTRE</x:v>
      </x:c>
      <x:c r="W805" t="str">
        <x:v>Ružinov</x:v>
      </x:c>
      <x:c r="X805" s="11" t="str">
        <x:v>Voľný</x:v>
      </x:c>
      <x:c r="Y805" s="11" t="str">
        <x:v>https://d-y.sk/byty/j14.08/</x:v>
      </x:c>
      <x:c r="Z805" s="11" t="n">
        <x:v>46252.68496519676</x:v>
      </x:c>
      <x:c r="AA805" s="11" t="n">
        <x:v>46254.51251577547</x:v>
      </x:c>
      <x:c r="AB805" s="11" t="n">
        <x:v>46254.51251577547</x:v>
      </x:c>
      <x:c r="AC805" t="str">
        <x:v>downtown_yards</x:v>
      </x:c>
    </x:row>
    <x:row r="806" ht="22" customHeight="1">
      <x:c r="A806" t="str">
        <x:v>Downtown Yards</x:v>
      </x:c>
      <x:c r="B806" t="str">
        <x:v>J15.03</x:v>
      </x:c>
      <x:c r="C806" t="str">
        <x:v>sold</x:v>
      </x:c>
      <x:c r="D806" t="str">
        <x:v>present</x:v>
      </x:c>
      <x:c r="E806" t="str">
        <x:v>baseline</x:v>
      </x:c>
      <x:c r="F806" s="11" t="n">
        <x:v>46252.68496519676</x:v>
      </x:c>
      <x:c r="G806" t="str">
        <x:v>flat</x:v>
      </x:c>
      <x:c r="H806" s="12" t="n">
        <x:v>2</x:v>
      </x:c>
      <x:c r="I806" s="13" t="n">
        <x:v>15</x:v>
      </x:c>
      <x:c r="J806" t="str">
        <x:v>J</x:v>
      </x:c>
      <x:c r="K806" s="14" t="n">
        <x:v>51.45</x:v>
      </x:c>
      <x:c r="L806" s="14"/>
      <x:c r="M806" s="14"/>
      <x:c r="N806" s="14"/>
      <x:c r="O806" s="14"/>
      <x:c r="P806" s="14" t="n">
        <x:v>8.67</x:v>
      </x:c>
      <x:c r="Q806" s="14" t="n">
        <x:v>60.12</x:v>
      </x:c>
      <x:c r="R806" s="15"/>
      <x:c r="S806" s="15"/>
      <x:c r="T806" s="15"/>
      <x:c r="U806" s="16"/>
      <x:c r="V806" t="str">
        <x:v>JTRE</x:v>
      </x:c>
      <x:c r="W806" t="str">
        <x:v>Ružinov</x:v>
      </x:c>
      <x:c r="X806" s="11" t="str">
        <x:v>Predaný</x:v>
      </x:c>
      <x:c r="Y806" s="11" t="str">
        <x:v>https://d-y.sk/byty/j15.03/</x:v>
      </x:c>
      <x:c r="Z806" s="11" t="n">
        <x:v>46252.68496519676</x:v>
      </x:c>
      <x:c r="AA806" s="11" t="n">
        <x:v>46254.51251577547</x:v>
      </x:c>
      <x:c r="AB806" s="11" t="n">
        <x:v>46254.51251577547</x:v>
      </x:c>
      <x:c r="AC806" t="str">
        <x:v>downtown_yards</x:v>
      </x:c>
    </x:row>
    <x:row r="807" ht="22" customHeight="1">
      <x:c r="A807" t="str">
        <x:v>Downtown Yards</x:v>
      </x:c>
      <x:c r="B807" t="str">
        <x:v>J16.01</x:v>
      </x:c>
      <x:c r="C807" t="str">
        <x:v>available</x:v>
      </x:c>
      <x:c r="D807" t="str">
        <x:v>present</x:v>
      </x:c>
      <x:c r="E807" t="str">
        <x:v>baseline</x:v>
      </x:c>
      <x:c r="F807" s="11" t="n">
        <x:v>46252.68496519676</x:v>
      </x:c>
      <x:c r="G807" t="str">
        <x:v>flat</x:v>
      </x:c>
      <x:c r="H807" s="12" t="n">
        <x:v>4</x:v>
      </x:c>
      <x:c r="I807" s="13" t="n">
        <x:v>16</x:v>
      </x:c>
      <x:c r="J807" t="str">
        <x:v>J</x:v>
      </x:c>
      <x:c r="K807" s="14" t="n">
        <x:v>115.63</x:v>
      </x:c>
      <x:c r="L807" s="14"/>
      <x:c r="M807" s="14"/>
      <x:c r="N807" s="14"/>
      <x:c r="O807" s="14"/>
      <x:c r="P807" s="14" t="n">
        <x:v>16.83</x:v>
      </x:c>
      <x:c r="Q807" s="14" t="n">
        <x:v>132.46</x:v>
      </x:c>
      <x:c r="R807" s="15" t="n">
        <x:v>863829</x:v>
      </x:c>
      <x:c r="S807" s="15" t="n">
        <x:v>965058</x:v>
      </x:c>
      <x:c r="T807" s="15" t="n">
        <x:v>863829</x:v>
      </x:c>
      <x:c r="U807" s="16" t="n">
        <x:v>7470.63</x:v>
      </x:c>
      <x:c r="V807" t="str">
        <x:v>JTRE</x:v>
      </x:c>
      <x:c r="W807" t="str">
        <x:v>Ružinov</x:v>
      </x:c>
      <x:c r="X807" s="11" t="str">
        <x:v>Voľný</x:v>
      </x:c>
      <x:c r="Y807" s="11" t="str">
        <x:v>https://d-y.sk/byty/j16.01/</x:v>
      </x:c>
      <x:c r="Z807" s="11" t="n">
        <x:v>46252.68496519676</x:v>
      </x:c>
      <x:c r="AA807" s="11" t="n">
        <x:v>46254.51251577547</x:v>
      </x:c>
      <x:c r="AB807" s="11" t="n">
        <x:v>46254.51251577547</x:v>
      </x:c>
      <x:c r="AC807" t="str">
        <x:v>downtown_yards</x:v>
      </x:c>
    </x:row>
    <x:row r="808" ht="22" customHeight="1">
      <x:c r="A808" t="str">
        <x:v>Downtown Yards</x:v>
      </x:c>
      <x:c r="B808" t="str">
        <x:v>J16.02</x:v>
      </x:c>
      <x:c r="C808" t="str">
        <x:v>sold</x:v>
      </x:c>
      <x:c r="D808" t="str">
        <x:v>present</x:v>
      </x:c>
      <x:c r="E808" t="str">
        <x:v>baseline</x:v>
      </x:c>
      <x:c r="F808" s="11" t="n">
        <x:v>46252.68496519676</x:v>
      </x:c>
      <x:c r="G808" t="str">
        <x:v>flat</x:v>
      </x:c>
      <x:c r="H808" s="12" t="n">
        <x:v>2</x:v>
      </x:c>
      <x:c r="I808" s="13" t="n">
        <x:v>16</x:v>
      </x:c>
      <x:c r="J808" t="str">
        <x:v>J</x:v>
      </x:c>
      <x:c r="K808" s="14" t="n">
        <x:v>52.01</x:v>
      </x:c>
      <x:c r="L808" s="14"/>
      <x:c r="M808" s="14"/>
      <x:c r="N808" s="14"/>
      <x:c r="O808" s="14"/>
      <x:c r="P808" s="14" t="n">
        <x:v>8.67</x:v>
      </x:c>
      <x:c r="Q808" s="14" t="n">
        <x:v>60.68</x:v>
      </x:c>
      <x:c r="R808" s="15"/>
      <x:c r="S808" s="15"/>
      <x:c r="T808" s="15"/>
      <x:c r="U808" s="16"/>
      <x:c r="V808" t="str">
        <x:v>JTRE</x:v>
      </x:c>
      <x:c r="W808" t="str">
        <x:v>Ružinov</x:v>
      </x:c>
      <x:c r="X808" s="11" t="str">
        <x:v>Predaný</x:v>
      </x:c>
      <x:c r="Y808" s="11" t="str">
        <x:v>https://d-y.sk/byty/j16.02/</x:v>
      </x:c>
      <x:c r="Z808" s="11" t="n">
        <x:v>46252.68496519676</x:v>
      </x:c>
      <x:c r="AA808" s="11" t="n">
        <x:v>46254.51251577547</x:v>
      </x:c>
      <x:c r="AB808" s="11" t="n">
        <x:v>46254.51251577547</x:v>
      </x:c>
      <x:c r="AC808" t="str">
        <x:v>downtown_yards</x:v>
      </x:c>
    </x:row>
    <x:row r="809" ht="22" customHeight="1">
      <x:c r="A809" t="str">
        <x:v>Downtown Yards</x:v>
      </x:c>
      <x:c r="B809" t="str">
        <x:v>J16.03</x:v>
      </x:c>
      <x:c r="C809" t="str">
        <x:v>sold</x:v>
      </x:c>
      <x:c r="D809" t="str">
        <x:v>present</x:v>
      </x:c>
      <x:c r="E809" t="str">
        <x:v>baseline</x:v>
      </x:c>
      <x:c r="F809" s="11" t="n">
        <x:v>46252.68496519676</x:v>
      </x:c>
      <x:c r="G809" t="str">
        <x:v>flat</x:v>
      </x:c>
      <x:c r="H809" s="12" t="n">
        <x:v>2</x:v>
      </x:c>
      <x:c r="I809" s="13" t="n">
        <x:v>16</x:v>
      </x:c>
      <x:c r="J809" t="str">
        <x:v>J</x:v>
      </x:c>
      <x:c r="K809" s="14" t="n">
        <x:v>51.45</x:v>
      </x:c>
      <x:c r="L809" s="14"/>
      <x:c r="M809" s="14"/>
      <x:c r="N809" s="14"/>
      <x:c r="O809" s="14"/>
      <x:c r="P809" s="14" t="n">
        <x:v>8.67</x:v>
      </x:c>
      <x:c r="Q809" s="14" t="n">
        <x:v>60.12</x:v>
      </x:c>
      <x:c r="R809" s="15"/>
      <x:c r="S809" s="15"/>
      <x:c r="T809" s="15"/>
      <x:c r="U809" s="16"/>
      <x:c r="V809" t="str">
        <x:v>JTRE</x:v>
      </x:c>
      <x:c r="W809" t="str">
        <x:v>Ružinov</x:v>
      </x:c>
      <x:c r="X809" s="11" t="str">
        <x:v>Predaný</x:v>
      </x:c>
      <x:c r="Y809" s="11" t="str">
        <x:v>https://d-y.sk/byty/j16.03/</x:v>
      </x:c>
      <x:c r="Z809" s="11" t="n">
        <x:v>46252.68496519676</x:v>
      </x:c>
      <x:c r="AA809" s="11" t="n">
        <x:v>46254.51251577547</x:v>
      </x:c>
      <x:c r="AB809" s="11" t="n">
        <x:v>46254.51251577547</x:v>
      </x:c>
      <x:c r="AC809" t="str">
        <x:v>downtown_yards</x:v>
      </x:c>
    </x:row>
    <x:row r="810" ht="22" customHeight="1">
      <x:c r="A810" t="str">
        <x:v>Downtown Yards</x:v>
      </x:c>
      <x:c r="B810" t="str">
        <x:v>J16.04</x:v>
      </x:c>
      <x:c r="C810" t="str">
        <x:v>available</x:v>
      </x:c>
      <x:c r="D810" t="str">
        <x:v>present</x:v>
      </x:c>
      <x:c r="E810" t="str">
        <x:v>baseline</x:v>
      </x:c>
      <x:c r="F810" s="11" t="n">
        <x:v>46252.68496519676</x:v>
      </x:c>
      <x:c r="G810" t="str">
        <x:v>flat</x:v>
      </x:c>
      <x:c r="H810" s="12" t="n">
        <x:v>3</x:v>
      </x:c>
      <x:c r="I810" s="13" t="n">
        <x:v>16</x:v>
      </x:c>
      <x:c r="J810" t="str">
        <x:v>J</x:v>
      </x:c>
      <x:c r="K810" s="14" t="n">
        <x:v>81.96</x:v>
      </x:c>
      <x:c r="L810" s="14"/>
      <x:c r="M810" s="14"/>
      <x:c r="N810" s="14"/>
      <x:c r="O810" s="14"/>
      <x:c r="P810" s="14" t="n">
        <x:v>8.66</x:v>
      </x:c>
      <x:c r="Q810" s="14" t="n">
        <x:v>90.62</x:v>
      </x:c>
      <x:c r="R810" s="15" t="n">
        <x:v>587694</x:v>
      </x:c>
      <x:c r="S810" s="15" t="n">
        <x:v>642183</x:v>
      </x:c>
      <x:c r="T810" s="15" t="n">
        <x:v>587694</x:v>
      </x:c>
      <x:c r="U810" s="16" t="n">
        <x:v>7170.5</x:v>
      </x:c>
      <x:c r="V810" t="str">
        <x:v>JTRE</x:v>
      </x:c>
      <x:c r="W810" t="str">
        <x:v>Ružinov</x:v>
      </x:c>
      <x:c r="X810" s="11" t="str">
        <x:v>Voľný</x:v>
      </x:c>
      <x:c r="Y810" s="11" t="str">
        <x:v>https://d-y.sk/byty/j16.04/</x:v>
      </x:c>
      <x:c r="Z810" s="11" t="n">
        <x:v>46252.68496519676</x:v>
      </x:c>
      <x:c r="AA810" s="11" t="n">
        <x:v>46254.51251577547</x:v>
      </x:c>
      <x:c r="AB810" s="11" t="n">
        <x:v>46254.51251577547</x:v>
      </x:c>
      <x:c r="AC810" t="str">
        <x:v>downtown_yards</x:v>
      </x:c>
    </x:row>
    <x:row r="811" ht="22" customHeight="1">
      <x:c r="A811" t="str">
        <x:v>Downtown Yards</x:v>
      </x:c>
      <x:c r="B811" t="str">
        <x:v>J16.05</x:v>
      </x:c>
      <x:c r="C811" t="str">
        <x:v>available</x:v>
      </x:c>
      <x:c r="D811" t="str">
        <x:v>present</x:v>
      </x:c>
      <x:c r="E811" t="str">
        <x:v>baseline</x:v>
      </x:c>
      <x:c r="F811" s="11" t="n">
        <x:v>46252.68496519676</x:v>
      </x:c>
      <x:c r="G811" t="str">
        <x:v>flat</x:v>
      </x:c>
      <x:c r="H811" s="12" t="n">
        <x:v>3</x:v>
      </x:c>
      <x:c r="I811" s="13" t="n">
        <x:v>16</x:v>
      </x:c>
      <x:c r="J811" t="str">
        <x:v>J</x:v>
      </x:c>
      <x:c r="K811" s="14" t="n">
        <x:v>80.94</x:v>
      </x:c>
      <x:c r="L811" s="14"/>
      <x:c r="M811" s="14"/>
      <x:c r="N811" s="14"/>
      <x:c r="O811" s="14"/>
      <x:c r="P811" s="14" t="n">
        <x:v>6.58</x:v>
      </x:c>
      <x:c r="Q811" s="14" t="n">
        <x:v>87.52</x:v>
      </x:c>
      <x:c r="R811" s="15" t="n">
        <x:v>579330</x:v>
      </x:c>
      <x:c r="S811" s="15" t="n">
        <x:v>669735</x:v>
      </x:c>
      <x:c r="T811" s="15" t="n">
        <x:v>579330</x:v>
      </x:c>
      <x:c r="U811" s="16" t="n">
        <x:v>7157.52</x:v>
      </x:c>
      <x:c r="V811" t="str">
        <x:v>JTRE</x:v>
      </x:c>
      <x:c r="W811" t="str">
        <x:v>Ružinov</x:v>
      </x:c>
      <x:c r="X811" s="11" t="str">
        <x:v>Voľný</x:v>
      </x:c>
      <x:c r="Y811" s="11" t="str">
        <x:v>https://d-y.sk/byty/j16.05/</x:v>
      </x:c>
      <x:c r="Z811" s="11" t="n">
        <x:v>46252.68496519676</x:v>
      </x:c>
      <x:c r="AA811" s="11" t="n">
        <x:v>46254.51251577547</x:v>
      </x:c>
      <x:c r="AB811" s="11" t="n">
        <x:v>46254.51251577547</x:v>
      </x:c>
      <x:c r="AC811" t="str">
        <x:v>downtown_yards</x:v>
      </x:c>
    </x:row>
    <x:row r="812" ht="22" customHeight="1">
      <x:c r="A812" t="str">
        <x:v>Downtown Yards</x:v>
      </x:c>
      <x:c r="B812" t="str">
        <x:v>J16.06</x:v>
      </x:c>
      <x:c r="C812" t="str">
        <x:v>available</x:v>
      </x:c>
      <x:c r="D812" t="str">
        <x:v>present</x:v>
      </x:c>
      <x:c r="E812" t="str">
        <x:v>baseline</x:v>
      </x:c>
      <x:c r="F812" s="11" t="n">
        <x:v>46252.68496519676</x:v>
      </x:c>
      <x:c r="G812" t="str">
        <x:v>flat</x:v>
      </x:c>
      <x:c r="H812" s="12" t="n">
        <x:v>2</x:v>
      </x:c>
      <x:c r="I812" s="13" t="n">
        <x:v>16</x:v>
      </x:c>
      <x:c r="J812" t="str">
        <x:v>J</x:v>
      </x:c>
      <x:c r="K812" s="14" t="n">
        <x:v>51.53</x:v>
      </x:c>
      <x:c r="L812" s="14"/>
      <x:c r="M812" s="14"/>
      <x:c r="N812" s="14"/>
      <x:c r="O812" s="14"/>
      <x:c r="P812" s="14" t="n">
        <x:v>6.58</x:v>
      </x:c>
      <x:c r="Q812" s="14" t="n">
        <x:v>58.11</x:v>
      </x:c>
      <x:c r="R812" s="15" t="n">
        <x:v>393108</x:v>
      </x:c>
      <x:c r="S812" s="15" t="n">
        <x:v>446613</x:v>
      </x:c>
      <x:c r="T812" s="15" t="n">
        <x:v>393108</x:v>
      </x:c>
      <x:c r="U812" s="16" t="n">
        <x:v>7628.72</x:v>
      </x:c>
      <x:c r="V812" t="str">
        <x:v>JTRE</x:v>
      </x:c>
      <x:c r="W812" t="str">
        <x:v>Ružinov</x:v>
      </x:c>
      <x:c r="X812" s="11" t="str">
        <x:v>Voľný</x:v>
      </x:c>
      <x:c r="Y812" s="11" t="str">
        <x:v>https://d-y.sk/byty/j16.06/</x:v>
      </x:c>
      <x:c r="Z812" s="11" t="n">
        <x:v>46252.68496519676</x:v>
      </x:c>
      <x:c r="AA812" s="11" t="n">
        <x:v>46254.51251577547</x:v>
      </x:c>
      <x:c r="AB812" s="11" t="n">
        <x:v>46254.51251577547</x:v>
      </x:c>
      <x:c r="AC812" t="str">
        <x:v>downtown_yards</x:v>
      </x:c>
    </x:row>
    <x:row r="813" ht="22" customHeight="1">
      <x:c r="A813" t="str">
        <x:v>Downtown Yards</x:v>
      </x:c>
      <x:c r="B813" t="str">
        <x:v>J16.07</x:v>
      </x:c>
      <x:c r="C813" t="str">
        <x:v>sold</x:v>
      </x:c>
      <x:c r="D813" t="str">
        <x:v>present</x:v>
      </x:c>
      <x:c r="E813" t="str">
        <x:v>baseline</x:v>
      </x:c>
      <x:c r="F813" s="11" t="n">
        <x:v>46252.68496519676</x:v>
      </x:c>
      <x:c r="G813" t="str">
        <x:v>flat</x:v>
      </x:c>
      <x:c r="H813" s="12" t="n">
        <x:v>2</x:v>
      </x:c>
      <x:c r="I813" s="13" t="n">
        <x:v>16</x:v>
      </x:c>
      <x:c r="J813" t="str">
        <x:v>J</x:v>
      </x:c>
      <x:c r="K813" s="14" t="n">
        <x:v>49.74</x:v>
      </x:c>
      <x:c r="L813" s="14"/>
      <x:c r="M813" s="14"/>
      <x:c r="N813" s="14"/>
      <x:c r="O813" s="14"/>
      <x:c r="P813" s="14" t="n">
        <x:v>6.58</x:v>
      </x:c>
      <x:c r="Q813" s="14" t="n">
        <x:v>56.32</x:v>
      </x:c>
      <x:c r="R813" s="15"/>
      <x:c r="S813" s="15"/>
      <x:c r="T813" s="15"/>
      <x:c r="U813" s="16"/>
      <x:c r="V813" t="str">
        <x:v>JTRE</x:v>
      </x:c>
      <x:c r="W813" t="str">
        <x:v>Ružinov</x:v>
      </x:c>
      <x:c r="X813" s="11" t="str">
        <x:v>Predaný</x:v>
      </x:c>
      <x:c r="Y813" s="11" t="str">
        <x:v>https://d-y.sk/byty/j16.07/</x:v>
      </x:c>
      <x:c r="Z813" s="11" t="n">
        <x:v>46252.68496519676</x:v>
      </x:c>
      <x:c r="AA813" s="11" t="n">
        <x:v>46254.51251577547</x:v>
      </x:c>
      <x:c r="AB813" s="11" t="n">
        <x:v>46254.51251577547</x:v>
      </x:c>
      <x:c r="AC813" t="str">
        <x:v>downtown_yards</x:v>
      </x:c>
    </x:row>
    <x:row r="814" ht="22" customHeight="1">
      <x:c r="A814" t="str">
        <x:v>Downtown Yards</x:v>
      </x:c>
      <x:c r="B814" t="str">
        <x:v>J16.08</x:v>
      </x:c>
      <x:c r="C814" t="str">
        <x:v>available</x:v>
      </x:c>
      <x:c r="D814" t="str">
        <x:v>present</x:v>
      </x:c>
      <x:c r="E814" t="str">
        <x:v>baseline</x:v>
      </x:c>
      <x:c r="F814" s="11" t="n">
        <x:v>46252.68496519676</x:v>
      </x:c>
      <x:c r="G814" t="str">
        <x:v>flat</x:v>
      </x:c>
      <x:c r="H814" s="12" t="n">
        <x:v>4</x:v>
      </x:c>
      <x:c r="I814" s="13" t="n">
        <x:v>16</x:v>
      </x:c>
      <x:c r="J814" t="str">
        <x:v>J</x:v>
      </x:c>
      <x:c r="K814" s="14" t="n">
        <x:v>110.79</x:v>
      </x:c>
      <x:c r="L814" s="14"/>
      <x:c r="M814" s="14"/>
      <x:c r="N814" s="14"/>
      <x:c r="O814" s="14"/>
      <x:c r="P814" s="14" t="n">
        <x:v>12.1</x:v>
      </x:c>
      <x:c r="Q814" s="14" t="n">
        <x:v>122.89</x:v>
      </x:c>
      <x:c r="R814" s="15" t="n">
        <x:v>896670</x:v>
      </x:c>
      <x:c r="S814" s="15" t="n">
        <x:v>1001835</x:v>
      </x:c>
      <x:c r="T814" s="15" t="n">
        <x:v>896670</x:v>
      </x:c>
      <x:c r="U814" s="16" t="n">
        <x:v>8093.42</x:v>
      </x:c>
      <x:c r="V814" t="str">
        <x:v>JTRE</x:v>
      </x:c>
      <x:c r="W814" t="str">
        <x:v>Ružinov</x:v>
      </x:c>
      <x:c r="X814" s="11" t="str">
        <x:v>Voľný</x:v>
      </x:c>
      <x:c r="Y814" s="11" t="str">
        <x:v>https://d-y.sk/byty/j16.08/</x:v>
      </x:c>
      <x:c r="Z814" s="11" t="n">
        <x:v>46252.68496519676</x:v>
      </x:c>
      <x:c r="AA814" s="11" t="n">
        <x:v>46254.51251577547</x:v>
      </x:c>
      <x:c r="AB814" s="11" t="n">
        <x:v>46254.51251577547</x:v>
      </x:c>
      <x:c r="AC814" t="str">
        <x:v>downtown_yards</x:v>
      </x:c>
    </x:row>
    <x:row r="815" ht="22" customHeight="1">
      <x:c r="A815" t="str">
        <x:v>Downtown Yards</x:v>
      </x:c>
      <x:c r="B815" t="str">
        <x:v>J17.02</x:v>
      </x:c>
      <x:c r="C815" t="str">
        <x:v>sold</x:v>
      </x:c>
      <x:c r="D815" t="str">
        <x:v>present</x:v>
      </x:c>
      <x:c r="E815" t="str">
        <x:v>baseline</x:v>
      </x:c>
      <x:c r="F815" s="11" t="n">
        <x:v>46252.68496519676</x:v>
      </x:c>
      <x:c r="G815" t="str">
        <x:v>flat</x:v>
      </x:c>
      <x:c r="H815" s="12" t="n">
        <x:v>2</x:v>
      </x:c>
      <x:c r="I815" s="13" t="n">
        <x:v>17</x:v>
      </x:c>
      <x:c r="J815" t="str">
        <x:v>J</x:v>
      </x:c>
      <x:c r="K815" s="14" t="n">
        <x:v>52.01</x:v>
      </x:c>
      <x:c r="L815" s="14"/>
      <x:c r="M815" s="14"/>
      <x:c r="N815" s="14"/>
      <x:c r="O815" s="14"/>
      <x:c r="P815" s="14" t="n">
        <x:v>8.67</x:v>
      </x:c>
      <x:c r="Q815" s="14" t="n">
        <x:v>60.68</x:v>
      </x:c>
      <x:c r="R815" s="15"/>
      <x:c r="S815" s="15"/>
      <x:c r="T815" s="15"/>
      <x:c r="U815" s="16"/>
      <x:c r="V815" t="str">
        <x:v>JTRE</x:v>
      </x:c>
      <x:c r="W815" t="str">
        <x:v>Ružinov</x:v>
      </x:c>
      <x:c r="X815" s="11" t="str">
        <x:v>Predaný</x:v>
      </x:c>
      <x:c r="Y815" s="11" t="str">
        <x:v>https://d-y.sk/byty/j17.02/</x:v>
      </x:c>
      <x:c r="Z815" s="11" t="n">
        <x:v>46252.68496519676</x:v>
      </x:c>
      <x:c r="AA815" s="11" t="n">
        <x:v>46254.51251577547</x:v>
      </x:c>
      <x:c r="AB815" s="11" t="n">
        <x:v>46254.51251577547</x:v>
      </x:c>
      <x:c r="AC815" t="str">
        <x:v>downtown_yards</x:v>
      </x:c>
    </x:row>
    <x:row r="816" ht="22" customHeight="1">
      <x:c r="A816" t="str">
        <x:v>Downtown Yards</x:v>
      </x:c>
      <x:c r="B816" t="str">
        <x:v>J17.03</x:v>
      </x:c>
      <x:c r="C816" t="str">
        <x:v>sold</x:v>
      </x:c>
      <x:c r="D816" t="str">
        <x:v>present</x:v>
      </x:c>
      <x:c r="E816" t="str">
        <x:v>baseline</x:v>
      </x:c>
      <x:c r="F816" s="11" t="n">
        <x:v>46252.68496519676</x:v>
      </x:c>
      <x:c r="G816" t="str">
        <x:v>flat</x:v>
      </x:c>
      <x:c r="H816" s="12" t="n">
        <x:v>2</x:v>
      </x:c>
      <x:c r="I816" s="13" t="n">
        <x:v>17</x:v>
      </x:c>
      <x:c r="J816" t="str">
        <x:v>J</x:v>
      </x:c>
      <x:c r="K816" s="14" t="n">
        <x:v>51.45</x:v>
      </x:c>
      <x:c r="L816" s="14"/>
      <x:c r="M816" s="14"/>
      <x:c r="N816" s="14"/>
      <x:c r="O816" s="14"/>
      <x:c r="P816" s="14" t="n">
        <x:v>8.67</x:v>
      </x:c>
      <x:c r="Q816" s="14" t="n">
        <x:v>60.12</x:v>
      </x:c>
      <x:c r="R816" s="15"/>
      <x:c r="S816" s="15"/>
      <x:c r="T816" s="15"/>
      <x:c r="U816" s="16"/>
      <x:c r="V816" t="str">
        <x:v>JTRE</x:v>
      </x:c>
      <x:c r="W816" t="str">
        <x:v>Ružinov</x:v>
      </x:c>
      <x:c r="X816" s="11" t="str">
        <x:v>Predaný</x:v>
      </x:c>
      <x:c r="Y816" s="11" t="str">
        <x:v>https://d-y.sk/byty/j17.03/</x:v>
      </x:c>
      <x:c r="Z816" s="11" t="n">
        <x:v>46252.68496519676</x:v>
      </x:c>
      <x:c r="AA816" s="11" t="n">
        <x:v>46254.51251577547</x:v>
      </x:c>
      <x:c r="AB816" s="11" t="n">
        <x:v>46254.51251577547</x:v>
      </x:c>
      <x:c r="AC816" t="str">
        <x:v>downtown_yards</x:v>
      </x:c>
    </x:row>
    <x:row r="817" ht="22" customHeight="1">
      <x:c r="A817" t="str">
        <x:v>Downtown Yards</x:v>
      </x:c>
      <x:c r="B817" t="str">
        <x:v>J18.02</x:v>
      </x:c>
      <x:c r="C817" t="str">
        <x:v>pre_reserved</x:v>
      </x:c>
      <x:c r="D817" t="str">
        <x:v>present</x:v>
      </x:c>
      <x:c r="E817" t="str">
        <x:v>baseline</x:v>
      </x:c>
      <x:c r="F817" s="11" t="n">
        <x:v>46252.68496519676</x:v>
      </x:c>
      <x:c r="G817" t="str">
        <x:v>flat</x:v>
      </x:c>
      <x:c r="H817" s="12" t="n">
        <x:v>2</x:v>
      </x:c>
      <x:c r="I817" s="13" t="n">
        <x:v>18</x:v>
      </x:c>
      <x:c r="J817" t="str">
        <x:v>J</x:v>
      </x:c>
      <x:c r="K817" s="14" t="n">
        <x:v>52.37</x:v>
      </x:c>
      <x:c r="L817" s="14"/>
      <x:c r="M817" s="14"/>
      <x:c r="N817" s="14"/>
      <x:c r="O817" s="14"/>
      <x:c r="P817" s="14" t="n">
        <x:v>8.67</x:v>
      </x:c>
      <x:c r="Q817" s="14" t="n">
        <x:v>61.04</x:v>
      </x:c>
      <x:c r="R817" s="15" t="n">
        <x:v>383145</x:v>
      </x:c>
      <x:c r="S817" s="15" t="n">
        <x:v>411927</x:v>
      </x:c>
      <x:c r="T817" s="15" t="n">
        <x:v>383145</x:v>
      </x:c>
      <x:c r="U817" s="16" t="n">
        <x:v>7316.12</x:v>
      </x:c>
      <x:c r="V817" t="str">
        <x:v>JTRE</x:v>
      </x:c>
      <x:c r="W817" t="str">
        <x:v>Ružinov</x:v>
      </x:c>
      <x:c r="X817" s="11" t="str">
        <x:v>Predrezervovaný</x:v>
      </x:c>
      <x:c r="Y817" s="11" t="str">
        <x:v>https://d-y.sk/byty/j18.02/</x:v>
      </x:c>
      <x:c r="Z817" s="11" t="n">
        <x:v>46252.68496519676</x:v>
      </x:c>
      <x:c r="AA817" s="11" t="n">
        <x:v>46254.51251577547</x:v>
      </x:c>
      <x:c r="AB817" s="11" t="n">
        <x:v>46254.51251577547</x:v>
      </x:c>
      <x:c r="AC817" t="str">
        <x:v>downtown_yards</x:v>
      </x:c>
    </x:row>
    <x:row r="818" ht="22" customHeight="1">
      <x:c r="A818" t="str">
        <x:v>Downtown Yards</x:v>
      </x:c>
      <x:c r="B818" t="str">
        <x:v>J18.06</x:v>
      </x:c>
      <x:c r="C818" t="str">
        <x:v>sold</x:v>
      </x:c>
      <x:c r="D818" t="str">
        <x:v>present</x:v>
      </x:c>
      <x:c r="E818" t="str">
        <x:v>baseline</x:v>
      </x:c>
      <x:c r="F818" s="11" t="n">
        <x:v>46252.68496519676</x:v>
      </x:c>
      <x:c r="G818" t="str">
        <x:v>flat</x:v>
      </x:c>
      <x:c r="H818" s="12" t="n">
        <x:v>2</x:v>
      </x:c>
      <x:c r="I818" s="13" t="n">
        <x:v>18</x:v>
      </x:c>
      <x:c r="J818" t="str">
        <x:v>J</x:v>
      </x:c>
      <x:c r="K818" s="14" t="n">
        <x:v>51.53</x:v>
      </x:c>
      <x:c r="L818" s="14"/>
      <x:c r="M818" s="14"/>
      <x:c r="N818" s="14"/>
      <x:c r="O818" s="14"/>
      <x:c r="P818" s="14" t="n">
        <x:v>6.58</x:v>
      </x:c>
      <x:c r="Q818" s="14" t="n">
        <x:v>58.11</x:v>
      </x:c>
      <x:c r="R818" s="15"/>
      <x:c r="S818" s="15"/>
      <x:c r="T818" s="15"/>
      <x:c r="U818" s="16"/>
      <x:c r="V818" t="str">
        <x:v>JTRE</x:v>
      </x:c>
      <x:c r="W818" t="str">
        <x:v>Ružinov</x:v>
      </x:c>
      <x:c r="X818" s="11" t="str">
        <x:v>Predaný</x:v>
      </x:c>
      <x:c r="Y818" s="11" t="str">
        <x:v>https://d-y.sk/byty/j18.06/</x:v>
      </x:c>
      <x:c r="Z818" s="11" t="n">
        <x:v>46252.68496519676</x:v>
      </x:c>
      <x:c r="AA818" s="11" t="n">
        <x:v>46254.51251577547</x:v>
      </x:c>
      <x:c r="AB818" s="11" t="n">
        <x:v>46254.51251577547</x:v>
      </x:c>
      <x:c r="AC818" t="str">
        <x:v>downtown_yards</x:v>
      </x:c>
    </x:row>
    <x:row r="819" ht="22" customHeight="1">
      <x:c r="A819" t="str">
        <x:v>Downtown Yards</x:v>
      </x:c>
      <x:c r="B819" t="str">
        <x:v>J19.01</x:v>
      </x:c>
      <x:c r="C819" t="str">
        <x:v>available</x:v>
      </x:c>
      <x:c r="D819" t="str">
        <x:v>present</x:v>
      </x:c>
      <x:c r="E819" t="str">
        <x:v>baseline</x:v>
      </x:c>
      <x:c r="F819" s="11" t="n">
        <x:v>46252.68496519676</x:v>
      </x:c>
      <x:c r="G819" t="str">
        <x:v>flat</x:v>
      </x:c>
      <x:c r="H819" s="12" t="n">
        <x:v>4</x:v>
      </x:c>
      <x:c r="I819" s="13" t="n">
        <x:v>19</x:v>
      </x:c>
      <x:c r="J819" t="str">
        <x:v>J</x:v>
      </x:c>
      <x:c r="K819" s="14" t="n">
        <x:v>116.39</x:v>
      </x:c>
      <x:c r="L819" s="14"/>
      <x:c r="M819" s="14"/>
      <x:c r="N819" s="14"/>
      <x:c r="O819" s="14"/>
      <x:c r="P819" s="14" t="n">
        <x:v>16.83</x:v>
      </x:c>
      <x:c r="Q819" s="14" t="n">
        <x:v>133.22</x:v>
      </x:c>
      <x:c r="R819" s="15" t="n">
        <x:v>890889</x:v>
      </x:c>
      <x:c r="S819" s="15" t="n">
        <x:v>995316</x:v>
      </x:c>
      <x:c r="T819" s="15" t="n">
        <x:v>890889</x:v>
      </x:c>
      <x:c r="U819" s="16" t="n">
        <x:v>7654.34</x:v>
      </x:c>
      <x:c r="V819" t="str">
        <x:v>JTRE</x:v>
      </x:c>
      <x:c r="W819" t="str">
        <x:v>Ružinov</x:v>
      </x:c>
      <x:c r="X819" s="11" t="str">
        <x:v>Voľný</x:v>
      </x:c>
      <x:c r="Y819" s="11" t="str">
        <x:v>https://d-y.sk/byty/j19.01/</x:v>
      </x:c>
      <x:c r="Z819" s="11" t="n">
        <x:v>46252.68496519676</x:v>
      </x:c>
      <x:c r="AA819" s="11" t="n">
        <x:v>46254.51251577547</x:v>
      </x:c>
      <x:c r="AB819" s="11" t="n">
        <x:v>46254.51251577547</x:v>
      </x:c>
      <x:c r="AC819" t="str">
        <x:v>downtown_yards</x:v>
      </x:c>
    </x:row>
    <x:row r="820" ht="22" customHeight="1">
      <x:c r="A820" t="str">
        <x:v>Downtown Yards</x:v>
      </x:c>
      <x:c r="B820" t="str">
        <x:v>J19.02</x:v>
      </x:c>
      <x:c r="C820" t="str">
        <x:v>sold</x:v>
      </x:c>
      <x:c r="D820" t="str">
        <x:v>present</x:v>
      </x:c>
      <x:c r="E820" t="str">
        <x:v>baseline</x:v>
      </x:c>
      <x:c r="F820" s="11" t="n">
        <x:v>46252.68496519676</x:v>
      </x:c>
      <x:c r="G820" t="str">
        <x:v>flat</x:v>
      </x:c>
      <x:c r="H820" s="12" t="n">
        <x:v>2</x:v>
      </x:c>
      <x:c r="I820" s="13" t="n">
        <x:v>19</x:v>
      </x:c>
      <x:c r="J820" t="str">
        <x:v>J</x:v>
      </x:c>
      <x:c r="K820" s="14" t="n">
        <x:v>52.37</x:v>
      </x:c>
      <x:c r="L820" s="14"/>
      <x:c r="M820" s="14"/>
      <x:c r="N820" s="14"/>
      <x:c r="O820" s="14"/>
      <x:c r="P820" s="14" t="n">
        <x:v>8.67</x:v>
      </x:c>
      <x:c r="Q820" s="14" t="n">
        <x:v>61.04</x:v>
      </x:c>
      <x:c r="R820" s="15"/>
      <x:c r="S820" s="15"/>
      <x:c r="T820" s="15"/>
      <x:c r="U820" s="16"/>
      <x:c r="V820" t="str">
        <x:v>JTRE</x:v>
      </x:c>
      <x:c r="W820" t="str">
        <x:v>Ružinov</x:v>
      </x:c>
      <x:c r="X820" s="11" t="str">
        <x:v>Predaný</x:v>
      </x:c>
      <x:c r="Y820" s="11" t="str">
        <x:v>https://d-y.sk/byty/j19.02/</x:v>
      </x:c>
      <x:c r="Z820" s="11" t="n">
        <x:v>46252.68496519676</x:v>
      </x:c>
      <x:c r="AA820" s="11" t="n">
        <x:v>46254.51251577547</x:v>
      </x:c>
      <x:c r="AB820" s="11" t="n">
        <x:v>46254.51251577547</x:v>
      </x:c>
      <x:c r="AC820" t="str">
        <x:v>downtown_yards</x:v>
      </x:c>
    </x:row>
    <x:row r="821" ht="22" customHeight="1">
      <x:c r="A821" t="str">
        <x:v>Downtown Yards</x:v>
      </x:c>
      <x:c r="B821" t="str">
        <x:v>J19.03</x:v>
      </x:c>
      <x:c r="C821" t="str">
        <x:v>available</x:v>
      </x:c>
      <x:c r="D821" t="str">
        <x:v>present</x:v>
      </x:c>
      <x:c r="E821" t="str">
        <x:v>baseline</x:v>
      </x:c>
      <x:c r="F821" s="11" t="n">
        <x:v>46252.68496519676</x:v>
      </x:c>
      <x:c r="G821" t="str">
        <x:v>flat</x:v>
      </x:c>
      <x:c r="H821" s="12" t="n">
        <x:v>2</x:v>
      </x:c>
      <x:c r="I821" s="13" t="n">
        <x:v>19</x:v>
      </x:c>
      <x:c r="J821" t="str">
        <x:v>J</x:v>
      </x:c>
      <x:c r="K821" s="14" t="n">
        <x:v>51.8</x:v>
      </x:c>
      <x:c r="L821" s="14"/>
      <x:c r="M821" s="14"/>
      <x:c r="N821" s="14"/>
      <x:c r="O821" s="14"/>
      <x:c r="P821" s="14" t="n">
        <x:v>8.67</x:v>
      </x:c>
      <x:c r="Q821" s="14" t="n">
        <x:v>60.47</x:v>
      </x:c>
      <x:c r="R821" s="15" t="n">
        <x:v>380316</x:v>
      </x:c>
      <x:c r="S821" s="15" t="n">
        <x:v>408852</x:v>
      </x:c>
      <x:c r="T821" s="15" t="n">
        <x:v>380316</x:v>
      </x:c>
      <x:c r="U821" s="16" t="n">
        <x:v>7342.01</x:v>
      </x:c>
      <x:c r="V821" t="str">
        <x:v>JTRE</x:v>
      </x:c>
      <x:c r="W821" t="str">
        <x:v>Ružinov</x:v>
      </x:c>
      <x:c r="X821" s="11" t="str">
        <x:v>Voľný</x:v>
      </x:c>
      <x:c r="Y821" s="11" t="str">
        <x:v>https://d-y.sk/byty/j19.03/</x:v>
      </x:c>
      <x:c r="Z821" s="11" t="n">
        <x:v>46252.68496519676</x:v>
      </x:c>
      <x:c r="AA821" s="11" t="n">
        <x:v>46254.51251577547</x:v>
      </x:c>
      <x:c r="AB821" s="11" t="n">
        <x:v>46254.51251577547</x:v>
      </x:c>
      <x:c r="AC821" t="str">
        <x:v>downtown_yards</x:v>
      </x:c>
    </x:row>
    <x:row r="822" ht="22" customHeight="1">
      <x:c r="A822" t="str">
        <x:v>Downtown Yards</x:v>
      </x:c>
      <x:c r="B822" t="str">
        <x:v>J19.04</x:v>
      </x:c>
      <x:c r="C822" t="str">
        <x:v>available</x:v>
      </x:c>
      <x:c r="D822" t="str">
        <x:v>present</x:v>
      </x:c>
      <x:c r="E822" t="str">
        <x:v>baseline</x:v>
      </x:c>
      <x:c r="F822" s="11" t="n">
        <x:v>46252.68496519676</x:v>
      </x:c>
      <x:c r="G822" t="str">
        <x:v>flat</x:v>
      </x:c>
      <x:c r="H822" s="12" t="n">
        <x:v>3</x:v>
      </x:c>
      <x:c r="I822" s="13" t="n">
        <x:v>19</x:v>
      </x:c>
      <x:c r="J822" t="str">
        <x:v>J</x:v>
      </x:c>
      <x:c r="K822" s="14" t="n">
        <x:v>82.32</x:v>
      </x:c>
      <x:c r="L822" s="14"/>
      <x:c r="M822" s="14"/>
      <x:c r="N822" s="14"/>
      <x:c r="O822" s="14"/>
      <x:c r="P822" s="14" t="n">
        <x:v>8.66</x:v>
      </x:c>
      <x:c r="Q822" s="14" t="n">
        <x:v>90.98</x:v>
      </x:c>
      <x:c r="R822" s="15" t="n">
        <x:v>605037</x:v>
      </x:c>
      <x:c r="S822" s="15" t="n">
        <x:v>661125</x:v>
      </x:c>
      <x:c r="T822" s="15" t="n">
        <x:v>605037</x:v>
      </x:c>
      <x:c r="U822" s="16" t="n">
        <x:v>7349.82</x:v>
      </x:c>
      <x:c r="V822" t="str">
        <x:v>JTRE</x:v>
      </x:c>
      <x:c r="W822" t="str">
        <x:v>Ružinov</x:v>
      </x:c>
      <x:c r="X822" s="11" t="str">
        <x:v>Voľný</x:v>
      </x:c>
      <x:c r="Y822" s="11" t="str">
        <x:v>https://d-y.sk/byty/j19.04/</x:v>
      </x:c>
      <x:c r="Z822" s="11" t="n">
        <x:v>46252.68496519676</x:v>
      </x:c>
      <x:c r="AA822" s="11" t="n">
        <x:v>46254.51251577547</x:v>
      </x:c>
      <x:c r="AB822" s="11" t="n">
        <x:v>46254.51251577547</x:v>
      </x:c>
      <x:c r="AC822" t="str">
        <x:v>downtown_yards</x:v>
      </x:c>
    </x:row>
    <x:row r="823" ht="22" customHeight="1">
      <x:c r="A823" t="str">
        <x:v>Downtown Yards</x:v>
      </x:c>
      <x:c r="B823" t="str">
        <x:v>J19.05</x:v>
      </x:c>
      <x:c r="C823" t="str">
        <x:v>available</x:v>
      </x:c>
      <x:c r="D823" t="str">
        <x:v>present</x:v>
      </x:c>
      <x:c r="E823" t="str">
        <x:v>baseline</x:v>
      </x:c>
      <x:c r="F823" s="11" t="n">
        <x:v>46252.68496519676</x:v>
      </x:c>
      <x:c r="G823" t="str">
        <x:v>flat</x:v>
      </x:c>
      <x:c r="H823" s="12" t="n">
        <x:v>3</x:v>
      </x:c>
      <x:c r="I823" s="13" t="n">
        <x:v>19</x:v>
      </x:c>
      <x:c r="J823" t="str">
        <x:v>J</x:v>
      </x:c>
      <x:c r="K823" s="14" t="n">
        <x:v>80.94</x:v>
      </x:c>
      <x:c r="L823" s="14"/>
      <x:c r="M823" s="14"/>
      <x:c r="N823" s="14"/>
      <x:c r="O823" s="14"/>
      <x:c r="P823" s="14" t="n">
        <x:v>6.58</x:v>
      </x:c>
      <x:c r="Q823" s="14" t="n">
        <x:v>87.52</x:v>
      </x:c>
      <x:c r="R823" s="15" t="n">
        <x:v>597903</x:v>
      </x:c>
      <x:c r="S823" s="15" t="n">
        <x:v>691137</x:v>
      </x:c>
      <x:c r="T823" s="15" t="n">
        <x:v>597903</x:v>
      </x:c>
      <x:c r="U823" s="16" t="n">
        <x:v>7386.99</x:v>
      </x:c>
      <x:c r="V823" t="str">
        <x:v>JTRE</x:v>
      </x:c>
      <x:c r="W823" t="str">
        <x:v>Ružinov</x:v>
      </x:c>
      <x:c r="X823" s="11" t="str">
        <x:v>Voľný</x:v>
      </x:c>
      <x:c r="Y823" s="11" t="str">
        <x:v>https://d-y.sk/byty/j19.05/</x:v>
      </x:c>
      <x:c r="Z823" s="11" t="n">
        <x:v>46252.68496519676</x:v>
      </x:c>
      <x:c r="AA823" s="11" t="n">
        <x:v>46254.51251577547</x:v>
      </x:c>
      <x:c r="AB823" s="11" t="n">
        <x:v>46254.51251577547</x:v>
      </x:c>
      <x:c r="AC823" t="str">
        <x:v>downtown_yards</x:v>
      </x:c>
    </x:row>
    <x:row r="824" ht="22" customHeight="1">
      <x:c r="A824" t="str">
        <x:v>Downtown Yards</x:v>
      </x:c>
      <x:c r="B824" t="str">
        <x:v>J19.06</x:v>
      </x:c>
      <x:c r="C824" t="str">
        <x:v>available</x:v>
      </x:c>
      <x:c r="D824" t="str">
        <x:v>present</x:v>
      </x:c>
      <x:c r="E824" t="str">
        <x:v>baseline</x:v>
      </x:c>
      <x:c r="F824" s="11" t="n">
        <x:v>46252.68496519676</x:v>
      </x:c>
      <x:c r="G824" t="str">
        <x:v>flat</x:v>
      </x:c>
      <x:c r="H824" s="12" t="n">
        <x:v>2</x:v>
      </x:c>
      <x:c r="I824" s="13" t="n">
        <x:v>19</x:v>
      </x:c>
      <x:c r="J824" t="str">
        <x:v>J</x:v>
      </x:c>
      <x:c r="K824" s="14" t="n">
        <x:v>51.53</x:v>
      </x:c>
      <x:c r="L824" s="14"/>
      <x:c r="M824" s="14"/>
      <x:c r="N824" s="14"/>
      <x:c r="O824" s="14"/>
      <x:c r="P824" s="14" t="n">
        <x:v>6.58</x:v>
      </x:c>
      <x:c r="Q824" s="14" t="n">
        <x:v>58.11</x:v>
      </x:c>
      <x:c r="R824" s="15" t="n">
        <x:v>405531</x:v>
      </x:c>
      <x:c r="S824" s="15" t="n">
        <x:v>460758</x:v>
      </x:c>
      <x:c r="T824" s="15" t="n">
        <x:v>405531</x:v>
      </x:c>
      <x:c r="U824" s="16" t="n">
        <x:v>7869.8</x:v>
      </x:c>
      <x:c r="V824" t="str">
        <x:v>JTRE</x:v>
      </x:c>
      <x:c r="W824" t="str">
        <x:v>Ružinov</x:v>
      </x:c>
      <x:c r="X824" s="11" t="str">
        <x:v>Voľný</x:v>
      </x:c>
      <x:c r="Y824" s="11" t="str">
        <x:v>https://d-y.sk/byty/j19.06/</x:v>
      </x:c>
      <x:c r="Z824" s="11" t="n">
        <x:v>46252.68496519676</x:v>
      </x:c>
      <x:c r="AA824" s="11" t="n">
        <x:v>46254.51251577547</x:v>
      </x:c>
      <x:c r="AB824" s="11" t="n">
        <x:v>46254.51251577547</x:v>
      </x:c>
      <x:c r="AC824" t="str">
        <x:v>downtown_yards</x:v>
      </x:c>
    </x:row>
    <x:row r="825" ht="22" customHeight="1">
      <x:c r="A825" t="str">
        <x:v>Downtown Yards</x:v>
      </x:c>
      <x:c r="B825" t="str">
        <x:v>J19.07</x:v>
      </x:c>
      <x:c r="C825" t="str">
        <x:v>available</x:v>
      </x:c>
      <x:c r="D825" t="str">
        <x:v>present</x:v>
      </x:c>
      <x:c r="E825" t="str">
        <x:v>baseline</x:v>
      </x:c>
      <x:c r="F825" s="11" t="n">
        <x:v>46252.68496519676</x:v>
      </x:c>
      <x:c r="G825" t="str">
        <x:v>flat</x:v>
      </x:c>
      <x:c r="H825" s="12" t="n">
        <x:v>2</x:v>
      </x:c>
      <x:c r="I825" s="13" t="n">
        <x:v>19</x:v>
      </x:c>
      <x:c r="J825" t="str">
        <x:v>J</x:v>
      </x:c>
      <x:c r="K825" s="14" t="n">
        <x:v>49.74</x:v>
      </x:c>
      <x:c r="L825" s="14"/>
      <x:c r="M825" s="14"/>
      <x:c r="N825" s="14"/>
      <x:c r="O825" s="14"/>
      <x:c r="P825" s="14" t="n">
        <x:v>6.58</x:v>
      </x:c>
      <x:c r="Q825" s="14" t="n">
        <x:v>56.32</x:v>
      </x:c>
      <x:c r="R825" s="15" t="n">
        <x:v>399135</x:v>
      </x:c>
      <x:c r="S825" s="15" t="n">
        <x:v>453501</x:v>
      </x:c>
      <x:c r="T825" s="15" t="n">
        <x:v>399135</x:v>
      </x:c>
      <x:c r="U825" s="16" t="n">
        <x:v>8024.43</x:v>
      </x:c>
      <x:c r="V825" t="str">
        <x:v>JTRE</x:v>
      </x:c>
      <x:c r="W825" t="str">
        <x:v>Ružinov</x:v>
      </x:c>
      <x:c r="X825" s="11" t="str">
        <x:v>Voľný</x:v>
      </x:c>
      <x:c r="Y825" s="11" t="str">
        <x:v>https://d-y.sk/byty/j19.07/</x:v>
      </x:c>
      <x:c r="Z825" s="11" t="n">
        <x:v>46252.68496519676</x:v>
      </x:c>
      <x:c r="AA825" s="11" t="n">
        <x:v>46254.51251577547</x:v>
      </x:c>
      <x:c r="AB825" s="11" t="n">
        <x:v>46254.51251577547</x:v>
      </x:c>
      <x:c r="AC825" t="str">
        <x:v>downtown_yards</x:v>
      </x:c>
    </x:row>
    <x:row r="826" ht="22" customHeight="1">
      <x:c r="A826" t="str">
        <x:v>Downtown Yards</x:v>
      </x:c>
      <x:c r="B826" t="str">
        <x:v>J19.08</x:v>
      </x:c>
      <x:c r="C826" t="str">
        <x:v>available</x:v>
      </x:c>
      <x:c r="D826" t="str">
        <x:v>present</x:v>
      </x:c>
      <x:c r="E826" t="str">
        <x:v>baseline</x:v>
      </x:c>
      <x:c r="F826" s="11" t="n">
        <x:v>46252.68496519676</x:v>
      </x:c>
      <x:c r="G826" t="str">
        <x:v>flat</x:v>
      </x:c>
      <x:c r="H826" s="12" t="n">
        <x:v>4</x:v>
      </x:c>
      <x:c r="I826" s="13" t="n">
        <x:v>19</x:v>
      </x:c>
      <x:c r="J826" t="str">
        <x:v>J</x:v>
      </x:c>
      <x:c r="K826" s="14" t="n">
        <x:v>111.35</x:v>
      </x:c>
      <x:c r="L826" s="14"/>
      <x:c r="M826" s="14"/>
      <x:c r="N826" s="14"/>
      <x:c r="O826" s="14"/>
      <x:c r="P826" s="14" t="n">
        <x:v>12.1</x:v>
      </x:c>
      <x:c r="Q826" s="14" t="n">
        <x:v>123.45</x:v>
      </x:c>
      <x:c r="R826" s="15" t="n">
        <x:v>929019</x:v>
      </x:c>
      <x:c r="S826" s="15" t="n">
        <x:v>1037997</x:v>
      </x:c>
      <x:c r="T826" s="15" t="n">
        <x:v>929019</x:v>
      </x:c>
      <x:c r="U826" s="16" t="n">
        <x:v>8343.23</x:v>
      </x:c>
      <x:c r="V826" t="str">
        <x:v>JTRE</x:v>
      </x:c>
      <x:c r="W826" t="str">
        <x:v>Ružinov</x:v>
      </x:c>
      <x:c r="X826" s="11" t="str">
        <x:v>Voľný</x:v>
      </x:c>
      <x:c r="Y826" s="11" t="str">
        <x:v>https://d-y.sk/byty/j19.08/</x:v>
      </x:c>
      <x:c r="Z826" s="11" t="n">
        <x:v>46252.68496519676</x:v>
      </x:c>
      <x:c r="AA826" s="11" t="n">
        <x:v>46254.51251577547</x:v>
      </x:c>
      <x:c r="AB826" s="11" t="n">
        <x:v>46254.51251577547</x:v>
      </x:c>
      <x:c r="AC826" t="str">
        <x:v>downtown_yards</x:v>
      </x:c>
    </x:row>
    <x:row r="827" ht="22" customHeight="1">
      <x:c r="A827" t="str">
        <x:v>Downtown Yards</x:v>
      </x:c>
      <x:c r="B827" t="str">
        <x:v>J22.06</x:v>
      </x:c>
      <x:c r="C827" t="str">
        <x:v>pre_reserved</x:v>
      </x:c>
      <x:c r="D827" t="str">
        <x:v>present</x:v>
      </x:c>
      <x:c r="E827" t="str">
        <x:v>baseline</x:v>
      </x:c>
      <x:c r="F827" s="11" t="n">
        <x:v>46252.68496519676</x:v>
      </x:c>
      <x:c r="G827" t="str">
        <x:v>flat</x:v>
      </x:c>
      <x:c r="H827" s="12" t="n">
        <x:v>2</x:v>
      </x:c>
      <x:c r="I827" s="13" t="n">
        <x:v>22</x:v>
      </x:c>
      <x:c r="J827" t="str">
        <x:v>J</x:v>
      </x:c>
      <x:c r="K827" s="14" t="n">
        <x:v>49.74</x:v>
      </x:c>
      <x:c r="L827" s="14"/>
      <x:c r="M827" s="14"/>
      <x:c r="N827" s="14"/>
      <x:c r="O827" s="14"/>
      <x:c r="P827" s="14" t="n">
        <x:v>6.58</x:v>
      </x:c>
      <x:c r="Q827" s="14" t="n">
        <x:v>56.32</x:v>
      </x:c>
      <x:c r="R827" s="15" t="n">
        <x:v>409713</x:v>
      </x:c>
      <x:c r="S827" s="15" t="n">
        <x:v>465555</x:v>
      </x:c>
      <x:c r="T827" s="15" t="n">
        <x:v>409713</x:v>
      </x:c>
      <x:c r="U827" s="16" t="n">
        <x:v>8237.09</x:v>
      </x:c>
      <x:c r="V827" t="str">
        <x:v>JTRE</x:v>
      </x:c>
      <x:c r="W827" t="str">
        <x:v>Ružinov</x:v>
      </x:c>
      <x:c r="X827" s="11" t="str">
        <x:v>Predrezervovaný</x:v>
      </x:c>
      <x:c r="Y827" s="11" t="str">
        <x:v>https://d-y.sk/byty/j22.06/</x:v>
      </x:c>
      <x:c r="Z827" s="11" t="n">
        <x:v>46252.68496519676</x:v>
      </x:c>
      <x:c r="AA827" s="11" t="n">
        <x:v>46254.51251577547</x:v>
      </x:c>
      <x:c r="AB827" s="11" t="n">
        <x:v>46254.51251577547</x:v>
      </x:c>
      <x:c r="AC827" t="str">
        <x:v>downtown_yards</x:v>
      </x:c>
    </x:row>
    <x:row r="828" ht="22" customHeight="1">
      <x:c r="A828" t="str">
        <x:v>Downtown Yards</x:v>
      </x:c>
      <x:c r="B828" t="str">
        <x:v>J23.01</x:v>
      </x:c>
      <x:c r="C828" t="str">
        <x:v>available</x:v>
      </x:c>
      <x:c r="D828" t="str">
        <x:v>present</x:v>
      </x:c>
      <x:c r="E828" t="str">
        <x:v>baseline</x:v>
      </x:c>
      <x:c r="F828" s="11" t="n">
        <x:v>46252.68496519676</x:v>
      </x:c>
      <x:c r="G828" t="str">
        <x:v>flat</x:v>
      </x:c>
      <x:c r="H828" s="12" t="n">
        <x:v>4</x:v>
      </x:c>
      <x:c r="I828" s="13" t="n">
        <x:v>23</x:v>
      </x:c>
      <x:c r="J828" t="str">
        <x:v>J</x:v>
      </x:c>
      <x:c r="K828" s="14" t="n">
        <x:v>116.39</x:v>
      </x:c>
      <x:c r="L828" s="14"/>
      <x:c r="M828" s="14"/>
      <x:c r="N828" s="14"/>
      <x:c r="O828" s="14"/>
      <x:c r="P828" s="14" t="n">
        <x:v>16.83</x:v>
      </x:c>
      <x:c r="Q828" s="14" t="n">
        <x:v>133.22</x:v>
      </x:c>
      <x:c r="R828" s="15" t="n">
        <x:v>917826</x:v>
      </x:c>
      <x:c r="S828" s="15" t="n">
        <x:v>1025451</x:v>
      </x:c>
      <x:c r="T828" s="15" t="n">
        <x:v>917826</x:v>
      </x:c>
      <x:c r="U828" s="16" t="n">
        <x:v>7885.78</x:v>
      </x:c>
      <x:c r="V828" t="str">
        <x:v>JTRE</x:v>
      </x:c>
      <x:c r="W828" t="str">
        <x:v>Ružinov</x:v>
      </x:c>
      <x:c r="X828" s="11" t="str">
        <x:v>Voľný</x:v>
      </x:c>
      <x:c r="Y828" s="11" t="str">
        <x:v>https://d-y.sk/byty/j23.01/</x:v>
      </x:c>
      <x:c r="Z828" s="11" t="n">
        <x:v>46252.68496519676</x:v>
      </x:c>
      <x:c r="AA828" s="11" t="n">
        <x:v>46254.51251577547</x:v>
      </x:c>
      <x:c r="AB828" s="11" t="n">
        <x:v>46254.51251577547</x:v>
      </x:c>
      <x:c r="AC828" t="str">
        <x:v>downtown_yards</x:v>
      </x:c>
    </x:row>
    <x:row r="829" ht="22" customHeight="1">
      <x:c r="A829" t="str">
        <x:v>Downtown Yards</x:v>
      </x:c>
      <x:c r="B829" t="str">
        <x:v>J23.02</x:v>
      </x:c>
      <x:c r="C829" t="str">
        <x:v>available</x:v>
      </x:c>
      <x:c r="D829" t="str">
        <x:v>present</x:v>
      </x:c>
      <x:c r="E829" t="str">
        <x:v>baseline</x:v>
      </x:c>
      <x:c r="F829" s="11" t="n">
        <x:v>46252.68496519676</x:v>
      </x:c>
      <x:c r="G829" t="str">
        <x:v>flat</x:v>
      </x:c>
      <x:c r="H829" s="12" t="n">
        <x:v>3</x:v>
      </x:c>
      <x:c r="I829" s="13" t="n">
        <x:v>23</x:v>
      </x:c>
      <x:c r="J829" t="str">
        <x:v>J</x:v>
      </x:c>
      <x:c r="K829" s="14" t="n">
        <x:v>73.55</x:v>
      </x:c>
      <x:c r="L829" s="14"/>
      <x:c r="M829" s="14"/>
      <x:c r="N829" s="14"/>
      <x:c r="O829" s="14"/>
      <x:c r="P829" s="14" t="n">
        <x:v>12.46</x:v>
      </x:c>
      <x:c r="Q829" s="14" t="n">
        <x:v>86.01</x:v>
      </x:c>
      <x:c r="R829" s="15" t="n">
        <x:v>552885</x:v>
      </x:c>
      <x:c r="S829" s="15" t="n">
        <x:v>639108</x:v>
      </x:c>
      <x:c r="T829" s="15" t="n">
        <x:v>552885</x:v>
      </x:c>
      <x:c r="U829" s="16" t="n">
        <x:v>7517.13</x:v>
      </x:c>
      <x:c r="V829" t="str">
        <x:v>JTRE</x:v>
      </x:c>
      <x:c r="W829" t="str">
        <x:v>Ružinov</x:v>
      </x:c>
      <x:c r="X829" s="11" t="str">
        <x:v>Voľný</x:v>
      </x:c>
      <x:c r="Y829" s="11" t="str">
        <x:v>https://d-y.sk/byty/j23.02/</x:v>
      </x:c>
      <x:c r="Z829" s="11" t="n">
        <x:v>46252.68496519676</x:v>
      </x:c>
      <x:c r="AA829" s="11" t="n">
        <x:v>46254.51251577547</x:v>
      </x:c>
      <x:c r="AB829" s="11" t="n">
        <x:v>46254.51251577547</x:v>
      </x:c>
      <x:c r="AC829" t="str">
        <x:v>downtown_yards</x:v>
      </x:c>
    </x:row>
    <x:row r="830" ht="22" customHeight="1">
      <x:c r="A830" t="str">
        <x:v>Downtown Yards</x:v>
      </x:c>
      <x:c r="B830" t="str">
        <x:v>J23.03</x:v>
      </x:c>
      <x:c r="C830" t="str">
        <x:v>available</x:v>
      </x:c>
      <x:c r="D830" t="str">
        <x:v>present</x:v>
      </x:c>
      <x:c r="E830" t="str">
        <x:v>baseline</x:v>
      </x:c>
      <x:c r="F830" s="11" t="n">
        <x:v>46252.68496519676</x:v>
      </x:c>
      <x:c r="G830" t="str">
        <x:v>flat</x:v>
      </x:c>
      <x:c r="H830" s="12" t="n">
        <x:v>4</x:v>
      </x:c>
      <x:c r="I830" s="13" t="n">
        <x:v>23</x:v>
      </x:c>
      <x:c r="J830" t="str">
        <x:v>J</x:v>
      </x:c>
      <x:c r="K830" s="14" t="n">
        <x:v>111.99</x:v>
      </x:c>
      <x:c r="L830" s="14"/>
      <x:c r="M830" s="14"/>
      <x:c r="N830" s="14"/>
      <x:c r="O830" s="14"/>
      <x:c r="P830" s="14" t="n">
        <x:v>13.72</x:v>
      </x:c>
      <x:c r="Q830" s="14" t="n">
        <x:v>125.71</x:v>
      </x:c>
      <x:c r="R830" s="15" t="n">
        <x:v>866043</x:v>
      </x:c>
      <x:c r="S830" s="15" t="n">
        <x:v>967641</x:v>
      </x:c>
      <x:c r="T830" s="15" t="n">
        <x:v>866043</x:v>
      </x:c>
      <x:c r="U830" s="16" t="n">
        <x:v>7733.22</x:v>
      </x:c>
      <x:c r="V830" t="str">
        <x:v>JTRE</x:v>
      </x:c>
      <x:c r="W830" t="str">
        <x:v>Ružinov</x:v>
      </x:c>
      <x:c r="X830" s="11" t="str">
        <x:v>Voľný</x:v>
      </x:c>
      <x:c r="Y830" s="11" t="str">
        <x:v>https://d-y.sk/byty/j23.03/</x:v>
      </x:c>
      <x:c r="Z830" s="11" t="n">
        <x:v>46252.68496519676</x:v>
      </x:c>
      <x:c r="AA830" s="11" t="n">
        <x:v>46254.51251577547</x:v>
      </x:c>
      <x:c r="AB830" s="11" t="n">
        <x:v>46254.51251577547</x:v>
      </x:c>
      <x:c r="AC830" t="str">
        <x:v>downtown_yards</x:v>
      </x:c>
    </x:row>
    <x:row r="831" ht="22" customHeight="1">
      <x:c r="A831" t="str">
        <x:v>Downtown Yards</x:v>
      </x:c>
      <x:c r="B831" t="str">
        <x:v>J23.04</x:v>
      </x:c>
      <x:c r="C831" t="str">
        <x:v>available</x:v>
      </x:c>
      <x:c r="D831" t="str">
        <x:v>present</x:v>
      </x:c>
      <x:c r="E831" t="str">
        <x:v>baseline</x:v>
      </x:c>
      <x:c r="F831" s="11" t="n">
        <x:v>46252.68496519676</x:v>
      </x:c>
      <x:c r="G831" t="str">
        <x:v>flat</x:v>
      </x:c>
      <x:c r="H831" s="12" t="n">
        <x:v>3</x:v>
      </x:c>
      <x:c r="I831" s="13" t="n">
        <x:v>23</x:v>
      </x:c>
      <x:c r="J831" t="str">
        <x:v>J</x:v>
      </x:c>
      <x:c r="K831" s="14" t="n">
        <x:v>80.94</x:v>
      </x:c>
      <x:c r="L831" s="14"/>
      <x:c r="M831" s="14"/>
      <x:c r="N831" s="14"/>
      <x:c r="O831" s="14"/>
      <x:c r="P831" s="14" t="n">
        <x:v>6.58</x:v>
      </x:c>
      <x:c r="Q831" s="14" t="n">
        <x:v>87.52</x:v>
      </x:c>
      <x:c r="R831" s="15" t="n">
        <x:v>619305</x:v>
      </x:c>
      <x:c r="S831" s="15" t="n">
        <x:v>715860</x:v>
      </x:c>
      <x:c r="T831" s="15" t="n">
        <x:v>619305</x:v>
      </x:c>
      <x:c r="U831" s="16" t="n">
        <x:v>7651.41</x:v>
      </x:c>
      <x:c r="V831" t="str">
        <x:v>JTRE</x:v>
      </x:c>
      <x:c r="W831" t="str">
        <x:v>Ružinov</x:v>
      </x:c>
      <x:c r="X831" s="11" t="str">
        <x:v>Voľný</x:v>
      </x:c>
      <x:c r="Y831" s="11" t="str">
        <x:v>https://d-y.sk/byty/j23.04/</x:v>
      </x:c>
      <x:c r="Z831" s="11" t="n">
        <x:v>46252.68496519676</x:v>
      </x:c>
      <x:c r="AA831" s="11" t="n">
        <x:v>46254.51251577547</x:v>
      </x:c>
      <x:c r="AB831" s="11" t="n">
        <x:v>46254.51251577547</x:v>
      </x:c>
      <x:c r="AC831" t="str">
        <x:v>downtown_yards</x:v>
      </x:c>
    </x:row>
    <x:row r="832" ht="22" customHeight="1">
      <x:c r="A832" t="str">
        <x:v>Downtown Yards</x:v>
      </x:c>
      <x:c r="B832" t="str">
        <x:v>J23.05</x:v>
      </x:c>
      <x:c r="C832" t="str">
        <x:v>available</x:v>
      </x:c>
      <x:c r="D832" t="str">
        <x:v>present</x:v>
      </x:c>
      <x:c r="E832" t="str">
        <x:v>baseline</x:v>
      </x:c>
      <x:c r="F832" s="11" t="n">
        <x:v>46252.68496519676</x:v>
      </x:c>
      <x:c r="G832" t="str">
        <x:v>flat</x:v>
      </x:c>
      <x:c r="H832" s="12" t="n">
        <x:v>2</x:v>
      </x:c>
      <x:c r="I832" s="13" t="n">
        <x:v>23</x:v>
      </x:c>
      <x:c r="J832" t="str">
        <x:v>J</x:v>
      </x:c>
      <x:c r="K832" s="14" t="n">
        <x:v>51.53</x:v>
      </x:c>
      <x:c r="L832" s="14"/>
      <x:c r="M832" s="14"/>
      <x:c r="N832" s="14"/>
      <x:c r="O832" s="14"/>
      <x:c r="P832" s="14" t="n">
        <x:v>6.58</x:v>
      </x:c>
      <x:c r="Q832" s="14" t="n">
        <x:v>58.11</x:v>
      </x:c>
      <x:c r="R832" s="15" t="n">
        <x:v>420045</x:v>
      </x:c>
      <x:c r="S832" s="15" t="n">
        <x:v>477240</x:v>
      </x:c>
      <x:c r="T832" s="15" t="n">
        <x:v>420045</x:v>
      </x:c>
      <x:c r="U832" s="16" t="n">
        <x:v>8151.47</x:v>
      </x:c>
      <x:c r="V832" t="str">
        <x:v>JTRE</x:v>
      </x:c>
      <x:c r="W832" t="str">
        <x:v>Ružinov</x:v>
      </x:c>
      <x:c r="X832" s="11" t="str">
        <x:v>Voľný</x:v>
      </x:c>
      <x:c r="Y832" s="11" t="str">
        <x:v>https://d-y.sk/byty/j23.05/</x:v>
      </x:c>
      <x:c r="Z832" s="11" t="n">
        <x:v>46252.68496519676</x:v>
      </x:c>
      <x:c r="AA832" s="11" t="n">
        <x:v>46254.51251577547</x:v>
      </x:c>
      <x:c r="AB832" s="11" t="n">
        <x:v>46254.51251577547</x:v>
      </x:c>
      <x:c r="AC832" t="str">
        <x:v>downtown_yards</x:v>
      </x:c>
    </x:row>
    <x:row r="833" ht="22" customHeight="1">
      <x:c r="A833" t="str">
        <x:v>Downtown Yards</x:v>
      </x:c>
      <x:c r="B833" t="str">
        <x:v>J23.06</x:v>
      </x:c>
      <x:c r="C833" t="str">
        <x:v>sold</x:v>
      </x:c>
      <x:c r="D833" t="str">
        <x:v>present</x:v>
      </x:c>
      <x:c r="E833" t="str">
        <x:v>baseline</x:v>
      </x:c>
      <x:c r="F833" s="11" t="n">
        <x:v>46252.68496519676</x:v>
      </x:c>
      <x:c r="G833" t="str">
        <x:v>flat</x:v>
      </x:c>
      <x:c r="H833" s="12" t="n">
        <x:v>2</x:v>
      </x:c>
      <x:c r="I833" s="13" t="n">
        <x:v>23</x:v>
      </x:c>
      <x:c r="J833" t="str">
        <x:v>J</x:v>
      </x:c>
      <x:c r="K833" s="14" t="n">
        <x:v>49.74</x:v>
      </x:c>
      <x:c r="L833" s="14"/>
      <x:c r="M833" s="14"/>
      <x:c r="N833" s="14"/>
      <x:c r="O833" s="14"/>
      <x:c r="P833" s="14" t="n">
        <x:v>6.58</x:v>
      </x:c>
      <x:c r="Q833" s="14" t="n">
        <x:v>56.32</x:v>
      </x:c>
      <x:c r="R833" s="15"/>
      <x:c r="S833" s="15"/>
      <x:c r="T833" s="15"/>
      <x:c r="U833" s="16"/>
      <x:c r="V833" t="str">
        <x:v>JTRE</x:v>
      </x:c>
      <x:c r="W833" t="str">
        <x:v>Ružinov</x:v>
      </x:c>
      <x:c r="X833" s="11" t="str">
        <x:v>Predaný</x:v>
      </x:c>
      <x:c r="Y833" s="11" t="str">
        <x:v>https://d-y.sk/byty/j23.06/</x:v>
      </x:c>
      <x:c r="Z833" s="11" t="n">
        <x:v>46252.68496519676</x:v>
      </x:c>
      <x:c r="AA833" s="11" t="n">
        <x:v>46254.51251577547</x:v>
      </x:c>
      <x:c r="AB833" s="11" t="n">
        <x:v>46254.51251577547</x:v>
      </x:c>
      <x:c r="AC833" t="str">
        <x:v>downtown_yards</x:v>
      </x:c>
    </x:row>
    <x:row r="834" ht="22" customHeight="1">
      <x:c r="A834" t="str">
        <x:v>Downtown Yards</x:v>
      </x:c>
      <x:c r="B834" t="str">
        <x:v>J23.07</x:v>
      </x:c>
      <x:c r="C834" t="str">
        <x:v>available</x:v>
      </x:c>
      <x:c r="D834" t="str">
        <x:v>present</x:v>
      </x:c>
      <x:c r="E834" t="str">
        <x:v>baseline</x:v>
      </x:c>
      <x:c r="F834" s="11" t="n">
        <x:v>46252.68496519676</x:v>
      </x:c>
      <x:c r="G834" t="str">
        <x:v>flat</x:v>
      </x:c>
      <x:c r="H834" s="12" t="n">
        <x:v>4</x:v>
      </x:c>
      <x:c r="I834" s="13" t="n">
        <x:v>23</x:v>
      </x:c>
      <x:c r="J834" t="str">
        <x:v>J</x:v>
      </x:c>
      <x:c r="K834" s="14" t="n">
        <x:v>111.35</x:v>
      </x:c>
      <x:c r="L834" s="14"/>
      <x:c r="M834" s="14"/>
      <x:c r="N834" s="14"/>
      <x:c r="O834" s="14"/>
      <x:c r="P834" s="14" t="n">
        <x:v>12.1</x:v>
      </x:c>
      <x:c r="Q834" s="14" t="n">
        <x:v>123.45</x:v>
      </x:c>
      <x:c r="R834" s="15" t="n">
        <x:v>961860</x:v>
      </x:c>
      <x:c r="S834" s="15" t="n">
        <x:v>1074651</x:v>
      </x:c>
      <x:c r="T834" s="15" t="n">
        <x:v>961860</x:v>
      </x:c>
      <x:c r="U834" s="16" t="n">
        <x:v>8638.17</x:v>
      </x:c>
      <x:c r="V834" t="str">
        <x:v>JTRE</x:v>
      </x:c>
      <x:c r="W834" t="str">
        <x:v>Ružinov</x:v>
      </x:c>
      <x:c r="X834" s="11" t="str">
        <x:v>Voľný</x:v>
      </x:c>
      <x:c r="Y834" s="11" t="str">
        <x:v>https://d-y.sk/byty/j23.07/</x:v>
      </x:c>
      <x:c r="Z834" s="11" t="n">
        <x:v>46252.68496519676</x:v>
      </x:c>
      <x:c r="AA834" s="11" t="n">
        <x:v>46254.51251577547</x:v>
      </x:c>
      <x:c r="AB834" s="11" t="n">
        <x:v>46254.51251577547</x:v>
      </x:c>
      <x:c r="AC834" t="str">
        <x:v>downtown_yards</x:v>
      </x:c>
    </x:row>
    <x:row r="835" ht="22" customHeight="1">
      <x:c r="A835" t="str">
        <x:v>Downtown Yards</x:v>
      </x:c>
      <x:c r="B835" t="str">
        <x:v>K02.01</x:v>
      </x:c>
      <x:c r="C835" t="str">
        <x:v>sold</x:v>
      </x:c>
      <x:c r="D835" t="str">
        <x:v>present</x:v>
      </x:c>
      <x:c r="E835" t="str">
        <x:v>baseline</x:v>
      </x:c>
      <x:c r="F835" s="11" t="n">
        <x:v>46252.68496519676</x:v>
      </x:c>
      <x:c r="G835" t="str">
        <x:v>apartment</x:v>
      </x:c>
      <x:c r="H835" s="12" t="n">
        <x:v>1</x:v>
      </x:c>
      <x:c r="I835" s="13" t="n">
        <x:v>2</x:v>
      </x:c>
      <x:c r="J835" t="str">
        <x:v>K</x:v>
      </x:c>
      <x:c r="K835" s="14" t="n">
        <x:v>28.48</x:v>
      </x:c>
      <x:c r="L835" s="14"/>
      <x:c r="M835" s="14"/>
      <x:c r="N835" s="14"/>
      <x:c r="O835" s="14"/>
      <x:c r="P835" s="14" t="n">
        <x:v>12.85</x:v>
      </x:c>
      <x:c r="Q835" s="14" t="n">
        <x:v>41.33</x:v>
      </x:c>
      <x:c r="R835" s="15"/>
      <x:c r="S835" s="15"/>
      <x:c r="T835" s="15"/>
      <x:c r="U835" s="16"/>
      <x:c r="V835" t="str">
        <x:v>JTRE</x:v>
      </x:c>
      <x:c r="W835" t="str">
        <x:v>Ružinov</x:v>
      </x:c>
      <x:c r="X835" s="11" t="str">
        <x:v>Predaný</x:v>
      </x:c>
      <x:c r="Y835" s="11" t="str">
        <x:v>https://d-y.sk/byty/k02.01/</x:v>
      </x:c>
      <x:c r="Z835" s="11" t="n">
        <x:v>46252.68496519676</x:v>
      </x:c>
      <x:c r="AA835" s="11" t="n">
        <x:v>46254.51251577547</x:v>
      </x:c>
      <x:c r="AB835" s="11" t="n">
        <x:v>46254.51251577547</x:v>
      </x:c>
      <x:c r="AC835" t="str">
        <x:v>downtown_yards</x:v>
      </x:c>
    </x:row>
    <x:row r="836" ht="22" customHeight="1">
      <x:c r="A836" t="str">
        <x:v>Downtown Yards</x:v>
      </x:c>
      <x:c r="B836" t="str">
        <x:v>K02.02</x:v>
      </x:c>
      <x:c r="C836" t="str">
        <x:v>available</x:v>
      </x:c>
      <x:c r="D836" t="str">
        <x:v>present</x:v>
      </x:c>
      <x:c r="E836" t="str">
        <x:v>baseline</x:v>
      </x:c>
      <x:c r="F836" s="11" t="n">
        <x:v>46252.68496519676</x:v>
      </x:c>
      <x:c r="G836" t="str">
        <x:v>apartment</x:v>
      </x:c>
      <x:c r="H836" s="12" t="n">
        <x:v>1</x:v>
      </x:c>
      <x:c r="I836" s="13" t="n">
        <x:v>2</x:v>
      </x:c>
      <x:c r="J836" t="str">
        <x:v>K</x:v>
      </x:c>
      <x:c r="K836" s="14" t="n">
        <x:v>31.68</x:v>
      </x:c>
      <x:c r="L836" s="14"/>
      <x:c r="M836" s="14"/>
      <x:c r="N836" s="14"/>
      <x:c r="O836" s="14"/>
      <x:c r="P836" s="14" t="n">
        <x:v>19.58</x:v>
      </x:c>
      <x:c r="Q836" s="14" t="n">
        <x:v>51.26</x:v>
      </x:c>
      <x:c r="R836" s="15" t="n">
        <x:v>283761</x:v>
      </x:c>
      <x:c r="S836" s="15" t="n">
        <x:v>308361</x:v>
      </x:c>
      <x:c r="T836" s="15" t="n">
        <x:v>283761</x:v>
      </x:c>
      <x:c r="U836" s="16" t="n">
        <x:v>8957.1</x:v>
      </x:c>
      <x:c r="V836" t="str">
        <x:v>JTRE</x:v>
      </x:c>
      <x:c r="W836" t="str">
        <x:v>Ružinov</x:v>
      </x:c>
      <x:c r="X836" s="11" t="str">
        <x:v>Voľný</x:v>
      </x:c>
      <x:c r="Y836" s="11" t="str">
        <x:v>https://d-y.sk/byty/k02.02/</x:v>
      </x:c>
      <x:c r="Z836" s="11" t="n">
        <x:v>46252.68496519676</x:v>
      </x:c>
      <x:c r="AA836" s="11" t="n">
        <x:v>46254.51251577547</x:v>
      </x:c>
      <x:c r="AB836" s="11" t="n">
        <x:v>46254.51251577547</x:v>
      </x:c>
      <x:c r="AC836" t="str">
        <x:v>downtown_yards</x:v>
      </x:c>
    </x:row>
    <x:row r="837" ht="22" customHeight="1">
      <x:c r="A837" t="str">
        <x:v>Downtown Yards</x:v>
      </x:c>
      <x:c r="B837" t="str">
        <x:v>K02.03</x:v>
      </x:c>
      <x:c r="C837" t="str">
        <x:v>sold</x:v>
      </x:c>
      <x:c r="D837" t="str">
        <x:v>present</x:v>
      </x:c>
      <x:c r="E837" t="str">
        <x:v>baseline</x:v>
      </x:c>
      <x:c r="F837" s="11" t="n">
        <x:v>46252.68496519676</x:v>
      </x:c>
      <x:c r="G837" t="str">
        <x:v>apartment</x:v>
      </x:c>
      <x:c r="H837" s="12" t="n">
        <x:v>2</x:v>
      </x:c>
      <x:c r="I837" s="13" t="n">
        <x:v>2</x:v>
      </x:c>
      <x:c r="J837" t="str">
        <x:v>K</x:v>
      </x:c>
      <x:c r="K837" s="14" t="n">
        <x:v>49.84</x:v>
      </x:c>
      <x:c r="L837" s="14"/>
      <x:c r="M837" s="14"/>
      <x:c r="N837" s="14"/>
      <x:c r="O837" s="14"/>
      <x:c r="P837" s="14" t="n">
        <x:v>6.56</x:v>
      </x:c>
      <x:c r="Q837" s="14" t="n">
        <x:v>56.4</x:v>
      </x:c>
      <x:c r="R837" s="15"/>
      <x:c r="S837" s="15"/>
      <x:c r="T837" s="15"/>
      <x:c r="U837" s="16"/>
      <x:c r="V837" t="str">
        <x:v>JTRE</x:v>
      </x:c>
      <x:c r="W837" t="str">
        <x:v>Ružinov</x:v>
      </x:c>
      <x:c r="X837" s="11" t="str">
        <x:v>Predaný</x:v>
      </x:c>
      <x:c r="Y837" s="11" t="str">
        <x:v>https://d-y.sk/byty/k02.03/</x:v>
      </x:c>
      <x:c r="Z837" s="11" t="n">
        <x:v>46252.68496519676</x:v>
      </x:c>
      <x:c r="AA837" s="11" t="n">
        <x:v>46254.51251577547</x:v>
      </x:c>
      <x:c r="AB837" s="11" t="n">
        <x:v>46254.51251577547</x:v>
      </x:c>
      <x:c r="AC837" t="str">
        <x:v>downtown_yards</x:v>
      </x:c>
    </x:row>
    <x:row r="838" ht="22" customHeight="1">
      <x:c r="A838" t="str">
        <x:v>Downtown Yards</x:v>
      </x:c>
      <x:c r="B838" t="str">
        <x:v>K02.04</x:v>
      </x:c>
      <x:c r="C838" t="str">
        <x:v>sold</x:v>
      </x:c>
      <x:c r="D838" t="str">
        <x:v>present</x:v>
      </x:c>
      <x:c r="E838" t="str">
        <x:v>baseline</x:v>
      </x:c>
      <x:c r="F838" s="11" t="n">
        <x:v>46252.68496519676</x:v>
      </x:c>
      <x:c r="G838" t="str">
        <x:v>apartment</x:v>
      </x:c>
      <x:c r="H838" s="12" t="n">
        <x:v>2</x:v>
      </x:c>
      <x:c r="I838" s="13" t="n">
        <x:v>2</x:v>
      </x:c>
      <x:c r="J838" t="str">
        <x:v>K</x:v>
      </x:c>
      <x:c r="K838" s="14" t="n">
        <x:v>45.96</x:v>
      </x:c>
      <x:c r="L838" s="14"/>
      <x:c r="M838" s="14"/>
      <x:c r="N838" s="14"/>
      <x:c r="O838" s="14"/>
      <x:c r="P838" s="14" t="n">
        <x:v>8.48</x:v>
      </x:c>
      <x:c r="Q838" s="14" t="n">
        <x:v>54.44</x:v>
      </x:c>
      <x:c r="R838" s="15"/>
      <x:c r="S838" s="15"/>
      <x:c r="T838" s="15"/>
      <x:c r="U838" s="16"/>
      <x:c r="V838" t="str">
        <x:v>JTRE</x:v>
      </x:c>
      <x:c r="W838" t="str">
        <x:v>Ružinov</x:v>
      </x:c>
      <x:c r="X838" s="11" t="str">
        <x:v>Predaný</x:v>
      </x:c>
      <x:c r="Y838" s="11" t="str">
        <x:v>https://d-y.sk/byty/k02.04/</x:v>
      </x:c>
      <x:c r="Z838" s="11" t="n">
        <x:v>46252.68496519676</x:v>
      </x:c>
      <x:c r="AA838" s="11" t="n">
        <x:v>46254.51251577547</x:v>
      </x:c>
      <x:c r="AB838" s="11" t="n">
        <x:v>46254.51251577547</x:v>
      </x:c>
      <x:c r="AC838" t="str">
        <x:v>downtown_yards</x:v>
      </x:c>
    </x:row>
    <x:row r="839" ht="22" customHeight="1">
      <x:c r="A839" t="str">
        <x:v>Downtown Yards</x:v>
      </x:c>
      <x:c r="B839" t="str">
        <x:v>K03.01</x:v>
      </x:c>
      <x:c r="C839" t="str">
        <x:v>sold</x:v>
      </x:c>
      <x:c r="D839" t="str">
        <x:v>present</x:v>
      </x:c>
      <x:c r="E839" t="str">
        <x:v>baseline</x:v>
      </x:c>
      <x:c r="F839" s="11" t="n">
        <x:v>46252.68496519676</x:v>
      </x:c>
      <x:c r="G839" t="str">
        <x:v>apartment</x:v>
      </x:c>
      <x:c r="H839" s="12" t="n">
        <x:v>1</x:v>
      </x:c>
      <x:c r="I839" s="13" t="n">
        <x:v>3</x:v>
      </x:c>
      <x:c r="J839" t="str">
        <x:v>K</x:v>
      </x:c>
      <x:c r="K839" s="14" t="n">
        <x:v>28.56</x:v>
      </x:c>
      <x:c r="L839" s="14"/>
      <x:c r="M839" s="14"/>
      <x:c r="N839" s="14"/>
      <x:c r="O839" s="14"/>
      <x:c r="P839" s="14" t="n">
        <x:v>3.86</x:v>
      </x:c>
      <x:c r="Q839" s="14" t="n">
        <x:v>32.42</x:v>
      </x:c>
      <x:c r="R839" s="15"/>
      <x:c r="S839" s="15"/>
      <x:c r="T839" s="15"/>
      <x:c r="U839" s="16"/>
      <x:c r="V839" t="str">
        <x:v>JTRE</x:v>
      </x:c>
      <x:c r="W839" t="str">
        <x:v>Ružinov</x:v>
      </x:c>
      <x:c r="X839" s="11" t="str">
        <x:v>Predaný</x:v>
      </x:c>
      <x:c r="Y839" s="11" t="str">
        <x:v>https://d-y.sk/byty/k03.01/</x:v>
      </x:c>
      <x:c r="Z839" s="11" t="n">
        <x:v>46252.68496519676</x:v>
      </x:c>
      <x:c r="AA839" s="11" t="n">
        <x:v>46254.51251577547</x:v>
      </x:c>
      <x:c r="AB839" s="11" t="n">
        <x:v>46254.51251577547</x:v>
      </x:c>
      <x:c r="AC839" t="str">
        <x:v>downtown_yards</x:v>
      </x:c>
    </x:row>
    <x:row r="840" ht="22" customHeight="1">
      <x:c r="A840" t="str">
        <x:v>Downtown Yards</x:v>
      </x:c>
      <x:c r="B840" t="str">
        <x:v>K03.02</x:v>
      </x:c>
      <x:c r="C840" t="str">
        <x:v>available</x:v>
      </x:c>
      <x:c r="D840" t="str">
        <x:v>present</x:v>
      </x:c>
      <x:c r="E840" t="str">
        <x:v>baseline</x:v>
      </x:c>
      <x:c r="F840" s="11" t="n">
        <x:v>46252.68496519676</x:v>
      </x:c>
      <x:c r="G840" t="str">
        <x:v>apartment</x:v>
      </x:c>
      <x:c r="H840" s="12" t="n">
        <x:v>1</x:v>
      </x:c>
      <x:c r="I840" s="13" t="n">
        <x:v>3</x:v>
      </x:c>
      <x:c r="J840" t="str">
        <x:v>K</x:v>
      </x:c>
      <x:c r="K840" s="14" t="n">
        <x:v>31.77</x:v>
      </x:c>
      <x:c r="L840" s="14"/>
      <x:c r="M840" s="14"/>
      <x:c r="N840" s="14"/>
      <x:c r="O840" s="14"/>
      <x:c r="P840" s="14" t="n">
        <x:v>4.7</x:v>
      </x:c>
      <x:c r="Q840" s="14" t="n">
        <x:v>36.47</x:v>
      </x:c>
      <x:c r="R840" s="15" t="n">
        <x:v>235545</x:v>
      </x:c>
      <x:c r="S840" s="15" t="n">
        <x:v>255963</x:v>
      </x:c>
      <x:c r="T840" s="15" t="n">
        <x:v>235545</x:v>
      </x:c>
      <x:c r="U840" s="16" t="n">
        <x:v>7414.07</x:v>
      </x:c>
      <x:c r="V840" t="str">
        <x:v>JTRE</x:v>
      </x:c>
      <x:c r="W840" t="str">
        <x:v>Ružinov</x:v>
      </x:c>
      <x:c r="X840" s="11" t="str">
        <x:v>Voľný</x:v>
      </x:c>
      <x:c r="Y840" s="11" t="str">
        <x:v>https://d-y.sk/byty/k03.02/</x:v>
      </x:c>
      <x:c r="Z840" s="11" t="n">
        <x:v>46252.68496519676</x:v>
      </x:c>
      <x:c r="AA840" s="11" t="n">
        <x:v>46254.51251577547</x:v>
      </x:c>
      <x:c r="AB840" s="11" t="n">
        <x:v>46254.51251577547</x:v>
      </x:c>
      <x:c r="AC840" t="str">
        <x:v>downtown_yards</x:v>
      </x:c>
    </x:row>
    <x:row r="841" ht="22" customHeight="1">
      <x:c r="A841" t="str">
        <x:v>Downtown Yards</x:v>
      </x:c>
      <x:c r="B841" t="str">
        <x:v>K03.03</x:v>
      </x:c>
      <x:c r="C841" t="str">
        <x:v>sold</x:v>
      </x:c>
      <x:c r="D841" t="str">
        <x:v>present</x:v>
      </x:c>
      <x:c r="E841" t="str">
        <x:v>baseline</x:v>
      </x:c>
      <x:c r="F841" s="11" t="n">
        <x:v>46252.68496519676</x:v>
      </x:c>
      <x:c r="G841" t="str">
        <x:v>apartment</x:v>
      </x:c>
      <x:c r="H841" s="12" t="n">
        <x:v>2</x:v>
      </x:c>
      <x:c r="I841" s="13" t="n">
        <x:v>3</x:v>
      </x:c>
      <x:c r="J841" t="str">
        <x:v>K</x:v>
      </x:c>
      <x:c r="K841" s="14" t="n">
        <x:v>50.2</x:v>
      </x:c>
      <x:c r="L841" s="14"/>
      <x:c r="M841" s="14"/>
      <x:c r="N841" s="14"/>
      <x:c r="O841" s="14"/>
      <x:c r="P841" s="14" t="n">
        <x:v>6.64</x:v>
      </x:c>
      <x:c r="Q841" s="14" t="n">
        <x:v>56.84</x:v>
      </x:c>
      <x:c r="R841" s="15"/>
      <x:c r="S841" s="15"/>
      <x:c r="T841" s="15"/>
      <x:c r="U841" s="16"/>
      <x:c r="V841" t="str">
        <x:v>JTRE</x:v>
      </x:c>
      <x:c r="W841" t="str">
        <x:v>Ružinov</x:v>
      </x:c>
      <x:c r="X841" s="11" t="str">
        <x:v>Predaný</x:v>
      </x:c>
      <x:c r="Y841" s="11" t="str">
        <x:v>https://d-y.sk/byty/k03.03/</x:v>
      </x:c>
      <x:c r="Z841" s="11" t="n">
        <x:v>46252.68496519676</x:v>
      </x:c>
      <x:c r="AA841" s="11" t="n">
        <x:v>46254.51251577547</x:v>
      </x:c>
      <x:c r="AB841" s="11" t="n">
        <x:v>46254.51251577547</x:v>
      </x:c>
      <x:c r="AC841" t="str">
        <x:v>downtown_yards</x:v>
      </x:c>
    </x:row>
    <x:row r="842" ht="22" customHeight="1">
      <x:c r="A842" t="str">
        <x:v>Downtown Yards</x:v>
      </x:c>
      <x:c r="B842" t="str">
        <x:v>K03.04</x:v>
      </x:c>
      <x:c r="C842" t="str">
        <x:v>sold</x:v>
      </x:c>
      <x:c r="D842" t="str">
        <x:v>present</x:v>
      </x:c>
      <x:c r="E842" t="str">
        <x:v>baseline</x:v>
      </x:c>
      <x:c r="F842" s="11" t="n">
        <x:v>46252.68496519676</x:v>
      </x:c>
      <x:c r="G842" t="str">
        <x:v>apartment</x:v>
      </x:c>
      <x:c r="H842" s="12" t="n">
        <x:v>2</x:v>
      </x:c>
      <x:c r="I842" s="13" t="n">
        <x:v>3</x:v>
      </x:c>
      <x:c r="J842" t="str">
        <x:v>K</x:v>
      </x:c>
      <x:c r="K842" s="14" t="n">
        <x:v>46.39</x:v>
      </x:c>
      <x:c r="L842" s="14"/>
      <x:c r="M842" s="14"/>
      <x:c r="N842" s="14"/>
      <x:c r="O842" s="14"/>
      <x:c r="P842" s="14" t="n">
        <x:v>8.44</x:v>
      </x:c>
      <x:c r="Q842" s="14" t="n">
        <x:v>54.83</x:v>
      </x:c>
      <x:c r="R842" s="15"/>
      <x:c r="S842" s="15"/>
      <x:c r="T842" s="15"/>
      <x:c r="U842" s="16"/>
      <x:c r="V842" t="str">
        <x:v>JTRE</x:v>
      </x:c>
      <x:c r="W842" t="str">
        <x:v>Ružinov</x:v>
      </x:c>
      <x:c r="X842" s="11" t="str">
        <x:v>Predaný</x:v>
      </x:c>
      <x:c r="Y842" s="11" t="str">
        <x:v>https://d-y.sk/byty/k03.04/</x:v>
      </x:c>
      <x:c r="Z842" s="11" t="n">
        <x:v>46252.68496519676</x:v>
      </x:c>
      <x:c r="AA842" s="11" t="n">
        <x:v>46254.51251577547</x:v>
      </x:c>
      <x:c r="AB842" s="11" t="n">
        <x:v>46254.51251577547</x:v>
      </x:c>
      <x:c r="AC842" t="str">
        <x:v>downtown_yards</x:v>
      </x:c>
    </x:row>
    <x:row r="843" ht="22" customHeight="1">
      <x:c r="A843" t="str">
        <x:v>Downtown Yards</x:v>
      </x:c>
      <x:c r="B843" t="str">
        <x:v>K04.01</x:v>
      </x:c>
      <x:c r="C843" t="str">
        <x:v>sold</x:v>
      </x:c>
      <x:c r="D843" t="str">
        <x:v>present</x:v>
      </x:c>
      <x:c r="E843" t="str">
        <x:v>baseline</x:v>
      </x:c>
      <x:c r="F843" s="11" t="n">
        <x:v>46252.68496519676</x:v>
      </x:c>
      <x:c r="G843" t="str">
        <x:v>apartment</x:v>
      </x:c>
      <x:c r="H843" s="12" t="n">
        <x:v>1</x:v>
      </x:c>
      <x:c r="I843" s="13" t="n">
        <x:v>4</x:v>
      </x:c>
      <x:c r="J843" t="str">
        <x:v>K</x:v>
      </x:c>
      <x:c r="K843" s="14" t="n">
        <x:v>28.57</x:v>
      </x:c>
      <x:c r="L843" s="14"/>
      <x:c r="M843" s="14"/>
      <x:c r="N843" s="14"/>
      <x:c r="O843" s="14"/>
      <x:c r="P843" s="14" t="n">
        <x:v>3.86</x:v>
      </x:c>
      <x:c r="Q843" s="14" t="n">
        <x:v>32.43</x:v>
      </x:c>
      <x:c r="R843" s="15"/>
      <x:c r="S843" s="15"/>
      <x:c r="T843" s="15"/>
      <x:c r="U843" s="16"/>
      <x:c r="V843" t="str">
        <x:v>JTRE</x:v>
      </x:c>
      <x:c r="W843" t="str">
        <x:v>Ružinov</x:v>
      </x:c>
      <x:c r="X843" s="11" t="str">
        <x:v>Predaný</x:v>
      </x:c>
      <x:c r="Y843" s="11" t="str">
        <x:v>https://d-y.sk/byty/k04.01/</x:v>
      </x:c>
      <x:c r="Z843" s="11" t="n">
        <x:v>46252.68496519676</x:v>
      </x:c>
      <x:c r="AA843" s="11" t="n">
        <x:v>46254.51251577547</x:v>
      </x:c>
      <x:c r="AB843" s="11" t="n">
        <x:v>46254.51251577547</x:v>
      </x:c>
      <x:c r="AC843" t="str">
        <x:v>downtown_yards</x:v>
      </x:c>
    </x:row>
    <x:row r="844" ht="22" customHeight="1">
      <x:c r="A844" t="str">
        <x:v>Downtown Yards</x:v>
      </x:c>
      <x:c r="B844" t="str">
        <x:v>K04.02</x:v>
      </x:c>
      <x:c r="C844" t="str">
        <x:v>pre_reserved</x:v>
      </x:c>
      <x:c r="D844" t="str">
        <x:v>present</x:v>
      </x:c>
      <x:c r="E844" t="str">
        <x:v>baseline</x:v>
      </x:c>
      <x:c r="F844" s="11" t="n">
        <x:v>46252.68496519676</x:v>
      </x:c>
      <x:c r="G844" t="str">
        <x:v>apartment</x:v>
      </x:c>
      <x:c r="H844" s="12" t="n">
        <x:v>1</x:v>
      </x:c>
      <x:c r="I844" s="13" t="n">
        <x:v>4</x:v>
      </x:c>
      <x:c r="J844" t="str">
        <x:v>K</x:v>
      </x:c>
      <x:c r="K844" s="14" t="n">
        <x:v>31.77</x:v>
      </x:c>
      <x:c r="L844" s="14"/>
      <x:c r="M844" s="14"/>
      <x:c r="N844" s="14"/>
      <x:c r="O844" s="14"/>
      <x:c r="P844" s="14" t="n">
        <x:v>4.7</x:v>
      </x:c>
      <x:c r="Q844" s="14" t="n">
        <x:v>36.47</x:v>
      </x:c>
      <x:c r="R844" s="15" t="n">
        <x:v>237390</x:v>
      </x:c>
      <x:c r="S844" s="15" t="n">
        <x:v>257931</x:v>
      </x:c>
      <x:c r="T844" s="15" t="n">
        <x:v>237390</x:v>
      </x:c>
      <x:c r="U844" s="16" t="n">
        <x:v>7472.14</x:v>
      </x:c>
      <x:c r="V844" t="str">
        <x:v>JTRE</x:v>
      </x:c>
      <x:c r="W844" t="str">
        <x:v>Ružinov</x:v>
      </x:c>
      <x:c r="X844" s="11" t="str">
        <x:v>Predrezervovaný</x:v>
      </x:c>
      <x:c r="Y844" s="11" t="str">
        <x:v>https://d-y.sk/byty/k04.02/</x:v>
      </x:c>
      <x:c r="Z844" s="11" t="n">
        <x:v>46252.68496519676</x:v>
      </x:c>
      <x:c r="AA844" s="11" t="n">
        <x:v>46254.51251577547</x:v>
      </x:c>
      <x:c r="AB844" s="11" t="n">
        <x:v>46254.51251577547</x:v>
      </x:c>
      <x:c r="AC844" t="str">
        <x:v>downtown_yards</x:v>
      </x:c>
    </x:row>
    <x:row r="845" ht="22" customHeight="1">
      <x:c r="A845" t="str">
        <x:v>Downtown Yards</x:v>
      </x:c>
      <x:c r="B845" t="str">
        <x:v>K04.03</x:v>
      </x:c>
      <x:c r="C845" t="str">
        <x:v>sold</x:v>
      </x:c>
      <x:c r="D845" t="str">
        <x:v>present</x:v>
      </x:c>
      <x:c r="E845" t="str">
        <x:v>baseline</x:v>
      </x:c>
      <x:c r="F845" s="11" t="n">
        <x:v>46252.68496519676</x:v>
      </x:c>
      <x:c r="G845" t="str">
        <x:v>apartment</x:v>
      </x:c>
      <x:c r="H845" s="12" t="n">
        <x:v>2</x:v>
      </x:c>
      <x:c r="I845" s="13" t="n">
        <x:v>4</x:v>
      </x:c>
      <x:c r="J845" t="str">
        <x:v>K</x:v>
      </x:c>
      <x:c r="K845" s="14" t="n">
        <x:v>50.2</x:v>
      </x:c>
      <x:c r="L845" s="14"/>
      <x:c r="M845" s="14"/>
      <x:c r="N845" s="14"/>
      <x:c r="O845" s="14"/>
      <x:c r="P845" s="14" t="n">
        <x:v>6.64</x:v>
      </x:c>
      <x:c r="Q845" s="14" t="n">
        <x:v>56.84</x:v>
      </x:c>
      <x:c r="R845" s="15"/>
      <x:c r="S845" s="15"/>
      <x:c r="T845" s="15"/>
      <x:c r="U845" s="16"/>
      <x:c r="V845" t="str">
        <x:v>JTRE</x:v>
      </x:c>
      <x:c r="W845" t="str">
        <x:v>Ružinov</x:v>
      </x:c>
      <x:c r="X845" s="11" t="str">
        <x:v>Predaný</x:v>
      </x:c>
      <x:c r="Y845" s="11" t="str">
        <x:v>https://d-y.sk/byty/k04.03/</x:v>
      </x:c>
      <x:c r="Z845" s="11" t="n">
        <x:v>46252.68496519676</x:v>
      </x:c>
      <x:c r="AA845" s="11" t="n">
        <x:v>46254.51251577547</x:v>
      </x:c>
      <x:c r="AB845" s="11" t="n">
        <x:v>46254.51251577547</x:v>
      </x:c>
      <x:c r="AC845" t="str">
        <x:v>downtown_yards</x:v>
      </x:c>
    </x:row>
    <x:row r="846" ht="22" customHeight="1">
      <x:c r="A846" t="str">
        <x:v>Downtown Yards</x:v>
      </x:c>
      <x:c r="B846" t="str">
        <x:v>K04.04</x:v>
      </x:c>
      <x:c r="C846" t="str">
        <x:v>sold</x:v>
      </x:c>
      <x:c r="D846" t="str">
        <x:v>present</x:v>
      </x:c>
      <x:c r="E846" t="str">
        <x:v>baseline</x:v>
      </x:c>
      <x:c r="F846" s="11" t="n">
        <x:v>46252.68496519676</x:v>
      </x:c>
      <x:c r="G846" t="str">
        <x:v>apartment</x:v>
      </x:c>
      <x:c r="H846" s="12" t="n">
        <x:v>2</x:v>
      </x:c>
      <x:c r="I846" s="13" t="n">
        <x:v>4</x:v>
      </x:c>
      <x:c r="J846" t="str">
        <x:v>K</x:v>
      </x:c>
      <x:c r="K846" s="14" t="n">
        <x:v>46.39</x:v>
      </x:c>
      <x:c r="L846" s="14"/>
      <x:c r="M846" s="14"/>
      <x:c r="N846" s="14"/>
      <x:c r="O846" s="14"/>
      <x:c r="P846" s="14" t="n">
        <x:v>8.44</x:v>
      </x:c>
      <x:c r="Q846" s="14" t="n">
        <x:v>54.83</x:v>
      </x:c>
      <x:c r="R846" s="15"/>
      <x:c r="S846" s="15"/>
      <x:c r="T846" s="15"/>
      <x:c r="U846" s="16"/>
      <x:c r="V846" t="str">
        <x:v>JTRE</x:v>
      </x:c>
      <x:c r="W846" t="str">
        <x:v>Ružinov</x:v>
      </x:c>
      <x:c r="X846" s="11" t="str">
        <x:v>Predaný</x:v>
      </x:c>
      <x:c r="Y846" s="11" t="str">
        <x:v>https://d-y.sk/byty/k04.04/</x:v>
      </x:c>
      <x:c r="Z846" s="11" t="n">
        <x:v>46252.68496519676</x:v>
      </x:c>
      <x:c r="AA846" s="11" t="n">
        <x:v>46254.51251577547</x:v>
      </x:c>
      <x:c r="AB846" s="11" t="n">
        <x:v>46254.51251577547</x:v>
      </x:c>
      <x:c r="AC846" t="str">
        <x:v>downtown_yards</x:v>
      </x:c>
    </x:row>
    <x:row r="847" ht="22" customHeight="1">
      <x:c r="A847" t="str">
        <x:v>Downtown Yards</x:v>
      </x:c>
      <x:c r="B847" t="str">
        <x:v>K05.01</x:v>
      </x:c>
      <x:c r="C847" t="str">
        <x:v>pre_reserved</x:v>
      </x:c>
      <x:c r="D847" t="str">
        <x:v>present</x:v>
      </x:c>
      <x:c r="E847" t="str">
        <x:v>baseline</x:v>
      </x:c>
      <x:c r="F847" s="11" t="n">
        <x:v>46252.68496519676</x:v>
      </x:c>
      <x:c r="G847" t="str">
        <x:v>apartment</x:v>
      </x:c>
      <x:c r="H847" s="12" t="n">
        <x:v>1</x:v>
      </x:c>
      <x:c r="I847" s="13" t="n">
        <x:v>5</x:v>
      </x:c>
      <x:c r="J847" t="str">
        <x:v>K</x:v>
      </x:c>
      <x:c r="K847" s="14" t="n">
        <x:v>28.57</x:v>
      </x:c>
      <x:c r="L847" s="14"/>
      <x:c r="M847" s="14"/>
      <x:c r="N847" s="14"/>
      <x:c r="O847" s="14"/>
      <x:c r="P847" s="14" t="n">
        <x:v>3.86</x:v>
      </x:c>
      <x:c r="Q847" s="14" t="n">
        <x:v>32.43</x:v>
      </x:c>
      <x:c r="R847" s="15" t="n">
        <x:v>212421</x:v>
      </x:c>
      <x:c r="S847" s="15" t="n">
        <x:v>230871</x:v>
      </x:c>
      <x:c r="T847" s="15" t="n">
        <x:v>212421</x:v>
      </x:c>
      <x:c r="U847" s="16" t="n">
        <x:v>7435.11</x:v>
      </x:c>
      <x:c r="V847" t="str">
        <x:v>JTRE</x:v>
      </x:c>
      <x:c r="W847" t="str">
        <x:v>Ružinov</x:v>
      </x:c>
      <x:c r="X847" s="11" t="str">
        <x:v>Predrezervovaný</x:v>
      </x:c>
      <x:c r="Y847" s="11" t="str">
        <x:v>https://d-y.sk/byty/k05.01/</x:v>
      </x:c>
      <x:c r="Z847" s="11" t="n">
        <x:v>46252.68496519676</x:v>
      </x:c>
      <x:c r="AA847" s="11" t="n">
        <x:v>46254.51251577547</x:v>
      </x:c>
      <x:c r="AB847" s="11" t="n">
        <x:v>46254.51251577547</x:v>
      </x:c>
      <x:c r="AC847" t="str">
        <x:v>downtown_yards</x:v>
      </x:c>
    </x:row>
    <x:row r="848" ht="22" customHeight="1">
      <x:c r="A848" t="str">
        <x:v>Downtown Yards</x:v>
      </x:c>
      <x:c r="B848" t="str">
        <x:v>K05.02</x:v>
      </x:c>
      <x:c r="C848" t="str">
        <x:v>sold</x:v>
      </x:c>
      <x:c r="D848" t="str">
        <x:v>present</x:v>
      </x:c>
      <x:c r="E848" t="str">
        <x:v>baseline</x:v>
      </x:c>
      <x:c r="F848" s="11" t="n">
        <x:v>46252.68496519676</x:v>
      </x:c>
      <x:c r="G848" t="str">
        <x:v>apartment</x:v>
      </x:c>
      <x:c r="H848" s="12" t="n">
        <x:v>1</x:v>
      </x:c>
      <x:c r="I848" s="13" t="n">
        <x:v>5</x:v>
      </x:c>
      <x:c r="J848" t="str">
        <x:v>K</x:v>
      </x:c>
      <x:c r="K848" s="14" t="n">
        <x:v>31.77</x:v>
      </x:c>
      <x:c r="L848" s="14"/>
      <x:c r="M848" s="14"/>
      <x:c r="N848" s="14"/>
      <x:c r="O848" s="14"/>
      <x:c r="P848" s="14" t="n">
        <x:v>4.7</x:v>
      </x:c>
      <x:c r="Q848" s="14" t="n">
        <x:v>36.47</x:v>
      </x:c>
      <x:c r="R848" s="15"/>
      <x:c r="S848" s="15"/>
      <x:c r="T848" s="15"/>
      <x:c r="U848" s="16"/>
      <x:c r="V848" t="str">
        <x:v>JTRE</x:v>
      </x:c>
      <x:c r="W848" t="str">
        <x:v>Ružinov</x:v>
      </x:c>
      <x:c r="X848" s="11" t="str">
        <x:v>Predaný</x:v>
      </x:c>
      <x:c r="Y848" s="11" t="str">
        <x:v>https://d-y.sk/byty/k05.02/</x:v>
      </x:c>
      <x:c r="Z848" s="11" t="n">
        <x:v>46252.68496519676</x:v>
      </x:c>
      <x:c r="AA848" s="11" t="n">
        <x:v>46254.51251577547</x:v>
      </x:c>
      <x:c r="AB848" s="11" t="n">
        <x:v>46254.51251577547</x:v>
      </x:c>
      <x:c r="AC848" t="str">
        <x:v>downtown_yards</x:v>
      </x:c>
    </x:row>
    <x:row r="849" ht="22" customHeight="1">
      <x:c r="A849" t="str">
        <x:v>Downtown Yards</x:v>
      </x:c>
      <x:c r="B849" t="str">
        <x:v>K05.03</x:v>
      </x:c>
      <x:c r="C849" t="str">
        <x:v>sold</x:v>
      </x:c>
      <x:c r="D849" t="str">
        <x:v>present</x:v>
      </x:c>
      <x:c r="E849" t="str">
        <x:v>baseline</x:v>
      </x:c>
      <x:c r="F849" s="11" t="n">
        <x:v>46252.68496519676</x:v>
      </x:c>
      <x:c r="G849" t="str">
        <x:v>apartment</x:v>
      </x:c>
      <x:c r="H849" s="12" t="n">
        <x:v>2</x:v>
      </x:c>
      <x:c r="I849" s="13" t="n">
        <x:v>5</x:v>
      </x:c>
      <x:c r="J849" t="str">
        <x:v>K</x:v>
      </x:c>
      <x:c r="K849" s="14" t="n">
        <x:v>50.2</x:v>
      </x:c>
      <x:c r="L849" s="14"/>
      <x:c r="M849" s="14"/>
      <x:c r="N849" s="14"/>
      <x:c r="O849" s="14"/>
      <x:c r="P849" s="14" t="n">
        <x:v>6.64</x:v>
      </x:c>
      <x:c r="Q849" s="14" t="n">
        <x:v>56.84</x:v>
      </x:c>
      <x:c r="R849" s="15"/>
      <x:c r="S849" s="15"/>
      <x:c r="T849" s="15"/>
      <x:c r="U849" s="16"/>
      <x:c r="V849" t="str">
        <x:v>JTRE</x:v>
      </x:c>
      <x:c r="W849" t="str">
        <x:v>Ružinov</x:v>
      </x:c>
      <x:c r="X849" s="11" t="str">
        <x:v>Predaný</x:v>
      </x:c>
      <x:c r="Y849" s="11" t="str">
        <x:v>https://d-y.sk/byty/k05.03/</x:v>
      </x:c>
      <x:c r="Z849" s="11" t="n">
        <x:v>46252.68496519676</x:v>
      </x:c>
      <x:c r="AA849" s="11" t="n">
        <x:v>46254.51251577547</x:v>
      </x:c>
      <x:c r="AB849" s="11" t="n">
        <x:v>46254.51251577547</x:v>
      </x:c>
      <x:c r="AC849" t="str">
        <x:v>downtown_yards</x:v>
      </x:c>
    </x:row>
    <x:row r="850" ht="22" customHeight="1">
      <x:c r="A850" t="str">
        <x:v>Downtown Yards</x:v>
      </x:c>
      <x:c r="B850" t="str">
        <x:v>K05.04</x:v>
      </x:c>
      <x:c r="C850" t="str">
        <x:v>sold</x:v>
      </x:c>
      <x:c r="D850" t="str">
        <x:v>present</x:v>
      </x:c>
      <x:c r="E850" t="str">
        <x:v>baseline</x:v>
      </x:c>
      <x:c r="F850" s="11" t="n">
        <x:v>46252.68496519676</x:v>
      </x:c>
      <x:c r="G850" t="str">
        <x:v>apartment</x:v>
      </x:c>
      <x:c r="H850" s="12" t="n">
        <x:v>2</x:v>
      </x:c>
      <x:c r="I850" s="13" t="n">
        <x:v>5</x:v>
      </x:c>
      <x:c r="J850" t="str">
        <x:v>K</x:v>
      </x:c>
      <x:c r="K850" s="14" t="n">
        <x:v>46.39</x:v>
      </x:c>
      <x:c r="L850" s="14"/>
      <x:c r="M850" s="14"/>
      <x:c r="N850" s="14"/>
      <x:c r="O850" s="14"/>
      <x:c r="P850" s="14" t="n">
        <x:v>8.44</x:v>
      </x:c>
      <x:c r="Q850" s="14" t="n">
        <x:v>54.83</x:v>
      </x:c>
      <x:c r="R850" s="15"/>
      <x:c r="S850" s="15"/>
      <x:c r="T850" s="15"/>
      <x:c r="U850" s="16"/>
      <x:c r="V850" t="str">
        <x:v>JTRE</x:v>
      </x:c>
      <x:c r="W850" t="str">
        <x:v>Ružinov</x:v>
      </x:c>
      <x:c r="X850" s="11" t="str">
        <x:v>Predaný</x:v>
      </x:c>
      <x:c r="Y850" s="11" t="str">
        <x:v>https://d-y.sk/byty/k05.04/</x:v>
      </x:c>
      <x:c r="Z850" s="11" t="n">
        <x:v>46252.68496519676</x:v>
      </x:c>
      <x:c r="AA850" s="11" t="n">
        <x:v>46254.51251577547</x:v>
      </x:c>
      <x:c r="AB850" s="11" t="n">
        <x:v>46254.51251577547</x:v>
      </x:c>
      <x:c r="AC850" t="str">
        <x:v>downtown_yards</x:v>
      </x:c>
    </x:row>
    <x:row r="851" ht="22" customHeight="1">
      <x:c r="A851" t="str">
        <x:v>Downtown Yards</x:v>
      </x:c>
      <x:c r="B851" t="str">
        <x:v>L02.01</x:v>
      </x:c>
      <x:c r="C851" t="str">
        <x:v>available</x:v>
      </x:c>
      <x:c r="D851" t="str">
        <x:v>present</x:v>
      </x:c>
      <x:c r="E851" t="str">
        <x:v>baseline</x:v>
      </x:c>
      <x:c r="F851" s="11" t="n">
        <x:v>46252.68496519676</x:v>
      </x:c>
      <x:c r="G851" t="str">
        <x:v>flat</x:v>
      </x:c>
      <x:c r="H851" s="12" t="n">
        <x:v>3</x:v>
      </x:c>
      <x:c r="I851" s="13" t="n">
        <x:v>2</x:v>
      </x:c>
      <x:c r="J851" t="str">
        <x:v>L</x:v>
      </x:c>
      <x:c r="K851" s="14" t="n">
        <x:v>73.25</x:v>
      </x:c>
      <x:c r="L851" s="14"/>
      <x:c r="M851" s="14"/>
      <x:c r="N851" s="14"/>
      <x:c r="O851" s="14"/>
      <x:c r="P851" s="14" t="n">
        <x:v>34.37</x:v>
      </x:c>
      <x:c r="Q851" s="14" t="n">
        <x:v>107.62</x:v>
      </x:c>
      <x:c r="R851" s="15" t="n">
        <x:v>570720</x:v>
      </x:c>
      <x:c r="S851" s="15" t="n">
        <x:v>630498</x:v>
      </x:c>
      <x:c r="T851" s="15" t="n">
        <x:v>570720</x:v>
      </x:c>
      <x:c r="U851" s="16" t="n">
        <x:v>7791.4</x:v>
      </x:c>
      <x:c r="V851" t="str">
        <x:v>JTRE</x:v>
      </x:c>
      <x:c r="W851" t="str">
        <x:v>Ružinov</x:v>
      </x:c>
      <x:c r="X851" s="11" t="str">
        <x:v>Voľný</x:v>
      </x:c>
      <x:c r="Y851" s="11" t="str">
        <x:v>https://d-y.sk/byty/l02.01/</x:v>
      </x:c>
      <x:c r="Z851" s="11" t="n">
        <x:v>46252.68496519676</x:v>
      </x:c>
      <x:c r="AA851" s="11" t="n">
        <x:v>46254.51251577547</x:v>
      </x:c>
      <x:c r="AB851" s="11" t="n">
        <x:v>46254.51251577547</x:v>
      </x:c>
      <x:c r="AC851" t="str">
        <x:v>downtown_yards</x:v>
      </x:c>
    </x:row>
    <x:row r="852" ht="22" customHeight="1">
      <x:c r="A852" t="str">
        <x:v>Downtown Yards</x:v>
      </x:c>
      <x:c r="B852" t="str">
        <x:v>L02.02</x:v>
      </x:c>
      <x:c r="C852" t="str">
        <x:v>pre_reserved</x:v>
      </x:c>
      <x:c r="D852" t="str">
        <x:v>present</x:v>
      </x:c>
      <x:c r="E852" t="str">
        <x:v>baseline</x:v>
      </x:c>
      <x:c r="F852" s="11" t="n">
        <x:v>46252.68496519676</x:v>
      </x:c>
      <x:c r="G852" t="str">
        <x:v>flat</x:v>
      </x:c>
      <x:c r="H852" s="12" t="n">
        <x:v>3</x:v>
      </x:c>
      <x:c r="I852" s="13" t="n">
        <x:v>2</x:v>
      </x:c>
      <x:c r="J852" t="str">
        <x:v>L</x:v>
      </x:c>
      <x:c r="K852" s="14" t="n">
        <x:v>73.2</x:v>
      </x:c>
      <x:c r="L852" s="14"/>
      <x:c r="M852" s="14"/>
      <x:c r="N852" s="14"/>
      <x:c r="O852" s="14"/>
      <x:c r="P852" s="14" t="n">
        <x:v>34.08</x:v>
      </x:c>
      <x:c r="Q852" s="14" t="n">
        <x:v>107.28</x:v>
      </x:c>
      <x:c r="R852" s="15" t="n">
        <x:v>564078</x:v>
      </x:c>
      <x:c r="S852" s="15" t="n">
        <x:v>623241</x:v>
      </x:c>
      <x:c r="T852" s="15" t="n">
        <x:v>564078</x:v>
      </x:c>
      <x:c r="U852" s="16" t="n">
        <x:v>7705.98</x:v>
      </x:c>
      <x:c r="V852" t="str">
        <x:v>JTRE</x:v>
      </x:c>
      <x:c r="W852" t="str">
        <x:v>Ružinov</x:v>
      </x:c>
      <x:c r="X852" s="11" t="str">
        <x:v>Predrezervovaný</x:v>
      </x:c>
      <x:c r="Y852" s="11" t="str">
        <x:v>https://d-y.sk/byty/l02.02/</x:v>
      </x:c>
      <x:c r="Z852" s="11" t="n">
        <x:v>46252.68496519676</x:v>
      </x:c>
      <x:c r="AA852" s="11" t="n">
        <x:v>46254.51251577547</x:v>
      </x:c>
      <x:c r="AB852" s="11" t="n">
        <x:v>46254.51251577547</x:v>
      </x:c>
      <x:c r="AC852" t="str">
        <x:v>downtown_yards</x:v>
      </x:c>
    </x:row>
    <x:row r="853" ht="22" customHeight="1">
      <x:c r="A853" t="str">
        <x:v>Downtown Yards</x:v>
      </x:c>
      <x:c r="B853" t="str">
        <x:v>L02.03</x:v>
      </x:c>
      <x:c r="C853" t="str">
        <x:v>sold</x:v>
      </x:c>
      <x:c r="D853" t="str">
        <x:v>present</x:v>
      </x:c>
      <x:c r="E853" t="str">
        <x:v>baseline</x:v>
      </x:c>
      <x:c r="F853" s="11" t="n">
        <x:v>46252.68496519676</x:v>
      </x:c>
      <x:c r="G853" t="str">
        <x:v>flat</x:v>
      </x:c>
      <x:c r="H853" s="12" t="n">
        <x:v>2</x:v>
      </x:c>
      <x:c r="I853" s="13" t="n">
        <x:v>2</x:v>
      </x:c>
      <x:c r="J853" t="str">
        <x:v>L</x:v>
      </x:c>
      <x:c r="K853" s="14" t="n">
        <x:v>55.18</x:v>
      </x:c>
      <x:c r="L853" s="14"/>
      <x:c r="M853" s="14"/>
      <x:c r="N853" s="14"/>
      <x:c r="O853" s="14"/>
      <x:c r="P853" s="14" t="n">
        <x:v>6.58</x:v>
      </x:c>
      <x:c r="Q853" s="14" t="n">
        <x:v>61.76</x:v>
      </x:c>
      <x:c r="R853" s="15"/>
      <x:c r="S853" s="15"/>
      <x:c r="T853" s="15"/>
      <x:c r="U853" s="16"/>
      <x:c r="V853" t="str">
        <x:v>JTRE</x:v>
      </x:c>
      <x:c r="W853" t="str">
        <x:v>Ružinov</x:v>
      </x:c>
      <x:c r="X853" s="11" t="str">
        <x:v>Predaný</x:v>
      </x:c>
      <x:c r="Y853" s="11" t="str">
        <x:v>https://d-y.sk/byty/l02.03/</x:v>
      </x:c>
      <x:c r="Z853" s="11" t="n">
        <x:v>46252.68496519676</x:v>
      </x:c>
      <x:c r="AA853" s="11" t="n">
        <x:v>46254.51251577547</x:v>
      </x:c>
      <x:c r="AB853" s="11" t="n">
        <x:v>46254.51251577547</x:v>
      </x:c>
      <x:c r="AC853" t="str">
        <x:v>downtown_yards</x:v>
      </x:c>
    </x:row>
    <x:row r="854" ht="22" customHeight="1">
      <x:c r="A854" t="str">
        <x:v>Downtown Yards</x:v>
      </x:c>
      <x:c r="B854" t="str">
        <x:v>L02.04</x:v>
      </x:c>
      <x:c r="C854" t="str">
        <x:v>available</x:v>
      </x:c>
      <x:c r="D854" t="str">
        <x:v>present</x:v>
      </x:c>
      <x:c r="E854" t="str">
        <x:v>baseline</x:v>
      </x:c>
      <x:c r="F854" s="11" t="n">
        <x:v>46252.68496519676</x:v>
      </x:c>
      <x:c r="G854" t="str">
        <x:v>flat</x:v>
      </x:c>
      <x:c r="H854" s="12" t="n">
        <x:v>2</x:v>
      </x:c>
      <x:c r="I854" s="13" t="n">
        <x:v>2</x:v>
      </x:c>
      <x:c r="J854" t="str">
        <x:v>L</x:v>
      </x:c>
      <x:c r="K854" s="14" t="n">
        <x:v>51.94</x:v>
      </x:c>
      <x:c r="L854" s="14"/>
      <x:c r="M854" s="14"/>
      <x:c r="N854" s="14"/>
      <x:c r="O854" s="14"/>
      <x:c r="P854" s="14" t="n">
        <x:v>6.52</x:v>
      </x:c>
      <x:c r="Q854" s="14" t="n">
        <x:v>58.46</x:v>
      </x:c>
      <x:c r="R854" s="15" t="n">
        <x:v>325704</x:v>
      </x:c>
      <x:c r="S854" s="15" t="n">
        <x:v>376503</x:v>
      </x:c>
      <x:c r="T854" s="15" t="n">
        <x:v>325704</x:v>
      </x:c>
      <x:c r="U854" s="16" t="n">
        <x:v>6270.77</x:v>
      </x:c>
      <x:c r="V854" t="str">
        <x:v>JTRE</x:v>
      </x:c>
      <x:c r="W854" t="str">
        <x:v>Ružinov</x:v>
      </x:c>
      <x:c r="X854" s="11" t="str">
        <x:v>Voľný</x:v>
      </x:c>
      <x:c r="Y854" s="11" t="str">
        <x:v>https://d-y.sk/byty/l02.04/</x:v>
      </x:c>
      <x:c r="Z854" s="11" t="n">
        <x:v>46252.68496519676</x:v>
      </x:c>
      <x:c r="AA854" s="11" t="n">
        <x:v>46254.51251577547</x:v>
      </x:c>
      <x:c r="AB854" s="11" t="n">
        <x:v>46254.51251577547</x:v>
      </x:c>
      <x:c r="AC854" t="str">
        <x:v>downtown_yards</x:v>
      </x:c>
    </x:row>
    <x:row r="855" ht="22" customHeight="1">
      <x:c r="A855" t="str">
        <x:v>Downtown Yards</x:v>
      </x:c>
      <x:c r="B855" t="str">
        <x:v>L02.05</x:v>
      </x:c>
      <x:c r="C855" t="str">
        <x:v>available</x:v>
      </x:c>
      <x:c r="D855" t="str">
        <x:v>present</x:v>
      </x:c>
      <x:c r="E855" t="str">
        <x:v>baseline</x:v>
      </x:c>
      <x:c r="F855" s="11" t="n">
        <x:v>46252.68496519676</x:v>
      </x:c>
      <x:c r="G855" t="str">
        <x:v>flat</x:v>
      </x:c>
      <x:c r="H855" s="12" t="n">
        <x:v>2</x:v>
      </x:c>
      <x:c r="I855" s="13" t="n">
        <x:v>2</x:v>
      </x:c>
      <x:c r="J855" t="str">
        <x:v>L</x:v>
      </x:c>
      <x:c r="K855" s="14" t="n">
        <x:v>60.92</x:v>
      </x:c>
      <x:c r="L855" s="14"/>
      <x:c r="M855" s="14"/>
      <x:c r="N855" s="14"/>
      <x:c r="O855" s="14"/>
      <x:c r="P855" s="14" t="n">
        <x:v>6.91</x:v>
      </x:c>
      <x:c r="Q855" s="14" t="n">
        <x:v>67.83</x:v>
      </x:c>
      <x:c r="R855" s="15" t="n">
        <x:v>347721</x:v>
      </x:c>
      <x:c r="S855" s="15" t="n">
        <x:v>401964</x:v>
      </x:c>
      <x:c r="T855" s="15" t="n">
        <x:v>347721</x:v>
      </x:c>
      <x:c r="U855" s="16" t="n">
        <x:v>5707.83</x:v>
      </x:c>
      <x:c r="V855" t="str">
        <x:v>JTRE</x:v>
      </x:c>
      <x:c r="W855" t="str">
        <x:v>Ružinov</x:v>
      </x:c>
      <x:c r="X855" s="11" t="str">
        <x:v>Voľný</x:v>
      </x:c>
      <x:c r="Y855" s="11" t="str">
        <x:v>https://d-y.sk/byty/l02.05/</x:v>
      </x:c>
      <x:c r="Z855" s="11" t="n">
        <x:v>46252.68496519676</x:v>
      </x:c>
      <x:c r="AA855" s="11" t="n">
        <x:v>46254.51251577547</x:v>
      </x:c>
      <x:c r="AB855" s="11" t="n">
        <x:v>46254.51251577547</x:v>
      </x:c>
      <x:c r="AC855" t="str">
        <x:v>downtown_yards</x:v>
      </x:c>
    </x:row>
    <x:row r="856" ht="22" customHeight="1">
      <x:c r="A856" t="str">
        <x:v>Downtown Yards</x:v>
      </x:c>
      <x:c r="B856" t="str">
        <x:v>L03.01</x:v>
      </x:c>
      <x:c r="C856" t="str">
        <x:v>available</x:v>
      </x:c>
      <x:c r="D856" t="str">
        <x:v>present</x:v>
      </x:c>
      <x:c r="E856" t="str">
        <x:v>baseline</x:v>
      </x:c>
      <x:c r="F856" s="11" t="n">
        <x:v>46252.68496519676</x:v>
      </x:c>
      <x:c r="G856" t="str">
        <x:v>flat</x:v>
      </x:c>
      <x:c r="H856" s="12" t="n">
        <x:v>3</x:v>
      </x:c>
      <x:c r="I856" s="13" t="n">
        <x:v>3</x:v>
      </x:c>
      <x:c r="J856" t="str">
        <x:v>L</x:v>
      </x:c>
      <x:c r="K856" s="14" t="n">
        <x:v>75</x:v>
      </x:c>
      <x:c r="L856" s="14"/>
      <x:c r="M856" s="14"/>
      <x:c r="N856" s="14"/>
      <x:c r="O856" s="14"/>
      <x:c r="P856" s="14" t="n">
        <x:v>13.08</x:v>
      </x:c>
      <x:c r="Q856" s="14" t="n">
        <x:v>88.08</x:v>
      </x:c>
      <x:c r="R856" s="15" t="n">
        <x:v>519183</x:v>
      </x:c>
      <x:c r="S856" s="15" t="n">
        <x:v>573549</x:v>
      </x:c>
      <x:c r="T856" s="15" t="n">
        <x:v>519183</x:v>
      </x:c>
      <x:c r="U856" s="16" t="n">
        <x:v>6922.44</x:v>
      </x:c>
      <x:c r="V856" t="str">
        <x:v>JTRE</x:v>
      </x:c>
      <x:c r="W856" t="str">
        <x:v>Ružinov</x:v>
      </x:c>
      <x:c r="X856" s="11" t="str">
        <x:v>Voľný</x:v>
      </x:c>
      <x:c r="Y856" s="11" t="str">
        <x:v>https://d-y.sk/byty/l03.01/</x:v>
      </x:c>
      <x:c r="Z856" s="11" t="n">
        <x:v>46252.68496519676</x:v>
      </x:c>
      <x:c r="AA856" s="11" t="n">
        <x:v>46254.51251577547</x:v>
      </x:c>
      <x:c r="AB856" s="11" t="n">
        <x:v>46254.51251577547</x:v>
      </x:c>
      <x:c r="AC856" t="str">
        <x:v>downtown_yards</x:v>
      </x:c>
    </x:row>
    <x:row r="857" ht="22" customHeight="1">
      <x:c r="A857" t="str">
        <x:v>Downtown Yards</x:v>
      </x:c>
      <x:c r="B857" t="str">
        <x:v>L03.02</x:v>
      </x:c>
      <x:c r="C857" t="str">
        <x:v>available</x:v>
      </x:c>
      <x:c r="D857" t="str">
        <x:v>present</x:v>
      </x:c>
      <x:c r="E857" t="str">
        <x:v>baseline</x:v>
      </x:c>
      <x:c r="F857" s="11" t="n">
        <x:v>46252.68496519676</x:v>
      </x:c>
      <x:c r="G857" t="str">
        <x:v>flat</x:v>
      </x:c>
      <x:c r="H857" s="12" t="n">
        <x:v>3</x:v>
      </x:c>
      <x:c r="I857" s="13" t="n">
        <x:v>3</x:v>
      </x:c>
      <x:c r="J857" t="str">
        <x:v>L</x:v>
      </x:c>
      <x:c r="K857" s="14" t="n">
        <x:v>74.95</x:v>
      </x:c>
      <x:c r="L857" s="14"/>
      <x:c r="M857" s="14"/>
      <x:c r="N857" s="14"/>
      <x:c r="O857" s="14"/>
      <x:c r="P857" s="14" t="n">
        <x:v>13.09</x:v>
      </x:c>
      <x:c r="Q857" s="14" t="n">
        <x:v>88.04</x:v>
      </x:c>
      <x:c r="R857" s="15" t="n">
        <x:v>514140</x:v>
      </x:c>
      <x:c r="S857" s="15" t="n">
        <x:v>568014</x:v>
      </x:c>
      <x:c r="T857" s="15" t="n">
        <x:v>514140</x:v>
      </x:c>
      <x:c r="U857" s="16" t="n">
        <x:v>6859.77</x:v>
      </x:c>
      <x:c r="V857" t="str">
        <x:v>JTRE</x:v>
      </x:c>
      <x:c r="W857" t="str">
        <x:v>Ružinov</x:v>
      </x:c>
      <x:c r="X857" s="11" t="str">
        <x:v>Voľný</x:v>
      </x:c>
      <x:c r="Y857" s="11" t="str">
        <x:v>https://d-y.sk/byty/l03.02/</x:v>
      </x:c>
      <x:c r="Z857" s="11" t="n">
        <x:v>46252.68496519676</x:v>
      </x:c>
      <x:c r="AA857" s="11" t="n">
        <x:v>46254.51251577547</x:v>
      </x:c>
      <x:c r="AB857" s="11" t="n">
        <x:v>46254.51251577547</x:v>
      </x:c>
      <x:c r="AC857" t="str">
        <x:v>downtown_yards</x:v>
      </x:c>
    </x:row>
    <x:row r="858" ht="22" customHeight="1">
      <x:c r="A858" t="str">
        <x:v>Downtown Yards</x:v>
      </x:c>
      <x:c r="B858" t="str">
        <x:v>L03.03</x:v>
      </x:c>
      <x:c r="C858" t="str">
        <x:v>available</x:v>
      </x:c>
      <x:c r="D858" t="str">
        <x:v>present</x:v>
      </x:c>
      <x:c r="E858" t="str">
        <x:v>baseline</x:v>
      </x:c>
      <x:c r="F858" s="11" t="n">
        <x:v>46252.68496519676</x:v>
      </x:c>
      <x:c r="G858" t="str">
        <x:v>flat</x:v>
      </x:c>
      <x:c r="H858" s="12" t="n">
        <x:v>2</x:v>
      </x:c>
      <x:c r="I858" s="13" t="n">
        <x:v>3</x:v>
      </x:c>
      <x:c r="J858" t="str">
        <x:v>L</x:v>
      </x:c>
      <x:c r="K858" s="14" t="n">
        <x:v>55.63</x:v>
      </x:c>
      <x:c r="L858" s="14"/>
      <x:c r="M858" s="14"/>
      <x:c r="N858" s="14"/>
      <x:c r="O858" s="14"/>
      <x:c r="P858" s="14" t="n">
        <x:v>6.58</x:v>
      </x:c>
      <x:c r="Q858" s="14" t="n">
        <x:v>62.21</x:v>
      </x:c>
      <x:c r="R858" s="15" t="n">
        <x:v>343293</x:v>
      </x:c>
      <x:c r="S858" s="15" t="n">
        <x:v>396798</x:v>
      </x:c>
      <x:c r="T858" s="15" t="n">
        <x:v>343293</x:v>
      </x:c>
      <x:c r="U858" s="16" t="n">
        <x:v>6171</x:v>
      </x:c>
      <x:c r="V858" t="str">
        <x:v>JTRE</x:v>
      </x:c>
      <x:c r="W858" t="str">
        <x:v>Ružinov</x:v>
      </x:c>
      <x:c r="X858" s="11" t="str">
        <x:v>Voľný</x:v>
      </x:c>
      <x:c r="Y858" s="11" t="str">
        <x:v>https://d-y.sk/byty/l03.03/</x:v>
      </x:c>
      <x:c r="Z858" s="11" t="n">
        <x:v>46252.68496519676</x:v>
      </x:c>
      <x:c r="AA858" s="11" t="n">
        <x:v>46254.51251577547</x:v>
      </x:c>
      <x:c r="AB858" s="11" t="n">
        <x:v>46254.51251577547</x:v>
      </x:c>
      <x:c r="AC858" t="str">
        <x:v>downtown_yards</x:v>
      </x:c>
    </x:row>
    <x:row r="859" ht="22" customHeight="1">
      <x:c r="A859" t="str">
        <x:v>Downtown Yards</x:v>
      </x:c>
      <x:c r="B859" t="str">
        <x:v>L03.04</x:v>
      </x:c>
      <x:c r="C859" t="str">
        <x:v>available</x:v>
      </x:c>
      <x:c r="D859" t="str">
        <x:v>present</x:v>
      </x:c>
      <x:c r="E859" t="str">
        <x:v>baseline</x:v>
      </x:c>
      <x:c r="F859" s="11" t="n">
        <x:v>46252.68496519676</x:v>
      </x:c>
      <x:c r="G859" t="str">
        <x:v>flat</x:v>
      </x:c>
      <x:c r="H859" s="12" t="n">
        <x:v>2</x:v>
      </x:c>
      <x:c r="I859" s="13" t="n">
        <x:v>3</x:v>
      </x:c>
      <x:c r="J859" t="str">
        <x:v>L</x:v>
      </x:c>
      <x:c r="K859" s="14" t="n">
        <x:v>52.29</x:v>
      </x:c>
      <x:c r="L859" s="14"/>
      <x:c r="M859" s="14"/>
      <x:c r="N859" s="14"/>
      <x:c r="O859" s="14"/>
      <x:c r="P859" s="14" t="n">
        <x:v>6.52</x:v>
      </x:c>
      <x:c r="Q859" s="14" t="n">
        <x:v>58.81</x:v>
      </x:c>
      <x:c r="R859" s="15" t="n">
        <x:v>332961</x:v>
      </x:c>
      <x:c r="S859" s="15" t="n">
        <x:v>384867</x:v>
      </x:c>
      <x:c r="T859" s="15" t="n">
        <x:v>332961</x:v>
      </x:c>
      <x:c r="U859" s="16" t="n">
        <x:v>6367.58</x:v>
      </x:c>
      <x:c r="V859" t="str">
        <x:v>JTRE</x:v>
      </x:c>
      <x:c r="W859" t="str">
        <x:v>Ružinov</x:v>
      </x:c>
      <x:c r="X859" s="11" t="str">
        <x:v>Voľný</x:v>
      </x:c>
      <x:c r="Y859" s="11" t="str">
        <x:v>https://d-y.sk/byty/l03.04/</x:v>
      </x:c>
      <x:c r="Z859" s="11" t="n">
        <x:v>46252.68496519676</x:v>
      </x:c>
      <x:c r="AA859" s="11" t="n">
        <x:v>46254.51251577547</x:v>
      </x:c>
      <x:c r="AB859" s="11" t="n">
        <x:v>46254.51251577547</x:v>
      </x:c>
      <x:c r="AC859" t="str">
        <x:v>downtown_yards</x:v>
      </x:c>
    </x:row>
    <x:row r="860" ht="22" customHeight="1">
      <x:c r="A860" t="str">
        <x:v>Downtown Yards</x:v>
      </x:c>
      <x:c r="B860" t="str">
        <x:v>L03.05</x:v>
      </x:c>
      <x:c r="C860" t="str">
        <x:v>sold</x:v>
      </x:c>
      <x:c r="D860" t="str">
        <x:v>present</x:v>
      </x:c>
      <x:c r="E860" t="str">
        <x:v>baseline</x:v>
      </x:c>
      <x:c r="F860" s="11" t="n">
        <x:v>46252.68496519676</x:v>
      </x:c>
      <x:c r="G860" t="str">
        <x:v>flat</x:v>
      </x:c>
      <x:c r="H860" s="12" t="n">
        <x:v>2</x:v>
      </x:c>
      <x:c r="I860" s="13" t="n">
        <x:v>3</x:v>
      </x:c>
      <x:c r="J860" t="str">
        <x:v>L</x:v>
      </x:c>
      <x:c r="K860" s="14" t="n">
        <x:v>61.75</x:v>
      </x:c>
      <x:c r="L860" s="14"/>
      <x:c r="M860" s="14"/>
      <x:c r="N860" s="14"/>
      <x:c r="O860" s="14"/>
      <x:c r="P860" s="14" t="n">
        <x:v>6.91</x:v>
      </x:c>
      <x:c r="Q860" s="14" t="n">
        <x:v>68.66</x:v>
      </x:c>
      <x:c r="R860" s="15"/>
      <x:c r="S860" s="15"/>
      <x:c r="T860" s="15"/>
      <x:c r="U860" s="16"/>
      <x:c r="V860" t="str">
        <x:v>JTRE</x:v>
      </x:c>
      <x:c r="W860" t="str">
        <x:v>Ružinov</x:v>
      </x:c>
      <x:c r="X860" s="11" t="str">
        <x:v>Predaný</x:v>
      </x:c>
      <x:c r="Y860" s="11" t="str">
        <x:v>https://d-y.sk/byty/l03.05/</x:v>
      </x:c>
      <x:c r="Z860" s="11" t="n">
        <x:v>46252.68496519676</x:v>
      </x:c>
      <x:c r="AA860" s="11" t="n">
        <x:v>46254.51251577547</x:v>
      </x:c>
      <x:c r="AB860" s="11" t="n">
        <x:v>46254.51251577547</x:v>
      </x:c>
      <x:c r="AC860" t="str">
        <x:v>downtown_yards</x:v>
      </x:c>
    </x:row>
    <x:row r="861" ht="22" customHeight="1">
      <x:c r="A861" t="str">
        <x:v>Downtown Yards</x:v>
      </x:c>
      <x:c r="B861" t="str">
        <x:v>L04.01</x:v>
      </x:c>
      <x:c r="C861" t="str">
        <x:v>available</x:v>
      </x:c>
      <x:c r="D861" t="str">
        <x:v>present</x:v>
      </x:c>
      <x:c r="E861" t="str">
        <x:v>baseline</x:v>
      </x:c>
      <x:c r="F861" s="11" t="n">
        <x:v>46252.68496519676</x:v>
      </x:c>
      <x:c r="G861" t="str">
        <x:v>flat</x:v>
      </x:c>
      <x:c r="H861" s="12" t="n">
        <x:v>3</x:v>
      </x:c>
      <x:c r="I861" s="13" t="n">
        <x:v>4</x:v>
      </x:c>
      <x:c r="J861" t="str">
        <x:v>L</x:v>
      </x:c>
      <x:c r="K861" s="14" t="n">
        <x:v>75</x:v>
      </x:c>
      <x:c r="L861" s="14"/>
      <x:c r="M861" s="14"/>
      <x:c r="N861" s="14"/>
      <x:c r="O861" s="14"/>
      <x:c r="P861" s="14" t="n">
        <x:v>13.09</x:v>
      </x:c>
      <x:c r="Q861" s="14" t="n">
        <x:v>88.09</x:v>
      </x:c>
      <x:c r="R861" s="15" t="n">
        <x:v>522996</x:v>
      </x:c>
      <x:c r="S861" s="15" t="n">
        <x:v>577854</x:v>
      </x:c>
      <x:c r="T861" s="15" t="n">
        <x:v>522996</x:v>
      </x:c>
      <x:c r="U861" s="16" t="n">
        <x:v>6973.28</x:v>
      </x:c>
      <x:c r="V861" t="str">
        <x:v>JTRE</x:v>
      </x:c>
      <x:c r="W861" t="str">
        <x:v>Ružinov</x:v>
      </x:c>
      <x:c r="X861" s="11" t="str">
        <x:v>Voľný</x:v>
      </x:c>
      <x:c r="Y861" s="11" t="str">
        <x:v>https://d-y.sk/byty/l04.01/</x:v>
      </x:c>
      <x:c r="Z861" s="11" t="n">
        <x:v>46252.68496519676</x:v>
      </x:c>
      <x:c r="AA861" s="11" t="n">
        <x:v>46254.51251577547</x:v>
      </x:c>
      <x:c r="AB861" s="11" t="n">
        <x:v>46254.51251577547</x:v>
      </x:c>
      <x:c r="AC861" t="str">
        <x:v>downtown_yards</x:v>
      </x:c>
    </x:row>
    <x:row r="862" ht="22" customHeight="1">
      <x:c r="A862" t="str">
        <x:v>Downtown Yards</x:v>
      </x:c>
      <x:c r="B862" t="str">
        <x:v>L04.02</x:v>
      </x:c>
      <x:c r="C862" t="str">
        <x:v>available</x:v>
      </x:c>
      <x:c r="D862" t="str">
        <x:v>present</x:v>
      </x:c>
      <x:c r="E862" t="str">
        <x:v>baseline</x:v>
      </x:c>
      <x:c r="F862" s="11" t="n">
        <x:v>46252.68496519676</x:v>
      </x:c>
      <x:c r="G862" t="str">
        <x:v>flat</x:v>
      </x:c>
      <x:c r="H862" s="12" t="n">
        <x:v>3</x:v>
      </x:c>
      <x:c r="I862" s="13" t="n">
        <x:v>4</x:v>
      </x:c>
      <x:c r="J862" t="str">
        <x:v>L</x:v>
      </x:c>
      <x:c r="K862" s="14" t="n">
        <x:v>75.4</x:v>
      </x:c>
      <x:c r="L862" s="14"/>
      <x:c r="M862" s="14"/>
      <x:c r="N862" s="14"/>
      <x:c r="O862" s="14"/>
      <x:c r="P862" s="14" t="n">
        <x:v>13.09</x:v>
      </x:c>
      <x:c r="Q862" s="14" t="n">
        <x:v>88.49</x:v>
      </x:c>
      <x:c r="R862" s="15" t="n">
        <x:v>520905</x:v>
      </x:c>
      <x:c r="S862" s="15" t="n">
        <x:v>575517</x:v>
      </x:c>
      <x:c r="T862" s="15" t="n">
        <x:v>520905</x:v>
      </x:c>
      <x:c r="U862" s="16" t="n">
        <x:v>6908.55</x:v>
      </x:c>
      <x:c r="V862" t="str">
        <x:v>JTRE</x:v>
      </x:c>
      <x:c r="W862" t="str">
        <x:v>Ružinov</x:v>
      </x:c>
      <x:c r="X862" s="11" t="str">
        <x:v>Voľný</x:v>
      </x:c>
      <x:c r="Y862" s="11" t="str">
        <x:v>https://d-y.sk/byty/l04.02/</x:v>
      </x:c>
      <x:c r="Z862" s="11" t="n">
        <x:v>46252.68496519676</x:v>
      </x:c>
      <x:c r="AA862" s="11" t="n">
        <x:v>46254.51251577547</x:v>
      </x:c>
      <x:c r="AB862" s="11" t="n">
        <x:v>46254.51251577547</x:v>
      </x:c>
      <x:c r="AC862" t="str">
        <x:v>downtown_yards</x:v>
      </x:c>
    </x:row>
    <x:row r="863" ht="22" customHeight="1">
      <x:c r="A863" t="str">
        <x:v>Downtown Yards</x:v>
      </x:c>
      <x:c r="B863" t="str">
        <x:v>L04.03</x:v>
      </x:c>
      <x:c r="C863" t="str">
        <x:v>available</x:v>
      </x:c>
      <x:c r="D863" t="str">
        <x:v>present</x:v>
      </x:c>
      <x:c r="E863" t="str">
        <x:v>baseline</x:v>
      </x:c>
      <x:c r="F863" s="11" t="n">
        <x:v>46252.68496519676</x:v>
      </x:c>
      <x:c r="G863" t="str">
        <x:v>flat</x:v>
      </x:c>
      <x:c r="H863" s="12" t="n">
        <x:v>2</x:v>
      </x:c>
      <x:c r="I863" s="13" t="n">
        <x:v>4</x:v>
      </x:c>
      <x:c r="J863" t="str">
        <x:v>L</x:v>
      </x:c>
      <x:c r="K863" s="14" t="n">
        <x:v>56.11</x:v>
      </x:c>
      <x:c r="L863" s="14"/>
      <x:c r="M863" s="14"/>
      <x:c r="N863" s="14"/>
      <x:c r="O863" s="14"/>
      <x:c r="P863" s="14" t="n">
        <x:v>6.58</x:v>
      </x:c>
      <x:c r="Q863" s="14" t="n">
        <x:v>62.69</x:v>
      </x:c>
      <x:c r="R863" s="15" t="n">
        <x:v>350673</x:v>
      </x:c>
      <x:c r="S863" s="15" t="n">
        <x:v>405285</x:v>
      </x:c>
      <x:c r="T863" s="15" t="n">
        <x:v>350673</x:v>
      </x:c>
      <x:c r="U863" s="16" t="n">
        <x:v>6249.74</x:v>
      </x:c>
      <x:c r="V863" t="str">
        <x:v>JTRE</x:v>
      </x:c>
      <x:c r="W863" t="str">
        <x:v>Ružinov</x:v>
      </x:c>
      <x:c r="X863" s="11" t="str">
        <x:v>Voľný</x:v>
      </x:c>
      <x:c r="Y863" s="11" t="str">
        <x:v>https://d-y.sk/byty/l04.03/</x:v>
      </x:c>
      <x:c r="Z863" s="11" t="n">
        <x:v>46252.68496519676</x:v>
      </x:c>
      <x:c r="AA863" s="11" t="n">
        <x:v>46254.51251577547</x:v>
      </x:c>
      <x:c r="AB863" s="11" t="n">
        <x:v>46254.51251577547</x:v>
      </x:c>
      <x:c r="AC863" t="str">
        <x:v>downtown_yards</x:v>
      </x:c>
    </x:row>
    <x:row r="864" ht="22" customHeight="1">
      <x:c r="A864" t="str">
        <x:v>Downtown Yards</x:v>
      </x:c>
      <x:c r="B864" t="str">
        <x:v>L04.04</x:v>
      </x:c>
      <x:c r="C864" t="str">
        <x:v>sold</x:v>
      </x:c>
      <x:c r="D864" t="str">
        <x:v>present</x:v>
      </x:c>
      <x:c r="E864" t="str">
        <x:v>baseline</x:v>
      </x:c>
      <x:c r="F864" s="11" t="n">
        <x:v>46252.68496519676</x:v>
      </x:c>
      <x:c r="G864" t="str">
        <x:v>flat</x:v>
      </x:c>
      <x:c r="H864" s="12" t="n">
        <x:v>2</x:v>
      </x:c>
      <x:c r="I864" s="13" t="n">
        <x:v>4</x:v>
      </x:c>
      <x:c r="J864" t="str">
        <x:v>L</x:v>
      </x:c>
      <x:c r="K864" s="14" t="n">
        <x:v>52.29</x:v>
      </x:c>
      <x:c r="L864" s="14"/>
      <x:c r="M864" s="14"/>
      <x:c r="N864" s="14"/>
      <x:c r="O864" s="14"/>
      <x:c r="P864" s="14" t="n">
        <x:v>6.52</x:v>
      </x:c>
      <x:c r="Q864" s="14" t="n">
        <x:v>58.81</x:v>
      </x:c>
      <x:c r="R864" s="15"/>
      <x:c r="S864" s="15"/>
      <x:c r="T864" s="15"/>
      <x:c r="U864" s="16"/>
      <x:c r="V864" t="str">
        <x:v>JTRE</x:v>
      </x:c>
      <x:c r="W864" t="str">
        <x:v>Ružinov</x:v>
      </x:c>
      <x:c r="X864" s="11" t="str">
        <x:v>Predaný</x:v>
      </x:c>
      <x:c r="Y864" s="11" t="str">
        <x:v>https://d-y.sk/byty/l04.04/</x:v>
      </x:c>
      <x:c r="Z864" s="11" t="n">
        <x:v>46252.68496519676</x:v>
      </x:c>
      <x:c r="AA864" s="11" t="n">
        <x:v>46254.51251577547</x:v>
      </x:c>
      <x:c r="AB864" s="11" t="n">
        <x:v>46254.51251577547</x:v>
      </x:c>
      <x:c r="AC864" t="str">
        <x:v>downtown_yards</x:v>
      </x:c>
    </x:row>
    <x:row r="865" ht="22" customHeight="1">
      <x:c r="A865" t="str">
        <x:v>Downtown Yards</x:v>
      </x:c>
      <x:c r="B865" t="str">
        <x:v>L04.05</x:v>
      </x:c>
      <x:c r="C865" t="str">
        <x:v>sold</x:v>
      </x:c>
      <x:c r="D865" t="str">
        <x:v>present</x:v>
      </x:c>
      <x:c r="E865" t="str">
        <x:v>baseline</x:v>
      </x:c>
      <x:c r="F865" s="11" t="n">
        <x:v>46252.68496519676</x:v>
      </x:c>
      <x:c r="G865" t="str">
        <x:v>flat</x:v>
      </x:c>
      <x:c r="H865" s="12" t="n">
        <x:v>2</x:v>
      </x:c>
      <x:c r="I865" s="13" t="n">
        <x:v>4</x:v>
      </x:c>
      <x:c r="J865" t="str">
        <x:v>L</x:v>
      </x:c>
      <x:c r="K865" s="14" t="n">
        <x:v>61.75</x:v>
      </x:c>
      <x:c r="L865" s="14"/>
      <x:c r="M865" s="14"/>
      <x:c r="N865" s="14"/>
      <x:c r="O865" s="14"/>
      <x:c r="P865" s="14" t="n">
        <x:v>6.91</x:v>
      </x:c>
      <x:c r="Q865" s="14" t="n">
        <x:v>68.66</x:v>
      </x:c>
      <x:c r="R865" s="15"/>
      <x:c r="S865" s="15"/>
      <x:c r="T865" s="15"/>
      <x:c r="U865" s="16"/>
      <x:c r="V865" t="str">
        <x:v>JTRE</x:v>
      </x:c>
      <x:c r="W865" t="str">
        <x:v>Ružinov</x:v>
      </x:c>
      <x:c r="X865" s="11" t="str">
        <x:v>Predaný</x:v>
      </x:c>
      <x:c r="Y865" s="11" t="str">
        <x:v>https://d-y.sk/byty/l04.05/</x:v>
      </x:c>
      <x:c r="Z865" s="11" t="n">
        <x:v>46252.68496519676</x:v>
      </x:c>
      <x:c r="AA865" s="11" t="n">
        <x:v>46254.51251577547</x:v>
      </x:c>
      <x:c r="AB865" s="11" t="n">
        <x:v>46254.51251577547</x:v>
      </x:c>
      <x:c r="AC865" t="str">
        <x:v>downtown_yards</x:v>
      </x:c>
    </x:row>
    <x:row r="866" ht="22" customHeight="1">
      <x:c r="A866" t="str">
        <x:v>Downtown Yards</x:v>
      </x:c>
      <x:c r="B866" t="str">
        <x:v>L05.01</x:v>
      </x:c>
      <x:c r="C866" t="str">
        <x:v>available</x:v>
      </x:c>
      <x:c r="D866" t="str">
        <x:v>present</x:v>
      </x:c>
      <x:c r="E866" t="str">
        <x:v>baseline</x:v>
      </x:c>
      <x:c r="F866" s="11" t="n">
        <x:v>46252.68496519676</x:v>
      </x:c>
      <x:c r="G866" t="str">
        <x:v>flat</x:v>
      </x:c>
      <x:c r="H866" s="12" t="n">
        <x:v>3</x:v>
      </x:c>
      <x:c r="I866" s="13" t="n">
        <x:v>5</x:v>
      </x:c>
      <x:c r="J866" t="str">
        <x:v>L</x:v>
      </x:c>
      <x:c r="K866" s="14" t="n">
        <x:v>75</x:v>
      </x:c>
      <x:c r="L866" s="14"/>
      <x:c r="M866" s="14"/>
      <x:c r="N866" s="14"/>
      <x:c r="O866" s="14"/>
      <x:c r="P866" s="14" t="n">
        <x:v>13.08</x:v>
      </x:c>
      <x:c r="Q866" s="14" t="n">
        <x:v>88.08</x:v>
      </x:c>
      <x:c r="R866" s="15" t="n">
        <x:v>527055</x:v>
      </x:c>
      <x:c r="S866" s="15" t="n">
        <x:v>582282</x:v>
      </x:c>
      <x:c r="T866" s="15" t="n">
        <x:v>527055</x:v>
      </x:c>
      <x:c r="U866" s="16" t="n">
        <x:v>7027.4</x:v>
      </x:c>
      <x:c r="V866" t="str">
        <x:v>JTRE</x:v>
      </x:c>
      <x:c r="W866" t="str">
        <x:v>Ružinov</x:v>
      </x:c>
      <x:c r="X866" s="11" t="str">
        <x:v>Voľný</x:v>
      </x:c>
      <x:c r="Y866" s="11" t="str">
        <x:v>https://d-y.sk/byty/l05.01/</x:v>
      </x:c>
      <x:c r="Z866" s="11" t="n">
        <x:v>46252.68496519676</x:v>
      </x:c>
      <x:c r="AA866" s="11" t="n">
        <x:v>46254.51251577547</x:v>
      </x:c>
      <x:c r="AB866" s="11" t="n">
        <x:v>46254.51251577547</x:v>
      </x:c>
      <x:c r="AC866" t="str">
        <x:v>downtown_yards</x:v>
      </x:c>
    </x:row>
    <x:row r="867" ht="22" customHeight="1">
      <x:c r="A867" t="str">
        <x:v>Downtown Yards</x:v>
      </x:c>
      <x:c r="B867" t="str">
        <x:v>L05.02</x:v>
      </x:c>
      <x:c r="C867" t="str">
        <x:v>pre_reserved</x:v>
      </x:c>
      <x:c r="D867" t="str">
        <x:v>present</x:v>
      </x:c>
      <x:c r="E867" t="str">
        <x:v>baseline</x:v>
      </x:c>
      <x:c r="F867" s="11" t="n">
        <x:v>46252.68496519676</x:v>
      </x:c>
      <x:c r="G867" t="str">
        <x:v>flat</x:v>
      </x:c>
      <x:c r="H867" s="12" t="n">
        <x:v>3</x:v>
      </x:c>
      <x:c r="I867" s="13" t="n">
        <x:v>5</x:v>
      </x:c>
      <x:c r="J867" t="str">
        <x:v>L</x:v>
      </x:c>
      <x:c r="K867" s="14" t="n">
        <x:v>75.4</x:v>
      </x:c>
      <x:c r="L867" s="14"/>
      <x:c r="M867" s="14"/>
      <x:c r="N867" s="14"/>
      <x:c r="O867" s="14"/>
      <x:c r="P867" s="14" t="n">
        <x:v>13.09</x:v>
      </x:c>
      <x:c r="Q867" s="14" t="n">
        <x:v>88.49</x:v>
      </x:c>
      <x:c r="R867" s="15" t="n">
        <x:v>524841</x:v>
      </x:c>
      <x:c r="S867" s="15" t="n">
        <x:v>579822</x:v>
      </x:c>
      <x:c r="T867" s="15" t="n">
        <x:v>524841</x:v>
      </x:c>
      <x:c r="U867" s="16" t="n">
        <x:v>6960.76</x:v>
      </x:c>
      <x:c r="V867" t="str">
        <x:v>JTRE</x:v>
      </x:c>
      <x:c r="W867" t="str">
        <x:v>Ružinov</x:v>
      </x:c>
      <x:c r="X867" s="11" t="str">
        <x:v>Predrezervovaný</x:v>
      </x:c>
      <x:c r="Y867" s="11" t="str">
        <x:v>https://d-y.sk/byty/l05.02/</x:v>
      </x:c>
      <x:c r="Z867" s="11" t="n">
        <x:v>46252.68496519676</x:v>
      </x:c>
      <x:c r="AA867" s="11" t="n">
        <x:v>46254.51251577547</x:v>
      </x:c>
      <x:c r="AB867" s="11" t="n">
        <x:v>46254.51251577547</x:v>
      </x:c>
      <x:c r="AC867" t="str">
        <x:v>downtown_yards</x:v>
      </x:c>
    </x:row>
    <x:row r="868" ht="22" customHeight="1">
      <x:c r="A868" t="str">
        <x:v>Downtown Yards</x:v>
      </x:c>
      <x:c r="B868" t="str">
        <x:v>L05.03</x:v>
      </x:c>
      <x:c r="C868" t="str">
        <x:v>sold</x:v>
      </x:c>
      <x:c r="D868" t="str">
        <x:v>present</x:v>
      </x:c>
      <x:c r="E868" t="str">
        <x:v>baseline</x:v>
      </x:c>
      <x:c r="F868" s="11" t="n">
        <x:v>46252.68496519676</x:v>
      </x:c>
      <x:c r="G868" t="str">
        <x:v>flat</x:v>
      </x:c>
      <x:c r="H868" s="12" t="n">
        <x:v>2</x:v>
      </x:c>
      <x:c r="I868" s="13" t="n">
        <x:v>5</x:v>
      </x:c>
      <x:c r="J868" t="str">
        <x:v>L</x:v>
      </x:c>
      <x:c r="K868" s="14" t="n">
        <x:v>56.11</x:v>
      </x:c>
      <x:c r="L868" s="14"/>
      <x:c r="M868" s="14"/>
      <x:c r="N868" s="14"/>
      <x:c r="O868" s="14"/>
      <x:c r="P868" s="14" t="n">
        <x:v>6.58</x:v>
      </x:c>
      <x:c r="Q868" s="14" t="n">
        <x:v>62.69</x:v>
      </x:c>
      <x:c r="R868" s="15"/>
      <x:c r="S868" s="15"/>
      <x:c r="T868" s="15"/>
      <x:c r="U868" s="16"/>
      <x:c r="V868" t="str">
        <x:v>JTRE</x:v>
      </x:c>
      <x:c r="W868" t="str">
        <x:v>Ružinov</x:v>
      </x:c>
      <x:c r="X868" s="11" t="str">
        <x:v>Predaný</x:v>
      </x:c>
      <x:c r="Y868" s="11" t="str">
        <x:v>https://d-y.sk/byty/l05.03/</x:v>
      </x:c>
      <x:c r="Z868" s="11" t="n">
        <x:v>46252.68496519676</x:v>
      </x:c>
      <x:c r="AA868" s="11" t="n">
        <x:v>46254.51251577547</x:v>
      </x:c>
      <x:c r="AB868" s="11" t="n">
        <x:v>46254.51251577547</x:v>
      </x:c>
      <x:c r="AC868" t="str">
        <x:v>downtown_yards</x:v>
      </x:c>
    </x:row>
    <x:row r="869" ht="22" customHeight="1">
      <x:c r="A869" t="str">
        <x:v>Downtown Yards</x:v>
      </x:c>
      <x:c r="B869" t="str">
        <x:v>L05.04</x:v>
      </x:c>
      <x:c r="C869" t="str">
        <x:v>sold</x:v>
      </x:c>
      <x:c r="D869" t="str">
        <x:v>present</x:v>
      </x:c>
      <x:c r="E869" t="str">
        <x:v>baseline</x:v>
      </x:c>
      <x:c r="F869" s="11" t="n">
        <x:v>46252.68496519676</x:v>
      </x:c>
      <x:c r="G869" t="str">
        <x:v>flat</x:v>
      </x:c>
      <x:c r="H869" s="12" t="n">
        <x:v>2</x:v>
      </x:c>
      <x:c r="I869" s="13" t="n">
        <x:v>5</x:v>
      </x:c>
      <x:c r="J869" t="str">
        <x:v>L</x:v>
      </x:c>
      <x:c r="K869" s="14" t="n">
        <x:v>52.29</x:v>
      </x:c>
      <x:c r="L869" s="14"/>
      <x:c r="M869" s="14"/>
      <x:c r="N869" s="14"/>
      <x:c r="O869" s="14"/>
      <x:c r="P869" s="14" t="n">
        <x:v>6.52</x:v>
      </x:c>
      <x:c r="Q869" s="14" t="n">
        <x:v>58.81</x:v>
      </x:c>
      <x:c r="R869" s="15"/>
      <x:c r="S869" s="15"/>
      <x:c r="T869" s="15"/>
      <x:c r="U869" s="16"/>
      <x:c r="V869" t="str">
        <x:v>JTRE</x:v>
      </x:c>
      <x:c r="W869" t="str">
        <x:v>Ružinov</x:v>
      </x:c>
      <x:c r="X869" s="11" t="str">
        <x:v>Predaný</x:v>
      </x:c>
      <x:c r="Y869" s="11" t="str">
        <x:v>https://d-y.sk/byty/l05.04/</x:v>
      </x:c>
      <x:c r="Z869" s="11" t="n">
        <x:v>46252.68496519676</x:v>
      </x:c>
      <x:c r="AA869" s="11" t="n">
        <x:v>46254.51251577547</x:v>
      </x:c>
      <x:c r="AB869" s="11" t="n">
        <x:v>46254.51251577547</x:v>
      </x:c>
      <x:c r="AC869" t="str">
        <x:v>downtown_yards</x:v>
      </x:c>
    </x:row>
    <x:row r="870" ht="22" customHeight="1">
      <x:c r="A870" t="str">
        <x:v>Downtown Yards</x:v>
      </x:c>
      <x:c r="B870" t="str">
        <x:v>L05.05</x:v>
      </x:c>
      <x:c r="C870" t="str">
        <x:v>sold</x:v>
      </x:c>
      <x:c r="D870" t="str">
        <x:v>present</x:v>
      </x:c>
      <x:c r="E870" t="str">
        <x:v>baseline</x:v>
      </x:c>
      <x:c r="F870" s="11" t="n">
        <x:v>46252.68496519676</x:v>
      </x:c>
      <x:c r="G870" t="str">
        <x:v>flat</x:v>
      </x:c>
      <x:c r="H870" s="12" t="n">
        <x:v>2</x:v>
      </x:c>
      <x:c r="I870" s="13" t="n">
        <x:v>5</x:v>
      </x:c>
      <x:c r="J870" t="str">
        <x:v>L</x:v>
      </x:c>
      <x:c r="K870" s="14" t="n">
        <x:v>61.76</x:v>
      </x:c>
      <x:c r="L870" s="14"/>
      <x:c r="M870" s="14"/>
      <x:c r="N870" s="14"/>
      <x:c r="O870" s="14"/>
      <x:c r="P870" s="14" t="n">
        <x:v>6.91</x:v>
      </x:c>
      <x:c r="Q870" s="14" t="n">
        <x:v>68.67</x:v>
      </x:c>
      <x:c r="R870" s="15"/>
      <x:c r="S870" s="15"/>
      <x:c r="T870" s="15"/>
      <x:c r="U870" s="16"/>
      <x:c r="V870" t="str">
        <x:v>JTRE</x:v>
      </x:c>
      <x:c r="W870" t="str">
        <x:v>Ružinov</x:v>
      </x:c>
      <x:c r="X870" s="11" t="str">
        <x:v>Predaný</x:v>
      </x:c>
      <x:c r="Y870" s="11" t="str">
        <x:v>https://d-y.sk/byty/l05.05/</x:v>
      </x:c>
      <x:c r="Z870" s="11" t="n">
        <x:v>46252.68496519676</x:v>
      </x:c>
      <x:c r="AA870" s="11" t="n">
        <x:v>46254.51251577547</x:v>
      </x:c>
      <x:c r="AB870" s="11" t="n">
        <x:v>46254.51251577547</x:v>
      </x:c>
      <x:c r="AC870" t="str">
        <x:v>downtown_yards</x:v>
      </x:c>
    </x:row>
    <x:row r="871" ht="22" customHeight="1">
      <x:c r="A871" t="str">
        <x:v>Downtown Yards</x:v>
      </x:c>
      <x:c r="B871" t="str">
        <x:v>L06.01</x:v>
      </x:c>
      <x:c r="C871" t="str">
        <x:v>available</x:v>
      </x:c>
      <x:c r="D871" t="str">
        <x:v>present</x:v>
      </x:c>
      <x:c r="E871" t="str">
        <x:v>baseline</x:v>
      </x:c>
      <x:c r="F871" s="11" t="n">
        <x:v>46252.68496519676</x:v>
      </x:c>
      <x:c r="G871" t="str">
        <x:v>flat</x:v>
      </x:c>
      <x:c r="H871" s="12" t="n">
        <x:v>3</x:v>
      </x:c>
      <x:c r="I871" s="13" t="n">
        <x:v>6</x:v>
      </x:c>
      <x:c r="J871" t="str">
        <x:v>L</x:v>
      </x:c>
      <x:c r="K871" s="14" t="n">
        <x:v>72.69</x:v>
      </x:c>
      <x:c r="L871" s="14"/>
      <x:c r="M871" s="14"/>
      <x:c r="N871" s="14"/>
      <x:c r="O871" s="14"/>
      <x:c r="P871" s="14" t="n">
        <x:v>13.09</x:v>
      </x:c>
      <x:c r="Q871" s="14" t="n">
        <x:v>85.78</x:v>
      </x:c>
      <x:c r="R871" s="15" t="n">
        <x:v>517953</x:v>
      </x:c>
      <x:c r="S871" s="15" t="n">
        <x:v>572196</x:v>
      </x:c>
      <x:c r="T871" s="15" t="n">
        <x:v>517953</x:v>
      </x:c>
      <x:c r="U871" s="16" t="n">
        <x:v>7125.51</x:v>
      </x:c>
      <x:c r="V871" t="str">
        <x:v>JTRE</x:v>
      </x:c>
      <x:c r="W871" t="str">
        <x:v>Ružinov</x:v>
      </x:c>
      <x:c r="X871" s="11" t="str">
        <x:v>Voľný</x:v>
      </x:c>
      <x:c r="Y871" s="11" t="str">
        <x:v>https://d-y.sk/byty/l06.01/</x:v>
      </x:c>
      <x:c r="Z871" s="11" t="n">
        <x:v>46252.68496519676</x:v>
      </x:c>
      <x:c r="AA871" s="11" t="n">
        <x:v>46254.51251577547</x:v>
      </x:c>
      <x:c r="AB871" s="11" t="n">
        <x:v>46254.51251577547</x:v>
      </x:c>
      <x:c r="AC871" t="str">
        <x:v>downtown_yards</x:v>
      </x:c>
    </x:row>
    <x:row r="872" ht="22" customHeight="1">
      <x:c r="A872" t="str">
        <x:v>Downtown Yards</x:v>
      </x:c>
      <x:c r="B872" t="str">
        <x:v>L06.02</x:v>
      </x:c>
      <x:c r="C872" t="str">
        <x:v>available</x:v>
      </x:c>
      <x:c r="D872" t="str">
        <x:v>present</x:v>
      </x:c>
      <x:c r="E872" t="str">
        <x:v>baseline</x:v>
      </x:c>
      <x:c r="F872" s="11" t="n">
        <x:v>46252.68496519676</x:v>
      </x:c>
      <x:c r="G872" t="str">
        <x:v>flat</x:v>
      </x:c>
      <x:c r="H872" s="12" t="n">
        <x:v>3</x:v>
      </x:c>
      <x:c r="I872" s="13" t="n">
        <x:v>6</x:v>
      </x:c>
      <x:c r="J872" t="str">
        <x:v>L</x:v>
      </x:c>
      <x:c r="K872" s="14" t="n">
        <x:v>75.4</x:v>
      </x:c>
      <x:c r="L872" s="14"/>
      <x:c r="M872" s="14"/>
      <x:c r="N872" s="14"/>
      <x:c r="O872" s="14"/>
      <x:c r="P872" s="14" t="n">
        <x:v>13.09</x:v>
      </x:c>
      <x:c r="Q872" s="14" t="n">
        <x:v>88.49</x:v>
      </x:c>
      <x:c r="R872" s="15" t="n">
        <x:v>530745</x:v>
      </x:c>
      <x:c r="S872" s="15" t="n">
        <x:v>586341</x:v>
      </x:c>
      <x:c r="T872" s="15" t="n">
        <x:v>530745</x:v>
      </x:c>
      <x:c r="U872" s="16" t="n">
        <x:v>7039.06</x:v>
      </x:c>
      <x:c r="V872" t="str">
        <x:v>JTRE</x:v>
      </x:c>
      <x:c r="W872" t="str">
        <x:v>Ružinov</x:v>
      </x:c>
      <x:c r="X872" s="11" t="str">
        <x:v>Voľný</x:v>
      </x:c>
      <x:c r="Y872" s="11" t="str">
        <x:v>https://d-y.sk/byty/l06.02/</x:v>
      </x:c>
      <x:c r="Z872" s="11" t="n">
        <x:v>46252.68496519676</x:v>
      </x:c>
      <x:c r="AA872" s="11" t="n">
        <x:v>46254.51251577547</x:v>
      </x:c>
      <x:c r="AB872" s="11" t="n">
        <x:v>46254.51251577547</x:v>
      </x:c>
      <x:c r="AC872" t="str">
        <x:v>downtown_yards</x:v>
      </x:c>
    </x:row>
    <x:row r="873" ht="22" customHeight="1">
      <x:c r="A873" t="str">
        <x:v>Downtown Yards</x:v>
      </x:c>
      <x:c r="B873" t="str">
        <x:v>L06.03</x:v>
      </x:c>
      <x:c r="C873" t="str">
        <x:v>sold</x:v>
      </x:c>
      <x:c r="D873" t="str">
        <x:v>present</x:v>
      </x:c>
      <x:c r="E873" t="str">
        <x:v>baseline</x:v>
      </x:c>
      <x:c r="F873" s="11" t="n">
        <x:v>46252.68496519676</x:v>
      </x:c>
      <x:c r="G873" t="str">
        <x:v>flat</x:v>
      </x:c>
      <x:c r="H873" s="12" t="n">
        <x:v>2</x:v>
      </x:c>
      <x:c r="I873" s="13" t="n">
        <x:v>6</x:v>
      </x:c>
      <x:c r="J873" t="str">
        <x:v>L</x:v>
      </x:c>
      <x:c r="K873" s="14" t="n">
        <x:v>56.11</x:v>
      </x:c>
      <x:c r="L873" s="14"/>
      <x:c r="M873" s="14"/>
      <x:c r="N873" s="14"/>
      <x:c r="O873" s="14"/>
      <x:c r="P873" s="14" t="n">
        <x:v>6.58</x:v>
      </x:c>
      <x:c r="Q873" s="14" t="n">
        <x:v>62.69</x:v>
      </x:c>
      <x:c r="R873" s="15"/>
      <x:c r="S873" s="15"/>
      <x:c r="T873" s="15"/>
      <x:c r="U873" s="16"/>
      <x:c r="V873" t="str">
        <x:v>JTRE</x:v>
      </x:c>
      <x:c r="W873" t="str">
        <x:v>Ružinov</x:v>
      </x:c>
      <x:c r="X873" s="11" t="str">
        <x:v>Predaný</x:v>
      </x:c>
      <x:c r="Y873" s="11" t="str">
        <x:v>https://d-y.sk/byty/l06.03/</x:v>
      </x:c>
      <x:c r="Z873" s="11" t="n">
        <x:v>46252.68496519676</x:v>
      </x:c>
      <x:c r="AA873" s="11" t="n">
        <x:v>46254.51251577547</x:v>
      </x:c>
      <x:c r="AB873" s="11" t="n">
        <x:v>46254.51251577547</x:v>
      </x:c>
      <x:c r="AC873" t="str">
        <x:v>downtown_yards</x:v>
      </x:c>
    </x:row>
    <x:row r="874" ht="22" customHeight="1">
      <x:c r="A874" t="str">
        <x:v>Downtown Yards</x:v>
      </x:c>
      <x:c r="B874" t="str">
        <x:v>L06.04</x:v>
      </x:c>
      <x:c r="C874" t="str">
        <x:v>sold</x:v>
      </x:c>
      <x:c r="D874" t="str">
        <x:v>present</x:v>
      </x:c>
      <x:c r="E874" t="str">
        <x:v>baseline</x:v>
      </x:c>
      <x:c r="F874" s="11" t="n">
        <x:v>46252.68496519676</x:v>
      </x:c>
      <x:c r="G874" t="str">
        <x:v>flat</x:v>
      </x:c>
      <x:c r="H874" s="12" t="n">
        <x:v>2</x:v>
      </x:c>
      <x:c r="I874" s="13" t="n">
        <x:v>6</x:v>
      </x:c>
      <x:c r="J874" t="str">
        <x:v>L</x:v>
      </x:c>
      <x:c r="K874" s="14" t="n">
        <x:v>52.29</x:v>
      </x:c>
      <x:c r="L874" s="14"/>
      <x:c r="M874" s="14"/>
      <x:c r="N874" s="14"/>
      <x:c r="O874" s="14"/>
      <x:c r="P874" s="14" t="n">
        <x:v>6.52</x:v>
      </x:c>
      <x:c r="Q874" s="14" t="n">
        <x:v>58.81</x:v>
      </x:c>
      <x:c r="R874" s="15"/>
      <x:c r="S874" s="15"/>
      <x:c r="T874" s="15"/>
      <x:c r="U874" s="16"/>
      <x:c r="V874" t="str">
        <x:v>JTRE</x:v>
      </x:c>
      <x:c r="W874" t="str">
        <x:v>Ružinov</x:v>
      </x:c>
      <x:c r="X874" s="11" t="str">
        <x:v>Predaný</x:v>
      </x:c>
      <x:c r="Y874" s="11" t="str">
        <x:v>https://d-y.sk/byty/l06.04/</x:v>
      </x:c>
      <x:c r="Z874" s="11" t="n">
        <x:v>46252.68496519676</x:v>
      </x:c>
      <x:c r="AA874" s="11" t="n">
        <x:v>46254.51251577547</x:v>
      </x:c>
      <x:c r="AB874" s="11" t="n">
        <x:v>46254.51251577547</x:v>
      </x:c>
      <x:c r="AC874" t="str">
        <x:v>downtown_yards</x:v>
      </x:c>
    </x:row>
    <x:row r="875" ht="22" customHeight="1">
      <x:c r="A875" t="str">
        <x:v>Downtown Yards</x:v>
      </x:c>
      <x:c r="B875" t="str">
        <x:v>L06.05</x:v>
      </x:c>
      <x:c r="C875" t="str">
        <x:v>sold</x:v>
      </x:c>
      <x:c r="D875" t="str">
        <x:v>present</x:v>
      </x:c>
      <x:c r="E875" t="str">
        <x:v>baseline</x:v>
      </x:c>
      <x:c r="F875" s="11" t="n">
        <x:v>46252.68496519676</x:v>
      </x:c>
      <x:c r="G875" t="str">
        <x:v>flat</x:v>
      </x:c>
      <x:c r="H875" s="12" t="n">
        <x:v>2</x:v>
      </x:c>
      <x:c r="I875" s="13" t="n">
        <x:v>6</x:v>
      </x:c>
      <x:c r="J875" t="str">
        <x:v>L</x:v>
      </x:c>
      <x:c r="K875" s="14" t="n">
        <x:v>59.82</x:v>
      </x:c>
      <x:c r="L875" s="14"/>
      <x:c r="M875" s="14"/>
      <x:c r="N875" s="14"/>
      <x:c r="O875" s="14"/>
      <x:c r="P875" s="14" t="n">
        <x:v>6.91</x:v>
      </x:c>
      <x:c r="Q875" s="14" t="n">
        <x:v>66.73</x:v>
      </x:c>
      <x:c r="R875" s="15"/>
      <x:c r="S875" s="15"/>
      <x:c r="T875" s="15"/>
      <x:c r="U875" s="16"/>
      <x:c r="V875" t="str">
        <x:v>JTRE</x:v>
      </x:c>
      <x:c r="W875" t="str">
        <x:v>Ružinov</x:v>
      </x:c>
      <x:c r="X875" s="11" t="str">
        <x:v>Predaný</x:v>
      </x:c>
      <x:c r="Y875" s="11" t="str">
        <x:v>https://d-y.sk/byty/l06.05/</x:v>
      </x:c>
      <x:c r="Z875" s="11" t="n">
        <x:v>46252.68496519676</x:v>
      </x:c>
      <x:c r="AA875" s="11" t="n">
        <x:v>46254.51251577547</x:v>
      </x:c>
      <x:c r="AB875" s="11" t="n">
        <x:v>46254.51251577547</x:v>
      </x:c>
      <x:c r="AC875" t="str">
        <x:v>downtown_yards</x:v>
      </x:c>
    </x:row>
    <x:row r="876" ht="22" customHeight="1">
      <x:c r="A876" t="str">
        <x:v>Downtown Yards</x:v>
      </x:c>
      <x:c r="B876" t="str">
        <x:v>L07.01</x:v>
      </x:c>
      <x:c r="C876" t="str">
        <x:v>pre_reserved</x:v>
      </x:c>
      <x:c r="D876" t="str">
        <x:v>present</x:v>
      </x:c>
      <x:c r="E876" t="str">
        <x:v>baseline</x:v>
      </x:c>
      <x:c r="F876" s="11" t="n">
        <x:v>46252.68496519676</x:v>
      </x:c>
      <x:c r="G876" t="str">
        <x:v>flat</x:v>
      </x:c>
      <x:c r="H876" s="12" t="n">
        <x:v>3</x:v>
      </x:c>
      <x:c r="I876" s="13" t="n">
        <x:v>7</x:v>
      </x:c>
      <x:c r="J876" t="str">
        <x:v>L</x:v>
      </x:c>
      <x:c r="K876" s="14" t="n">
        <x:v>75.46</x:v>
      </x:c>
      <x:c r="L876" s="14"/>
      <x:c r="M876" s="14"/>
      <x:c r="N876" s="14"/>
      <x:c r="O876" s="14"/>
      <x:c r="P876" s="14" t="n">
        <x:v>13.09</x:v>
      </x:c>
      <x:c r="Q876" s="14" t="n">
        <x:v>88.55</x:v>
      </x:c>
      <x:c r="R876" s="15" t="n">
        <x:v>549933</x:v>
      </x:c>
      <x:c r="S876" s="15" t="n">
        <x:v>607620</x:v>
      </x:c>
      <x:c r="T876" s="15" t="n">
        <x:v>549933</x:v>
      </x:c>
      <x:c r="U876" s="16" t="n">
        <x:v>7287.74</x:v>
      </x:c>
      <x:c r="V876" t="str">
        <x:v>JTRE</x:v>
      </x:c>
      <x:c r="W876" t="str">
        <x:v>Ružinov</x:v>
      </x:c>
      <x:c r="X876" s="11" t="str">
        <x:v>Predrezervovaný</x:v>
      </x:c>
      <x:c r="Y876" s="11" t="str">
        <x:v>https://d-y.sk/byty/l07.01/</x:v>
      </x:c>
      <x:c r="Z876" s="11" t="n">
        <x:v>46252.68496519676</x:v>
      </x:c>
      <x:c r="AA876" s="11" t="n">
        <x:v>46254.51251577547</x:v>
      </x:c>
      <x:c r="AB876" s="11" t="n">
        <x:v>46254.51251577547</x:v>
      </x:c>
      <x:c r="AC876" t="str">
        <x:v>downtown_yards</x:v>
      </x:c>
    </x:row>
    <x:row r="877" ht="22" customHeight="1">
      <x:c r="A877" t="str">
        <x:v>Downtown Yards</x:v>
      </x:c>
      <x:c r="B877" t="str">
        <x:v>L07.02</x:v>
      </x:c>
      <x:c r="C877" t="str">
        <x:v>available</x:v>
      </x:c>
      <x:c r="D877" t="str">
        <x:v>present</x:v>
      </x:c>
      <x:c r="E877" t="str">
        <x:v>baseline</x:v>
      </x:c>
      <x:c r="F877" s="11" t="n">
        <x:v>46252.68496519676</x:v>
      </x:c>
      <x:c r="G877" t="str">
        <x:v>flat</x:v>
      </x:c>
      <x:c r="H877" s="12" t="n">
        <x:v>3</x:v>
      </x:c>
      <x:c r="I877" s="13" t="n">
        <x:v>7</x:v>
      </x:c>
      <x:c r="J877" t="str">
        <x:v>L</x:v>
      </x:c>
      <x:c r="K877" s="14" t="n">
        <x:v>75.4</x:v>
      </x:c>
      <x:c r="L877" s="14"/>
      <x:c r="M877" s="14"/>
      <x:c r="N877" s="14"/>
      <x:c r="O877" s="14"/>
      <x:c r="P877" s="14" t="n">
        <x:v>13.09</x:v>
      </x:c>
      <x:c r="Q877" s="14" t="n">
        <x:v>88.49</x:v>
      </x:c>
      <x:c r="R877" s="15" t="n">
        <x:v>534681</x:v>
      </x:c>
      <x:c r="S877" s="15" t="n">
        <x:v>590769</x:v>
      </x:c>
      <x:c r="T877" s="15" t="n">
        <x:v>534681</x:v>
      </x:c>
      <x:c r="U877" s="16" t="n">
        <x:v>7091.26</x:v>
      </x:c>
      <x:c r="V877" t="str">
        <x:v>JTRE</x:v>
      </x:c>
      <x:c r="W877" t="str">
        <x:v>Ružinov</x:v>
      </x:c>
      <x:c r="X877" s="11" t="str">
        <x:v>Voľný</x:v>
      </x:c>
      <x:c r="Y877" s="11" t="str">
        <x:v>https://d-y.sk/byty/l07.02/</x:v>
      </x:c>
      <x:c r="Z877" s="11" t="n">
        <x:v>46252.68496519676</x:v>
      </x:c>
      <x:c r="AA877" s="11" t="n">
        <x:v>46254.51251577547</x:v>
      </x:c>
      <x:c r="AB877" s="11" t="n">
        <x:v>46254.51251577547</x:v>
      </x:c>
      <x:c r="AC877" t="str">
        <x:v>downtown_yards</x:v>
      </x:c>
    </x:row>
    <x:row r="878" ht="22" customHeight="1">
      <x:c r="A878" t="str">
        <x:v>Downtown Yards</x:v>
      </x:c>
      <x:c r="B878" t="str">
        <x:v>L07.03</x:v>
      </x:c>
      <x:c r="C878" t="str">
        <x:v>sold</x:v>
      </x:c>
      <x:c r="D878" t="str">
        <x:v>present</x:v>
      </x:c>
      <x:c r="E878" t="str">
        <x:v>baseline</x:v>
      </x:c>
      <x:c r="F878" s="11" t="n">
        <x:v>46252.68496519676</x:v>
      </x:c>
      <x:c r="G878" t="str">
        <x:v>flat</x:v>
      </x:c>
      <x:c r="H878" s="12" t="n">
        <x:v>2</x:v>
      </x:c>
      <x:c r="I878" s="13" t="n">
        <x:v>7</x:v>
      </x:c>
      <x:c r="J878" t="str">
        <x:v>L</x:v>
      </x:c>
      <x:c r="K878" s="14" t="n">
        <x:v>56.11</x:v>
      </x:c>
      <x:c r="L878" s="14"/>
      <x:c r="M878" s="14"/>
      <x:c r="N878" s="14"/>
      <x:c r="O878" s="14"/>
      <x:c r="P878" s="14" t="n">
        <x:v>6.58</x:v>
      </x:c>
      <x:c r="Q878" s="14" t="n">
        <x:v>62.69</x:v>
      </x:c>
      <x:c r="R878" s="15"/>
      <x:c r="S878" s="15"/>
      <x:c r="T878" s="15"/>
      <x:c r="U878" s="16"/>
      <x:c r="V878" t="str">
        <x:v>JTRE</x:v>
      </x:c>
      <x:c r="W878" t="str">
        <x:v>Ružinov</x:v>
      </x:c>
      <x:c r="X878" s="11" t="str">
        <x:v>Predaný</x:v>
      </x:c>
      <x:c r="Y878" s="11" t="str">
        <x:v>https://d-y.sk/byty/l07.03/</x:v>
      </x:c>
      <x:c r="Z878" s="11" t="n">
        <x:v>46252.68496519676</x:v>
      </x:c>
      <x:c r="AA878" s="11" t="n">
        <x:v>46254.51251577547</x:v>
      </x:c>
      <x:c r="AB878" s="11" t="n">
        <x:v>46254.51251577547</x:v>
      </x:c>
      <x:c r="AC878" t="str">
        <x:v>downtown_yards</x:v>
      </x:c>
    </x:row>
    <x:row r="879" ht="22" customHeight="1">
      <x:c r="A879" t="str">
        <x:v>Downtown Yards</x:v>
      </x:c>
      <x:c r="B879" t="str">
        <x:v>L07.04</x:v>
      </x:c>
      <x:c r="C879" t="str">
        <x:v>sold</x:v>
      </x:c>
      <x:c r="D879" t="str">
        <x:v>present</x:v>
      </x:c>
      <x:c r="E879" t="str">
        <x:v>baseline</x:v>
      </x:c>
      <x:c r="F879" s="11" t="n">
        <x:v>46252.68496519676</x:v>
      </x:c>
      <x:c r="G879" t="str">
        <x:v>flat</x:v>
      </x:c>
      <x:c r="H879" s="12" t="n">
        <x:v>2</x:v>
      </x:c>
      <x:c r="I879" s="13" t="n">
        <x:v>7</x:v>
      </x:c>
      <x:c r="J879" t="str">
        <x:v>L</x:v>
      </x:c>
      <x:c r="K879" s="14" t="n">
        <x:v>52.29</x:v>
      </x:c>
      <x:c r="L879" s="14"/>
      <x:c r="M879" s="14"/>
      <x:c r="N879" s="14"/>
      <x:c r="O879" s="14"/>
      <x:c r="P879" s="14" t="n">
        <x:v>6.52</x:v>
      </x:c>
      <x:c r="Q879" s="14" t="n">
        <x:v>58.81</x:v>
      </x:c>
      <x:c r="R879" s="15"/>
      <x:c r="S879" s="15"/>
      <x:c r="T879" s="15"/>
      <x:c r="U879" s="16"/>
      <x:c r="V879" t="str">
        <x:v>JTRE</x:v>
      </x:c>
      <x:c r="W879" t="str">
        <x:v>Ružinov</x:v>
      </x:c>
      <x:c r="X879" s="11" t="str">
        <x:v>Predaný</x:v>
      </x:c>
      <x:c r="Y879" s="11" t="str">
        <x:v>https://d-y.sk/byty/l07.04/</x:v>
      </x:c>
      <x:c r="Z879" s="11" t="n">
        <x:v>46252.68496519676</x:v>
      </x:c>
      <x:c r="AA879" s="11" t="n">
        <x:v>46254.51251577547</x:v>
      </x:c>
      <x:c r="AB879" s="11" t="n">
        <x:v>46254.51251577547</x:v>
      </x:c>
      <x:c r="AC879" t="str">
        <x:v>downtown_yards</x:v>
      </x:c>
    </x:row>
    <x:row r="880" ht="22" customHeight="1">
      <x:c r="A880" t="str">
        <x:v>Downtown Yards</x:v>
      </x:c>
      <x:c r="B880" t="str">
        <x:v>L07.05</x:v>
      </x:c>
      <x:c r="C880" t="str">
        <x:v>sold</x:v>
      </x:c>
      <x:c r="D880" t="str">
        <x:v>present</x:v>
      </x:c>
      <x:c r="E880" t="str">
        <x:v>baseline</x:v>
      </x:c>
      <x:c r="F880" s="11" t="n">
        <x:v>46252.68496519676</x:v>
      </x:c>
      <x:c r="G880" t="str">
        <x:v>flat</x:v>
      </x:c>
      <x:c r="H880" s="12" t="n">
        <x:v>2</x:v>
      </x:c>
      <x:c r="I880" s="13" t="n">
        <x:v>7</x:v>
      </x:c>
      <x:c r="J880" t="str">
        <x:v>L</x:v>
      </x:c>
      <x:c r="K880" s="14" t="n">
        <x:v>62.27</x:v>
      </x:c>
      <x:c r="L880" s="14"/>
      <x:c r="M880" s="14"/>
      <x:c r="N880" s="14"/>
      <x:c r="O880" s="14"/>
      <x:c r="P880" s="14" t="n">
        <x:v>6.81</x:v>
      </x:c>
      <x:c r="Q880" s="14" t="n">
        <x:v>69.08</x:v>
      </x:c>
      <x:c r="R880" s="15"/>
      <x:c r="S880" s="15"/>
      <x:c r="T880" s="15"/>
      <x:c r="U880" s="16"/>
      <x:c r="V880" t="str">
        <x:v>JTRE</x:v>
      </x:c>
      <x:c r="W880" t="str">
        <x:v>Ružinov</x:v>
      </x:c>
      <x:c r="X880" s="11" t="str">
        <x:v>Predaný</x:v>
      </x:c>
      <x:c r="Y880" s="11" t="str">
        <x:v>https://d-y.sk/byty/l07.05/</x:v>
      </x:c>
      <x:c r="Z880" s="11" t="n">
        <x:v>46252.68496519676</x:v>
      </x:c>
      <x:c r="AA880" s="11" t="n">
        <x:v>46254.51251577547</x:v>
      </x:c>
      <x:c r="AB880" s="11" t="n">
        <x:v>46254.51251577547</x:v>
      </x:c>
      <x:c r="AC880" t="str">
        <x:v>downtown_yards</x:v>
      </x:c>
    </x:row>
    <x:row r="881" ht="22" customHeight="1">
      <x:c r="A881" t="str">
        <x:v>Galvania Rezidencie</x:v>
      </x:c>
      <x:c r="B881" t="str">
        <x:v>A2.01</x:v>
      </x:c>
      <x:c r="C881" t="str">
        <x:v>pre_reserved</x:v>
      </x:c>
      <x:c r="D881" t="str">
        <x:v>present</x:v>
      </x:c>
      <x:c r="E881" t="str">
        <x:v>baseline</x:v>
      </x:c>
      <x:c r="F881" s="11" t="n">
        <x:v>46249.4134212037</x:v>
      </x:c>
      <x:c r="G881" t="str">
        <x:v>Apartmán</x:v>
      </x:c>
      <x:c r="H881" s="12" t="n">
        <x:v>1</x:v>
      </x:c>
      <x:c r="I881" s="13" t="n">
        <x:v>2</x:v>
      </x:c>
      <x:c r="J881" t="str">
        <x:v>A</x:v>
      </x:c>
      <x:c r="K881" s="14" t="n">
        <x:v>40.04</x:v>
      </x:c>
      <x:c r="L881" s="14"/>
      <x:c r="M881" s="14"/>
      <x:c r="N881" s="14"/>
      <x:c r="O881" s="14"/>
      <x:c r="P881" s="14" t="n">
        <x:v>3.57</x:v>
      </x:c>
      <x:c r="Q881" s="14" t="n">
        <x:v>43.61</x:v>
      </x:c>
      <x:c r="R881" s="15" t="n">
        <x:v>185000</x:v>
      </x:c>
      <x:c r="S881" s="15" t="n">
        <x:v>185000</x:v>
      </x:c>
      <x:c r="T881" s="15"/>
      <x:c r="U881" s="16" t="n">
        <x:v>4620.38</x:v>
      </x:c>
      <x:c r="V881" t="str">
        <x:v>Tatra Real</x:v>
      </x:c>
      <x:c r="W881" t="str">
        <x:v>Ružinov</x:v>
      </x:c>
      <x:c r="X881" s="11" t="str">
        <x:v>Predrezervovaný</x:v>
      </x:c>
      <x:c r="Y881" s="11" t="str">
        <x:v>https://www.galvania.sk/byty/mam-zaujem-o-byt-A2.01/</x:v>
      </x:c>
      <x:c r="Z881" s="11" t="n">
        <x:v>46249.4134212037</x:v>
      </x:c>
      <x:c r="AA881" s="11" t="n">
        <x:v>46254.51251577547</x:v>
      </x:c>
      <x:c r="AB881" s="11" t="n">
        <x:v>46254.51251577547</x:v>
      </x:c>
      <x:c r="AC881" t="str">
        <x:v>galvania_rezidencie</x:v>
      </x:c>
    </x:row>
    <x:row r="882" ht="22" customHeight="1">
      <x:c r="A882" t="str">
        <x:v>Galvania Rezidencie</x:v>
      </x:c>
      <x:c r="B882" t="str">
        <x:v>A2.02</x:v>
      </x:c>
      <x:c r="C882" t="str">
        <x:v>pre_reserved</x:v>
      </x:c>
      <x:c r="D882" t="str">
        <x:v>present</x:v>
      </x:c>
      <x:c r="E882" t="str">
        <x:v>baseline</x:v>
      </x:c>
      <x:c r="F882" s="11" t="n">
        <x:v>46249.4134212037</x:v>
      </x:c>
      <x:c r="G882" t="str">
        <x:v>Apartmán</x:v>
      </x:c>
      <x:c r="H882" s="12" t="n">
        <x:v>1</x:v>
      </x:c>
      <x:c r="I882" s="13" t="n">
        <x:v>2</x:v>
      </x:c>
      <x:c r="J882" t="str">
        <x:v>A</x:v>
      </x:c>
      <x:c r="K882" s="14" t="n">
        <x:v>35.18</x:v>
      </x:c>
      <x:c r="L882" s="14"/>
      <x:c r="M882" s="14"/>
      <x:c r="N882" s="14"/>
      <x:c r="O882" s="14"/>
      <x:c r="P882" s="14" t="n">
        <x:v>3.57</x:v>
      </x:c>
      <x:c r="Q882" s="14" t="n">
        <x:v>38.75</x:v>
      </x:c>
      <x:c r="R882" s="15" t="n">
        <x:v>175000</x:v>
      </x:c>
      <x:c r="S882" s="15" t="n">
        <x:v>175000</x:v>
      </x:c>
      <x:c r="T882" s="15"/>
      <x:c r="U882" s="16" t="n">
        <x:v>4974.42</x:v>
      </x:c>
      <x:c r="V882" t="str">
        <x:v>Tatra Real</x:v>
      </x:c>
      <x:c r="W882" t="str">
        <x:v>Ružinov</x:v>
      </x:c>
      <x:c r="X882" s="11" t="str">
        <x:v>Predrezervovaný</x:v>
      </x:c>
      <x:c r="Y882" s="11" t="str">
        <x:v>https://www.galvania.sk/byty/mam-zaujem-o-byt-A2.02/</x:v>
      </x:c>
      <x:c r="Z882" s="11" t="n">
        <x:v>46249.4134212037</x:v>
      </x:c>
      <x:c r="AA882" s="11" t="n">
        <x:v>46254.51251577547</x:v>
      </x:c>
      <x:c r="AB882" s="11" t="n">
        <x:v>46254.51251577547</x:v>
      </x:c>
      <x:c r="AC882" t="str">
        <x:v>galvania_rezidencie</x:v>
      </x:c>
    </x:row>
    <x:row r="883" ht="22" customHeight="1">
      <x:c r="A883" t="str">
        <x:v>Galvania Rezidencie</x:v>
      </x:c>
      <x:c r="B883" t="str">
        <x:v>A2.03</x:v>
      </x:c>
      <x:c r="C883" t="str">
        <x:v>sold</x:v>
      </x:c>
      <x:c r="D883" t="str">
        <x:v>present</x:v>
      </x:c>
      <x:c r="E883" t="str">
        <x:v>baseline</x:v>
      </x:c>
      <x:c r="F883" s="11" t="n">
        <x:v>46249.4134212037</x:v>
      </x:c>
      <x:c r="G883" t="str">
        <x:v>Apartmán</x:v>
      </x:c>
      <x:c r="H883" s="12" t="n">
        <x:v>1</x:v>
      </x:c>
      <x:c r="I883" s="13" t="n">
        <x:v>2</x:v>
      </x:c>
      <x:c r="J883" t="str">
        <x:v>A</x:v>
      </x:c>
      <x:c r="K883" s="14" t="n">
        <x:v>35.18</x:v>
      </x:c>
      <x:c r="L883" s="14"/>
      <x:c r="M883" s="14"/>
      <x:c r="N883" s="14"/>
      <x:c r="O883" s="14"/>
      <x:c r="P883" s="14" t="n">
        <x:v>3.57</x:v>
      </x:c>
      <x:c r="Q883" s="14" t="n">
        <x:v>38.75</x:v>
      </x:c>
      <x:c r="R883" s="15"/>
      <x:c r="S883" s="15"/>
      <x:c r="T883" s="15"/>
      <x:c r="U883" s="16"/>
      <x:c r="V883" t="str">
        <x:v>Tatra Real</x:v>
      </x:c>
      <x:c r="W883" t="str">
        <x:v>Ružinov</x:v>
      </x:c>
      <x:c r="X883" s="11" t="str">
        <x:v>Predaný</x:v>
      </x:c>
      <x:c r="Y883" s="11" t="str">
        <x:v>https://www.galvania.sk/byty/</x:v>
      </x:c>
      <x:c r="Z883" s="11" t="n">
        <x:v>46249.4134212037</x:v>
      </x:c>
      <x:c r="AA883" s="11" t="n">
        <x:v>46254.51251577547</x:v>
      </x:c>
      <x:c r="AB883" s="11" t="n">
        <x:v>46254.51251577547</x:v>
      </x:c>
      <x:c r="AC883" t="str">
        <x:v>galvania_rezidencie</x:v>
      </x:c>
    </x:row>
    <x:row r="884" ht="22" customHeight="1">
      <x:c r="A884" t="str">
        <x:v>Galvania Rezidencie</x:v>
      </x:c>
      <x:c r="B884" t="str">
        <x:v>A2.04</x:v>
      </x:c>
      <x:c r="C884" t="str">
        <x:v>sold</x:v>
      </x:c>
      <x:c r="D884" t="str">
        <x:v>present</x:v>
      </x:c>
      <x:c r="E884" t="str">
        <x:v>baseline</x:v>
      </x:c>
      <x:c r="F884" s="11" t="n">
        <x:v>46249.4134212037</x:v>
      </x:c>
      <x:c r="G884" t="str">
        <x:v>Apartmán</x:v>
      </x:c>
      <x:c r="H884" s="12" t="n">
        <x:v>2</x:v>
      </x:c>
      <x:c r="I884" s="13" t="n">
        <x:v>2</x:v>
      </x:c>
      <x:c r="J884" t="str">
        <x:v>A</x:v>
      </x:c>
      <x:c r="K884" s="14" t="n">
        <x:v>41.38</x:v>
      </x:c>
      <x:c r="L884" s="14"/>
      <x:c r="M884" s="14"/>
      <x:c r="N884" s="14"/>
      <x:c r="O884" s="14"/>
      <x:c r="P884" s="14" t="n">
        <x:v>4.65</x:v>
      </x:c>
      <x:c r="Q884" s="14" t="n">
        <x:v>46.03</x:v>
      </x:c>
      <x:c r="R884" s="15"/>
      <x:c r="S884" s="15"/>
      <x:c r="T884" s="15"/>
      <x:c r="U884" s="16"/>
      <x:c r="V884" t="str">
        <x:v>Tatra Real</x:v>
      </x:c>
      <x:c r="W884" t="str">
        <x:v>Ružinov</x:v>
      </x:c>
      <x:c r="X884" s="11" t="str">
        <x:v>Predaný</x:v>
      </x:c>
      <x:c r="Y884" s="11" t="str">
        <x:v>https://www.galvania.sk/byty/</x:v>
      </x:c>
      <x:c r="Z884" s="11" t="n">
        <x:v>46249.4134212037</x:v>
      </x:c>
      <x:c r="AA884" s="11" t="n">
        <x:v>46254.51251577547</x:v>
      </x:c>
      <x:c r="AB884" s="11" t="n">
        <x:v>46254.51251577547</x:v>
      </x:c>
      <x:c r="AC884" t="str">
        <x:v>galvania_rezidencie</x:v>
      </x:c>
    </x:row>
    <x:row r="885" ht="22" customHeight="1">
      <x:c r="A885" t="str">
        <x:v>Galvania Rezidencie</x:v>
      </x:c>
      <x:c r="B885" t="str">
        <x:v>A2.05</x:v>
      </x:c>
      <x:c r="C885" t="str">
        <x:v>sold</x:v>
      </x:c>
      <x:c r="D885" t="str">
        <x:v>present</x:v>
      </x:c>
      <x:c r="E885" t="str">
        <x:v>baseline</x:v>
      </x:c>
      <x:c r="F885" s="11" t="n">
        <x:v>46249.4134212037</x:v>
      </x:c>
      <x:c r="G885" t="str">
        <x:v>Apartmán</x:v>
      </x:c>
      <x:c r="H885" s="12" t="n">
        <x:v>2</x:v>
      </x:c>
      <x:c r="I885" s="13" t="n">
        <x:v>2</x:v>
      </x:c>
      <x:c r="J885" t="str">
        <x:v>A</x:v>
      </x:c>
      <x:c r="K885" s="14" t="n">
        <x:v>41.49</x:v>
      </x:c>
      <x:c r="L885" s="14"/>
      <x:c r="M885" s="14"/>
      <x:c r="N885" s="14"/>
      <x:c r="O885" s="14"/>
      <x:c r="P885" s="14" t="n">
        <x:v>5.38</x:v>
      </x:c>
      <x:c r="Q885" s="14" t="n">
        <x:v>46.87</x:v>
      </x:c>
      <x:c r="R885" s="15"/>
      <x:c r="S885" s="15"/>
      <x:c r="T885" s="15"/>
      <x:c r="U885" s="16"/>
      <x:c r="V885" t="str">
        <x:v>Tatra Real</x:v>
      </x:c>
      <x:c r="W885" t="str">
        <x:v>Ružinov</x:v>
      </x:c>
      <x:c r="X885" s="11" t="str">
        <x:v>Predaný</x:v>
      </x:c>
      <x:c r="Y885" s="11" t="str">
        <x:v>https://www.galvania.sk/byty/</x:v>
      </x:c>
      <x:c r="Z885" s="11" t="n">
        <x:v>46249.4134212037</x:v>
      </x:c>
      <x:c r="AA885" s="11" t="n">
        <x:v>46254.51251577547</x:v>
      </x:c>
      <x:c r="AB885" s="11" t="n">
        <x:v>46254.51251577547</x:v>
      </x:c>
      <x:c r="AC885" t="str">
        <x:v>galvania_rezidencie</x:v>
      </x:c>
    </x:row>
    <x:row r="886" ht="22" customHeight="1">
      <x:c r="A886" t="str">
        <x:v>Galvania Rezidencie</x:v>
      </x:c>
      <x:c r="B886" t="str">
        <x:v>A2.06</x:v>
      </x:c>
      <x:c r="C886" t="str">
        <x:v>sold</x:v>
      </x:c>
      <x:c r="D886" t="str">
        <x:v>present</x:v>
      </x:c>
      <x:c r="E886" t="str">
        <x:v>baseline</x:v>
      </x:c>
      <x:c r="F886" s="11" t="n">
        <x:v>46249.4134212037</x:v>
      </x:c>
      <x:c r="G886" t="str">
        <x:v>Apartmán</x:v>
      </x:c>
      <x:c r="H886" s="12" t="n">
        <x:v>2</x:v>
      </x:c>
      <x:c r="I886" s="13" t="n">
        <x:v>2</x:v>
      </x:c>
      <x:c r="J886" t="str">
        <x:v>A</x:v>
      </x:c>
      <x:c r="K886" s="14" t="n">
        <x:v>41.48</x:v>
      </x:c>
      <x:c r="L886" s="14"/>
      <x:c r="M886" s="14"/>
      <x:c r="N886" s="14"/>
      <x:c r="O886" s="14"/>
      <x:c r="P886" s="14" t="n">
        <x:v>5.27</x:v>
      </x:c>
      <x:c r="Q886" s="14" t="n">
        <x:v>46.75</x:v>
      </x:c>
      <x:c r="R886" s="15"/>
      <x:c r="S886" s="15"/>
      <x:c r="T886" s="15"/>
      <x:c r="U886" s="16"/>
      <x:c r="V886" t="str">
        <x:v>Tatra Real</x:v>
      </x:c>
      <x:c r="W886" t="str">
        <x:v>Ružinov</x:v>
      </x:c>
      <x:c r="X886" s="11" t="str">
        <x:v>Predaný</x:v>
      </x:c>
      <x:c r="Y886" s="11" t="str">
        <x:v>https://www.galvania.sk/byty/</x:v>
      </x:c>
      <x:c r="Z886" s="11" t="n">
        <x:v>46249.4134212037</x:v>
      </x:c>
      <x:c r="AA886" s="11" t="n">
        <x:v>46254.51251577547</x:v>
      </x:c>
      <x:c r="AB886" s="11" t="n">
        <x:v>46254.51251577547</x:v>
      </x:c>
      <x:c r="AC886" t="str">
        <x:v>galvania_rezidencie</x:v>
      </x:c>
    </x:row>
    <x:row r="887" ht="22" customHeight="1">
      <x:c r="A887" t="str">
        <x:v>Galvania Rezidencie</x:v>
      </x:c>
      <x:c r="B887" t="str">
        <x:v>A2.07</x:v>
      </x:c>
      <x:c r="C887" t="str">
        <x:v>sold</x:v>
      </x:c>
      <x:c r="D887" t="str">
        <x:v>present</x:v>
      </x:c>
      <x:c r="E887" t="str">
        <x:v>baseline</x:v>
      </x:c>
      <x:c r="F887" s="11" t="n">
        <x:v>46249.4134212037</x:v>
      </x:c>
      <x:c r="G887" t="str">
        <x:v>Apartmán</x:v>
      </x:c>
      <x:c r="H887" s="12" t="n">
        <x:v>2</x:v>
      </x:c>
      <x:c r="I887" s="13" t="n">
        <x:v>2</x:v>
      </x:c>
      <x:c r="J887" t="str">
        <x:v>A</x:v>
      </x:c>
      <x:c r="K887" s="14" t="n">
        <x:v>41.43</x:v>
      </x:c>
      <x:c r="L887" s="14"/>
      <x:c r="M887" s="14"/>
      <x:c r="N887" s="14"/>
      <x:c r="O887" s="14"/>
      <x:c r="P887" s="14" t="n">
        <x:v>5.4</x:v>
      </x:c>
      <x:c r="Q887" s="14" t="n">
        <x:v>46.83</x:v>
      </x:c>
      <x:c r="R887" s="15"/>
      <x:c r="S887" s="15"/>
      <x:c r="T887" s="15"/>
      <x:c r="U887" s="16"/>
      <x:c r="V887" t="str">
        <x:v>Tatra Real</x:v>
      </x:c>
      <x:c r="W887" t="str">
        <x:v>Ružinov</x:v>
      </x:c>
      <x:c r="X887" s="11" t="str">
        <x:v>Predaný</x:v>
      </x:c>
      <x:c r="Y887" s="11" t="str">
        <x:v>https://www.galvania.sk/byty/</x:v>
      </x:c>
      <x:c r="Z887" s="11" t="n">
        <x:v>46249.4134212037</x:v>
      </x:c>
      <x:c r="AA887" s="11" t="n">
        <x:v>46254.51251577547</x:v>
      </x:c>
      <x:c r="AB887" s="11" t="n">
        <x:v>46254.51251577547</x:v>
      </x:c>
      <x:c r="AC887" t="str">
        <x:v>galvania_rezidencie</x:v>
      </x:c>
    </x:row>
    <x:row r="888" ht="22" customHeight="1">
      <x:c r="A888" t="str">
        <x:v>Galvania Rezidencie</x:v>
      </x:c>
      <x:c r="B888" t="str">
        <x:v>A2.08</x:v>
      </x:c>
      <x:c r="C888" t="str">
        <x:v>sold</x:v>
      </x:c>
      <x:c r="D888" t="str">
        <x:v>present</x:v>
      </x:c>
      <x:c r="E888" t="str">
        <x:v>baseline</x:v>
      </x:c>
      <x:c r="F888" s="11" t="n">
        <x:v>46249.4134212037</x:v>
      </x:c>
      <x:c r="G888" t="str">
        <x:v>Apartmán</x:v>
      </x:c>
      <x:c r="H888" s="12" t="n">
        <x:v>2</x:v>
      </x:c>
      <x:c r="I888" s="13" t="n">
        <x:v>2</x:v>
      </x:c>
      <x:c r="J888" t="str">
        <x:v>A</x:v>
      </x:c>
      <x:c r="K888" s="14" t="n">
        <x:v>41.48</x:v>
      </x:c>
      <x:c r="L888" s="14"/>
      <x:c r="M888" s="14"/>
      <x:c r="N888" s="14"/>
      <x:c r="O888" s="14"/>
      <x:c r="P888" s="14" t="n">
        <x:v>5.27</x:v>
      </x:c>
      <x:c r="Q888" s="14" t="n">
        <x:v>46.75</x:v>
      </x:c>
      <x:c r="R888" s="15"/>
      <x:c r="S888" s="15"/>
      <x:c r="T888" s="15"/>
      <x:c r="U888" s="16"/>
      <x:c r="V888" t="str">
        <x:v>Tatra Real</x:v>
      </x:c>
      <x:c r="W888" t="str">
        <x:v>Ružinov</x:v>
      </x:c>
      <x:c r="X888" s="11" t="str">
        <x:v>Predaný</x:v>
      </x:c>
      <x:c r="Y888" s="11" t="str">
        <x:v>https://www.galvania.sk/byty/</x:v>
      </x:c>
      <x:c r="Z888" s="11" t="n">
        <x:v>46249.4134212037</x:v>
      </x:c>
      <x:c r="AA888" s="11" t="n">
        <x:v>46254.51251577547</x:v>
      </x:c>
      <x:c r="AB888" s="11" t="n">
        <x:v>46254.51251577547</x:v>
      </x:c>
      <x:c r="AC888" t="str">
        <x:v>galvania_rezidencie</x:v>
      </x:c>
    </x:row>
    <x:row r="889" ht="22" customHeight="1">
      <x:c r="A889" t="str">
        <x:v>Galvania Rezidencie</x:v>
      </x:c>
      <x:c r="B889" t="str">
        <x:v>A2.09</x:v>
      </x:c>
      <x:c r="C889" t="str">
        <x:v>sold</x:v>
      </x:c>
      <x:c r="D889" t="str">
        <x:v>present</x:v>
      </x:c>
      <x:c r="E889" t="str">
        <x:v>baseline</x:v>
      </x:c>
      <x:c r="F889" s="11" t="n">
        <x:v>46249.4134212037</x:v>
      </x:c>
      <x:c r="G889" t="str">
        <x:v>Apartmán</x:v>
      </x:c>
      <x:c r="H889" s="12" t="n">
        <x:v>2</x:v>
      </x:c>
      <x:c r="I889" s="13" t="n">
        <x:v>2</x:v>
      </x:c>
      <x:c r="J889" t="str">
        <x:v>A</x:v>
      </x:c>
      <x:c r="K889" s="14" t="n">
        <x:v>41.43</x:v>
      </x:c>
      <x:c r="L889" s="14"/>
      <x:c r="M889" s="14"/>
      <x:c r="N889" s="14"/>
      <x:c r="O889" s="14"/>
      <x:c r="P889" s="14" t="n">
        <x:v>5.42</x:v>
      </x:c>
      <x:c r="Q889" s="14" t="n">
        <x:v>46.85</x:v>
      </x:c>
      <x:c r="R889" s="15"/>
      <x:c r="S889" s="15"/>
      <x:c r="T889" s="15"/>
      <x:c r="U889" s="16"/>
      <x:c r="V889" t="str">
        <x:v>Tatra Real</x:v>
      </x:c>
      <x:c r="W889" t="str">
        <x:v>Ružinov</x:v>
      </x:c>
      <x:c r="X889" s="11" t="str">
        <x:v>Predaný</x:v>
      </x:c>
      <x:c r="Y889" s="11" t="str">
        <x:v>https://www.galvania.sk/byty/</x:v>
      </x:c>
      <x:c r="Z889" s="11" t="n">
        <x:v>46249.4134212037</x:v>
      </x:c>
      <x:c r="AA889" s="11" t="n">
        <x:v>46254.51251577547</x:v>
      </x:c>
      <x:c r="AB889" s="11" t="n">
        <x:v>46254.51251577547</x:v>
      </x:c>
      <x:c r="AC889" t="str">
        <x:v>galvania_rezidencie</x:v>
      </x:c>
    </x:row>
    <x:row r="890" ht="22" customHeight="1">
      <x:c r="A890" t="str">
        <x:v>Galvania Rezidencie</x:v>
      </x:c>
      <x:c r="B890" t="str">
        <x:v>A2.10</x:v>
      </x:c>
      <x:c r="C890" t="str">
        <x:v>sold</x:v>
      </x:c>
      <x:c r="D890" t="str">
        <x:v>present</x:v>
      </x:c>
      <x:c r="E890" t="str">
        <x:v>baseline</x:v>
      </x:c>
      <x:c r="F890" s="11" t="n">
        <x:v>46249.4134212037</x:v>
      </x:c>
      <x:c r="G890" t="str">
        <x:v>Apartmán</x:v>
      </x:c>
      <x:c r="H890" s="12" t="n">
        <x:v>2</x:v>
      </x:c>
      <x:c r="I890" s="13" t="n">
        <x:v>2</x:v>
      </x:c>
      <x:c r="J890" t="str">
        <x:v>A</x:v>
      </x:c>
      <x:c r="K890" s="14" t="n">
        <x:v>41.47</x:v>
      </x:c>
      <x:c r="L890" s="14"/>
      <x:c r="M890" s="14"/>
      <x:c r="N890" s="14"/>
      <x:c r="O890" s="14"/>
      <x:c r="P890" s="14" t="n">
        <x:v>5.25</x:v>
      </x:c>
      <x:c r="Q890" s="14" t="n">
        <x:v>46.72</x:v>
      </x:c>
      <x:c r="R890" s="15"/>
      <x:c r="S890" s="15"/>
      <x:c r="T890" s="15"/>
      <x:c r="U890" s="16"/>
      <x:c r="V890" t="str">
        <x:v>Tatra Real</x:v>
      </x:c>
      <x:c r="W890" t="str">
        <x:v>Ružinov</x:v>
      </x:c>
      <x:c r="X890" s="11" t="str">
        <x:v>Predaný</x:v>
      </x:c>
      <x:c r="Y890" s="11" t="str">
        <x:v>https://www.galvania.sk/byty/</x:v>
      </x:c>
      <x:c r="Z890" s="11" t="n">
        <x:v>46249.4134212037</x:v>
      </x:c>
      <x:c r="AA890" s="11" t="n">
        <x:v>46254.51251577547</x:v>
      </x:c>
      <x:c r="AB890" s="11" t="n">
        <x:v>46254.51251577547</x:v>
      </x:c>
      <x:c r="AC890" t="str">
        <x:v>galvania_rezidencie</x:v>
      </x:c>
    </x:row>
    <x:row r="891" ht="22" customHeight="1">
      <x:c r="A891" t="str">
        <x:v>Galvania Rezidencie</x:v>
      </x:c>
      <x:c r="B891" t="str">
        <x:v>A2.11</x:v>
      </x:c>
      <x:c r="C891" t="str">
        <x:v>sold</x:v>
      </x:c>
      <x:c r="D891" t="str">
        <x:v>present</x:v>
      </x:c>
      <x:c r="E891" t="str">
        <x:v>baseline</x:v>
      </x:c>
      <x:c r="F891" s="11" t="n">
        <x:v>46249.4134212037</x:v>
      </x:c>
      <x:c r="G891" t="str">
        <x:v>Apartmán</x:v>
      </x:c>
      <x:c r="H891" s="12" t="n">
        <x:v>2</x:v>
      </x:c>
      <x:c r="I891" s="13" t="n">
        <x:v>2</x:v>
      </x:c>
      <x:c r="J891" t="str">
        <x:v>A</x:v>
      </x:c>
      <x:c r="K891" s="14" t="n">
        <x:v>41.49</x:v>
      </x:c>
      <x:c r="L891" s="14"/>
      <x:c r="M891" s="14"/>
      <x:c r="N891" s="14"/>
      <x:c r="O891" s="14"/>
      <x:c r="P891" s="14" t="n">
        <x:v>5.44</x:v>
      </x:c>
      <x:c r="Q891" s="14" t="n">
        <x:v>46.93</x:v>
      </x:c>
      <x:c r="R891" s="15"/>
      <x:c r="S891" s="15"/>
      <x:c r="T891" s="15"/>
      <x:c r="U891" s="16"/>
      <x:c r="V891" t="str">
        <x:v>Tatra Real</x:v>
      </x:c>
      <x:c r="W891" t="str">
        <x:v>Ružinov</x:v>
      </x:c>
      <x:c r="X891" s="11" t="str">
        <x:v>Predaný</x:v>
      </x:c>
      <x:c r="Y891" s="11" t="str">
        <x:v>https://www.galvania.sk/byty/</x:v>
      </x:c>
      <x:c r="Z891" s="11" t="n">
        <x:v>46249.4134212037</x:v>
      </x:c>
      <x:c r="AA891" s="11" t="n">
        <x:v>46254.51251577547</x:v>
      </x:c>
      <x:c r="AB891" s="11" t="n">
        <x:v>46254.51251577547</x:v>
      </x:c>
      <x:c r="AC891" t="str">
        <x:v>galvania_rezidencie</x:v>
      </x:c>
    </x:row>
    <x:row r="892" ht="22" customHeight="1">
      <x:c r="A892" t="str">
        <x:v>Galvania Rezidencie</x:v>
      </x:c>
      <x:c r="B892" t="str">
        <x:v>A2.12</x:v>
      </x:c>
      <x:c r="C892" t="str">
        <x:v>sold</x:v>
      </x:c>
      <x:c r="D892" t="str">
        <x:v>present</x:v>
      </x:c>
      <x:c r="E892" t="str">
        <x:v>baseline</x:v>
      </x:c>
      <x:c r="F892" s="11" t="n">
        <x:v>46249.4134212037</x:v>
      </x:c>
      <x:c r="G892" t="str">
        <x:v>Apartmán</x:v>
      </x:c>
      <x:c r="H892" s="12" t="n">
        <x:v>2</x:v>
      </x:c>
      <x:c r="I892" s="13" t="n">
        <x:v>2</x:v>
      </x:c>
      <x:c r="J892" t="str">
        <x:v>A</x:v>
      </x:c>
      <x:c r="K892" s="14" t="n">
        <x:v>41.48</x:v>
      </x:c>
      <x:c r="L892" s="14"/>
      <x:c r="M892" s="14"/>
      <x:c r="N892" s="14"/>
      <x:c r="O892" s="14"/>
      <x:c r="P892" s="14" t="n">
        <x:v>5.23</x:v>
      </x:c>
      <x:c r="Q892" s="14" t="n">
        <x:v>46.71</x:v>
      </x:c>
      <x:c r="R892" s="15"/>
      <x:c r="S892" s="15"/>
      <x:c r="T892" s="15"/>
      <x:c r="U892" s="16"/>
      <x:c r="V892" t="str">
        <x:v>Tatra Real</x:v>
      </x:c>
      <x:c r="W892" t="str">
        <x:v>Ružinov</x:v>
      </x:c>
      <x:c r="X892" s="11" t="str">
        <x:v>Predaný</x:v>
      </x:c>
      <x:c r="Y892" s="11" t="str">
        <x:v>https://www.galvania.sk/byty/</x:v>
      </x:c>
      <x:c r="Z892" s="11" t="n">
        <x:v>46249.4134212037</x:v>
      </x:c>
      <x:c r="AA892" s="11" t="n">
        <x:v>46254.51251577547</x:v>
      </x:c>
      <x:c r="AB892" s="11" t="n">
        <x:v>46254.51251577547</x:v>
      </x:c>
      <x:c r="AC892" t="str">
        <x:v>galvania_rezidencie</x:v>
      </x:c>
    </x:row>
    <x:row r="893" ht="22" customHeight="1">
      <x:c r="A893" t="str">
        <x:v>Galvania Rezidencie</x:v>
      </x:c>
      <x:c r="B893" t="str">
        <x:v>A2.13</x:v>
      </x:c>
      <x:c r="C893" t="str">
        <x:v>coming_soon</x:v>
      </x:c>
      <x:c r="D893" t="str">
        <x:v>present</x:v>
      </x:c>
      <x:c r="E893" t="str">
        <x:v>baseline</x:v>
      </x:c>
      <x:c r="F893" s="11" t="n">
        <x:v>46249.4134212037</x:v>
      </x:c>
      <x:c r="G893" t="str">
        <x:v>Nebytový priestor s prechodným ubytovaním</x:v>
      </x:c>
      <x:c r="H893" s="12" t="n">
        <x:v>3</x:v>
      </x:c>
      <x:c r="I893" s="13" t="n">
        <x:v>2</x:v>
      </x:c>
      <x:c r="J893" t="str">
        <x:v>A</x:v>
      </x:c>
      <x:c r="K893" s="14" t="n">
        <x:v>48.07</x:v>
      </x:c>
      <x:c r="L893" s="14"/>
      <x:c r="M893" s="14"/>
      <x:c r="N893" s="14"/>
      <x:c r="O893" s="14"/>
      <x:c r="P893" s="14" t="n">
        <x:v>7.92</x:v>
      </x:c>
      <x:c r="Q893" s="14" t="n">
        <x:v>55.99</x:v>
      </x:c>
      <x:c r="R893" s="15"/>
      <x:c r="S893" s="15"/>
      <x:c r="T893" s="15"/>
      <x:c r="U893" s="16"/>
      <x:c r="V893" t="str">
        <x:v>Tatra Real</x:v>
      </x:c>
      <x:c r="W893" t="str">
        <x:v>Ružinov</x:v>
      </x:c>
      <x:c r="X893" s="11" t="str">
        <x:v>Pripravujeme</x:v>
      </x:c>
      <x:c r="Y893" s="11" t="str">
        <x:v>https://www.galvania.sk/byty/mam-zaujem-o-byt-A2.13/</x:v>
      </x:c>
      <x:c r="Z893" s="11" t="n">
        <x:v>46249.4134212037</x:v>
      </x:c>
      <x:c r="AA893" s="11" t="n">
        <x:v>46254.51251577547</x:v>
      </x:c>
      <x:c r="AB893" s="11" t="n">
        <x:v>46254.51251577547</x:v>
      </x:c>
      <x:c r="AC893" t="str">
        <x:v>galvania_rezidencie</x:v>
      </x:c>
    </x:row>
    <x:row r="894" ht="22" customHeight="1">
      <x:c r="A894" t="str">
        <x:v>Galvania Rezidencie</x:v>
      </x:c>
      <x:c r="B894" t="str">
        <x:v>A2.14</x:v>
      </x:c>
      <x:c r="C894" t="str">
        <x:v>sold</x:v>
      </x:c>
      <x:c r="D894" t="str">
        <x:v>present</x:v>
      </x:c>
      <x:c r="E894" t="str">
        <x:v>baseline</x:v>
      </x:c>
      <x:c r="F894" s="11" t="n">
        <x:v>46249.4134212037</x:v>
      </x:c>
      <x:c r="G894" t="str">
        <x:v>Apartmán</x:v>
      </x:c>
      <x:c r="H894" s="12" t="n">
        <x:v>3</x:v>
      </x:c>
      <x:c r="I894" s="13" t="n">
        <x:v>2</x:v>
      </x:c>
      <x:c r="J894" t="str">
        <x:v>A</x:v>
      </x:c>
      <x:c r="K894" s="14" t="n">
        <x:v>54.72</x:v>
      </x:c>
      <x:c r="L894" s="14"/>
      <x:c r="M894" s="14"/>
      <x:c r="N894" s="14"/>
      <x:c r="O894" s="14"/>
      <x:c r="P894" s="14" t="n">
        <x:v>8.25</x:v>
      </x:c>
      <x:c r="Q894" s="14" t="n">
        <x:v>62.97</x:v>
      </x:c>
      <x:c r="R894" s="15"/>
      <x:c r="S894" s="15"/>
      <x:c r="T894" s="15"/>
      <x:c r="U894" s="16"/>
      <x:c r="V894" t="str">
        <x:v>Tatra Real</x:v>
      </x:c>
      <x:c r="W894" t="str">
        <x:v>Ružinov</x:v>
      </x:c>
      <x:c r="X894" s="11" t="str">
        <x:v>Predaný</x:v>
      </x:c>
      <x:c r="Y894" s="11" t="str">
        <x:v>https://www.galvania.sk/byty/</x:v>
      </x:c>
      <x:c r="Z894" s="11" t="n">
        <x:v>46249.4134212037</x:v>
      </x:c>
      <x:c r="AA894" s="11" t="n">
        <x:v>46254.51251577547</x:v>
      </x:c>
      <x:c r="AB894" s="11" t="n">
        <x:v>46254.51251577547</x:v>
      </x:c>
      <x:c r="AC894" t="str">
        <x:v>galvania_rezidencie</x:v>
      </x:c>
    </x:row>
    <x:row r="895" ht="22" customHeight="1">
      <x:c r="A895" t="str">
        <x:v>Galvania Rezidencie</x:v>
      </x:c>
      <x:c r="B895" t="str">
        <x:v>A2.15</x:v>
      </x:c>
      <x:c r="C895" t="str">
        <x:v>sold</x:v>
      </x:c>
      <x:c r="D895" t="str">
        <x:v>present</x:v>
      </x:c>
      <x:c r="E895" t="str">
        <x:v>baseline</x:v>
      </x:c>
      <x:c r="F895" s="11" t="n">
        <x:v>46249.4134212037</x:v>
      </x:c>
      <x:c r="G895" t="str">
        <x:v>Apartmán</x:v>
      </x:c>
      <x:c r="H895" s="12" t="n">
        <x:v>2</x:v>
      </x:c>
      <x:c r="I895" s="13" t="n">
        <x:v>2</x:v>
      </x:c>
      <x:c r="J895" t="str">
        <x:v>A</x:v>
      </x:c>
      <x:c r="K895" s="14" t="n">
        <x:v>41.65</x:v>
      </x:c>
      <x:c r="L895" s="14"/>
      <x:c r="M895" s="14"/>
      <x:c r="N895" s="14"/>
      <x:c r="O895" s="14"/>
      <x:c r="P895" s="14" t="n">
        <x:v>5.48</x:v>
      </x:c>
      <x:c r="Q895" s="14" t="n">
        <x:v>47.13</x:v>
      </x:c>
      <x:c r="R895" s="15" t="n">
        <x:v>189000</x:v>
      </x:c>
      <x:c r="S895" s="15" t="n">
        <x:v>189000</x:v>
      </x:c>
      <x:c r="T895" s="15"/>
      <x:c r="U895" s="16" t="n">
        <x:v>4537.82</x:v>
      </x:c>
      <x:c r="V895" t="str">
        <x:v>Tatra Real</x:v>
      </x:c>
      <x:c r="W895" t="str">
        <x:v>Ružinov</x:v>
      </x:c>
      <x:c r="X895" s="11" t="str">
        <x:v>Predaný</x:v>
      </x:c>
      <x:c r="Y895" s="11" t="str">
        <x:v>https://www.galvania.sk/byty/</x:v>
      </x:c>
      <x:c r="Z895" s="11" t="n">
        <x:v>46249.4134212037</x:v>
      </x:c>
      <x:c r="AA895" s="11" t="n">
        <x:v>46254.51251577547</x:v>
      </x:c>
      <x:c r="AB895" s="11" t="n">
        <x:v>46254.51251577547</x:v>
      </x:c>
      <x:c r="AC895" t="str">
        <x:v>galvania_rezidencie</x:v>
      </x:c>
    </x:row>
    <x:row r="896" ht="22" customHeight="1">
      <x:c r="A896" t="str">
        <x:v>Galvania Rezidencie</x:v>
      </x:c>
      <x:c r="B896" t="str">
        <x:v>A2.16</x:v>
      </x:c>
      <x:c r="C896" t="str">
        <x:v>sold</x:v>
      </x:c>
      <x:c r="D896" t="str">
        <x:v>present</x:v>
      </x:c>
      <x:c r="E896" t="str">
        <x:v>baseline</x:v>
      </x:c>
      <x:c r="F896" s="11" t="n">
        <x:v>46249.4134212037</x:v>
      </x:c>
      <x:c r="G896" t="str">
        <x:v>Byt</x:v>
      </x:c>
      <x:c r="H896" s="12" t="n">
        <x:v>2</x:v>
      </x:c>
      <x:c r="I896" s="13" t="n">
        <x:v>2</x:v>
      </x:c>
      <x:c r="J896" t="str">
        <x:v>A</x:v>
      </x:c>
      <x:c r="K896" s="14" t="n">
        <x:v>56.34</x:v>
      </x:c>
      <x:c r="L896" s="14"/>
      <x:c r="M896" s="14"/>
      <x:c r="N896" s="14"/>
      <x:c r="O896" s="14"/>
      <x:c r="P896" s="14" t="n">
        <x:v>8.01</x:v>
      </x:c>
      <x:c r="Q896" s="14" t="n">
        <x:v>64.35</x:v>
      </x:c>
      <x:c r="R896" s="15"/>
      <x:c r="S896" s="15"/>
      <x:c r="T896" s="15"/>
      <x:c r="U896" s="16"/>
      <x:c r="V896" t="str">
        <x:v>Tatra Real</x:v>
      </x:c>
      <x:c r="W896" t="str">
        <x:v>Ružinov</x:v>
      </x:c>
      <x:c r="X896" s="11" t="str">
        <x:v>Predaný</x:v>
      </x:c>
      <x:c r="Y896" s="11" t="str">
        <x:v>https://www.galvania.sk/byty/</x:v>
      </x:c>
      <x:c r="Z896" s="11" t="n">
        <x:v>46249.4134212037</x:v>
      </x:c>
      <x:c r="AA896" s="11" t="n">
        <x:v>46254.51251577547</x:v>
      </x:c>
      <x:c r="AB896" s="11" t="n">
        <x:v>46254.51251577547</x:v>
      </x:c>
      <x:c r="AC896" t="str">
        <x:v>galvania_rezidencie</x:v>
      </x:c>
    </x:row>
    <x:row r="897" ht="22" customHeight="1">
      <x:c r="A897" t="str">
        <x:v>Galvania Rezidencie</x:v>
      </x:c>
      <x:c r="B897" t="str">
        <x:v>A3.01</x:v>
      </x:c>
      <x:c r="C897" t="str">
        <x:v>available</x:v>
      </x:c>
      <x:c r="D897" t="str">
        <x:v>present</x:v>
      </x:c>
      <x:c r="E897" t="str">
        <x:v>baseline</x:v>
      </x:c>
      <x:c r="F897" s="11" t="n">
        <x:v>46249.4134212037</x:v>
      </x:c>
      <x:c r="G897" t="str">
        <x:v>Apartmán</x:v>
      </x:c>
      <x:c r="H897" s="12" t="n">
        <x:v>1</x:v>
      </x:c>
      <x:c r="I897" s="13" t="n">
        <x:v>3</x:v>
      </x:c>
      <x:c r="J897" t="str">
        <x:v>A</x:v>
      </x:c>
      <x:c r="K897" s="14" t="n">
        <x:v>40.04</x:v>
      </x:c>
      <x:c r="L897" s="14"/>
      <x:c r="M897" s="14"/>
      <x:c r="N897" s="14"/>
      <x:c r="O897" s="14"/>
      <x:c r="P897" s="14" t="n">
        <x:v>3.57</x:v>
      </x:c>
      <x:c r="Q897" s="14" t="n">
        <x:v>43.61</x:v>
      </x:c>
      <x:c r="R897" s="15" t="n">
        <x:v>189000</x:v>
      </x:c>
      <x:c r="S897" s="15" t="n">
        <x:v>189000</x:v>
      </x:c>
      <x:c r="T897" s="15"/>
      <x:c r="U897" s="16" t="n">
        <x:v>4720.28</x:v>
      </x:c>
      <x:c r="V897" t="str">
        <x:v>Tatra Real</x:v>
      </x:c>
      <x:c r="W897" t="str">
        <x:v>Ružinov</x:v>
      </x:c>
      <x:c r="X897" s="11" t="str">
        <x:v>Voľný</x:v>
      </x:c>
      <x:c r="Y897" s="11" t="str">
        <x:v>https://www.galvania.sk/byty/mam-zaujem-o-byt-A3.01/</x:v>
      </x:c>
      <x:c r="Z897" s="11" t="n">
        <x:v>46249.4134212037</x:v>
      </x:c>
      <x:c r="AA897" s="11" t="n">
        <x:v>46254.51251577547</x:v>
      </x:c>
      <x:c r="AB897" s="11" t="n">
        <x:v>46254.51251577547</x:v>
      </x:c>
      <x:c r="AC897" t="str">
        <x:v>galvania_rezidencie</x:v>
      </x:c>
    </x:row>
    <x:row r="898" ht="22" customHeight="1">
      <x:c r="A898" t="str">
        <x:v>Galvania Rezidencie</x:v>
      </x:c>
      <x:c r="B898" t="str">
        <x:v>A3.02</x:v>
      </x:c>
      <x:c r="C898" t="str">
        <x:v>available</x:v>
      </x:c>
      <x:c r="D898" t="str">
        <x:v>present</x:v>
      </x:c>
      <x:c r="E898" t="str">
        <x:v>baseline</x:v>
      </x:c>
      <x:c r="F898" s="11" t="n">
        <x:v>46249.4134212037</x:v>
      </x:c>
      <x:c r="G898" t="str">
        <x:v>Apartmán</x:v>
      </x:c>
      <x:c r="H898" s="12" t="n">
        <x:v>1</x:v>
      </x:c>
      <x:c r="I898" s="13" t="n">
        <x:v>3</x:v>
      </x:c>
      <x:c r="J898" t="str">
        <x:v>A</x:v>
      </x:c>
      <x:c r="K898" s="14" t="n">
        <x:v>35.18</x:v>
      </x:c>
      <x:c r="L898" s="14"/>
      <x:c r="M898" s="14"/>
      <x:c r="N898" s="14"/>
      <x:c r="O898" s="14"/>
      <x:c r="P898" s="14" t="n">
        <x:v>3.57</x:v>
      </x:c>
      <x:c r="Q898" s="14" t="n">
        <x:v>38.75</x:v>
      </x:c>
      <x:c r="R898" s="15" t="n">
        <x:v>179000</x:v>
      </x:c>
      <x:c r="S898" s="15" t="n">
        <x:v>179000</x:v>
      </x:c>
      <x:c r="T898" s="15"/>
      <x:c r="U898" s="16" t="n">
        <x:v>5088.12</x:v>
      </x:c>
      <x:c r="V898" t="str">
        <x:v>Tatra Real</x:v>
      </x:c>
      <x:c r="W898" t="str">
        <x:v>Ružinov</x:v>
      </x:c>
      <x:c r="X898" s="11" t="str">
        <x:v>Voľný</x:v>
      </x:c>
      <x:c r="Y898" s="11" t="str">
        <x:v>https://www.galvania.sk/byty/mam-zaujem-o-byt-A3.02/</x:v>
      </x:c>
      <x:c r="Z898" s="11" t="n">
        <x:v>46249.4134212037</x:v>
      </x:c>
      <x:c r="AA898" s="11" t="n">
        <x:v>46254.51251577547</x:v>
      </x:c>
      <x:c r="AB898" s="11" t="n">
        <x:v>46254.51251577547</x:v>
      </x:c>
      <x:c r="AC898" t="str">
        <x:v>galvania_rezidencie</x:v>
      </x:c>
    </x:row>
    <x:row r="899" ht="22" customHeight="1">
      <x:c r="A899" t="str">
        <x:v>Galvania Rezidencie</x:v>
      </x:c>
      <x:c r="B899" t="str">
        <x:v>A3.03</x:v>
      </x:c>
      <x:c r="C899" t="str">
        <x:v>available</x:v>
      </x:c>
      <x:c r="D899" t="str">
        <x:v>present</x:v>
      </x:c>
      <x:c r="E899" t="str">
        <x:v>baseline</x:v>
      </x:c>
      <x:c r="F899" s="11" t="n">
        <x:v>46249.4134212037</x:v>
      </x:c>
      <x:c r="G899" t="str">
        <x:v>Apartmán</x:v>
      </x:c>
      <x:c r="H899" s="12" t="n">
        <x:v>1</x:v>
      </x:c>
      <x:c r="I899" s="13" t="n">
        <x:v>3</x:v>
      </x:c>
      <x:c r="J899" t="str">
        <x:v>A</x:v>
      </x:c>
      <x:c r="K899" s="14" t="n">
        <x:v>35.18</x:v>
      </x:c>
      <x:c r="L899" s="14"/>
      <x:c r="M899" s="14"/>
      <x:c r="N899" s="14"/>
      <x:c r="O899" s="14"/>
      <x:c r="P899" s="14" t="n">
        <x:v>3.57</x:v>
      </x:c>
      <x:c r="Q899" s="14" t="n">
        <x:v>38.75</x:v>
      </x:c>
      <x:c r="R899" s="15" t="n">
        <x:v>179000</x:v>
      </x:c>
      <x:c r="S899" s="15" t="n">
        <x:v>179000</x:v>
      </x:c>
      <x:c r="T899" s="15"/>
      <x:c r="U899" s="16" t="n">
        <x:v>5088.12</x:v>
      </x:c>
      <x:c r="V899" t="str">
        <x:v>Tatra Real</x:v>
      </x:c>
      <x:c r="W899" t="str">
        <x:v>Ružinov</x:v>
      </x:c>
      <x:c r="X899" s="11" t="str">
        <x:v>Voľný</x:v>
      </x:c>
      <x:c r="Y899" s="11" t="str">
        <x:v>https://www.galvania.sk/byty/mam-zaujem-o-byt-A3.03/</x:v>
      </x:c>
      <x:c r="Z899" s="11" t="n">
        <x:v>46249.4134212037</x:v>
      </x:c>
      <x:c r="AA899" s="11" t="n">
        <x:v>46254.51251577547</x:v>
      </x:c>
      <x:c r="AB899" s="11" t="n">
        <x:v>46254.51251577547</x:v>
      </x:c>
      <x:c r="AC899" t="str">
        <x:v>galvania_rezidencie</x:v>
      </x:c>
    </x:row>
    <x:row r="900" ht="22" customHeight="1">
      <x:c r="A900" t="str">
        <x:v>Galvania Rezidencie</x:v>
      </x:c>
      <x:c r="B900" t="str">
        <x:v>A3.04</x:v>
      </x:c>
      <x:c r="C900" t="str">
        <x:v>available</x:v>
      </x:c>
      <x:c r="D900" t="str">
        <x:v>present</x:v>
      </x:c>
      <x:c r="E900" t="str">
        <x:v>baseline</x:v>
      </x:c>
      <x:c r="F900" s="11" t="n">
        <x:v>46249.4134212037</x:v>
      </x:c>
      <x:c r="G900" t="str">
        <x:v>Apartmán</x:v>
      </x:c>
      <x:c r="H900" s="12" t="n">
        <x:v>2</x:v>
      </x:c>
      <x:c r="I900" s="13" t="n">
        <x:v>3</x:v>
      </x:c>
      <x:c r="J900" t="str">
        <x:v>A</x:v>
      </x:c>
      <x:c r="K900" s="14" t="n">
        <x:v>41.56</x:v>
      </x:c>
      <x:c r="L900" s="14"/>
      <x:c r="M900" s="14"/>
      <x:c r="N900" s="14"/>
      <x:c r="O900" s="14"/>
      <x:c r="P900" s="14" t="n">
        <x:v>4.7</x:v>
      </x:c>
      <x:c r="Q900" s="14" t="n">
        <x:v>46.26</x:v>
      </x:c>
      <x:c r="R900" s="15" t="n">
        <x:v>194500</x:v>
      </x:c>
      <x:c r="S900" s="15" t="n">
        <x:v>194500</x:v>
      </x:c>
      <x:c r="T900" s="15"/>
      <x:c r="U900" s="16" t="n">
        <x:v>4679.98</x:v>
      </x:c>
      <x:c r="V900" t="str">
        <x:v>Tatra Real</x:v>
      </x:c>
      <x:c r="W900" t="str">
        <x:v>Ružinov</x:v>
      </x:c>
      <x:c r="X900" s="11" t="str">
        <x:v>Voľný</x:v>
      </x:c>
      <x:c r="Y900" s="11" t="str">
        <x:v>https://www.galvania.sk/byty/mam-zaujem-o-byt-A3.04/</x:v>
      </x:c>
      <x:c r="Z900" s="11" t="n">
        <x:v>46249.4134212037</x:v>
      </x:c>
      <x:c r="AA900" s="11" t="n">
        <x:v>46254.51251577547</x:v>
      </x:c>
      <x:c r="AB900" s="11" t="n">
        <x:v>46254.51251577547</x:v>
      </x:c>
      <x:c r="AC900" t="str">
        <x:v>galvania_rezidencie</x:v>
      </x:c>
    </x:row>
    <x:row r="901" ht="22" customHeight="1">
      <x:c r="A901" t="str">
        <x:v>Galvania Rezidencie</x:v>
      </x:c>
      <x:c r="B901" t="str">
        <x:v>A3.05</x:v>
      </x:c>
      <x:c r="C901" t="str">
        <x:v>reserved</x:v>
      </x:c>
      <x:c r="D901" t="str">
        <x:v>present</x:v>
      </x:c>
      <x:c r="E901" t="str">
        <x:v>baseline</x:v>
      </x:c>
      <x:c r="F901" s="11" t="n">
        <x:v>46249.4134212037</x:v>
      </x:c>
      <x:c r="G901" t="str">
        <x:v>Apartmán</x:v>
      </x:c>
      <x:c r="H901" s="12" t="n">
        <x:v>2</x:v>
      </x:c>
      <x:c r="I901" s="13" t="n">
        <x:v>3</x:v>
      </x:c>
      <x:c r="J901" t="str">
        <x:v>A</x:v>
      </x:c>
      <x:c r="K901" s="14" t="n">
        <x:v>41.67</x:v>
      </x:c>
      <x:c r="L901" s="14"/>
      <x:c r="M901" s="14"/>
      <x:c r="N901" s="14"/>
      <x:c r="O901" s="14"/>
      <x:c r="P901" s="14" t="n">
        <x:v>5.38</x:v>
      </x:c>
      <x:c r="Q901" s="14" t="n">
        <x:v>47.05</x:v>
      </x:c>
      <x:c r="R901" s="15" t="n">
        <x:v>196500</x:v>
      </x:c>
      <x:c r="S901" s="15" t="n">
        <x:v>196500</x:v>
      </x:c>
      <x:c r="T901" s="15"/>
      <x:c r="U901" s="16" t="n">
        <x:v>4715.62</x:v>
      </x:c>
      <x:c r="V901" t="str">
        <x:v>Tatra Real</x:v>
      </x:c>
      <x:c r="W901" t="str">
        <x:v>Ružinov</x:v>
      </x:c>
      <x:c r="X901" s="11" t="str">
        <x:v>Rezervovaný</x:v>
      </x:c>
      <x:c r="Y901" s="11" t="str">
        <x:v>https://www.galvania.sk/byty/mam-zaujem-o-byt-A3.05/</x:v>
      </x:c>
      <x:c r="Z901" s="11" t="n">
        <x:v>46249.4134212037</x:v>
      </x:c>
      <x:c r="AA901" s="11" t="n">
        <x:v>46254.51251577547</x:v>
      </x:c>
      <x:c r="AB901" s="11" t="n">
        <x:v>46254.51251577547</x:v>
      </x:c>
      <x:c r="AC901" t="str">
        <x:v>galvania_rezidencie</x:v>
      </x:c>
    </x:row>
    <x:row r="902" ht="22" customHeight="1">
      <x:c r="A902" t="str">
        <x:v>Galvania Rezidencie</x:v>
      </x:c>
      <x:c r="B902" t="str">
        <x:v>A3.06</x:v>
      </x:c>
      <x:c r="C902" t="str">
        <x:v>sold</x:v>
      </x:c>
      <x:c r="D902" t="str">
        <x:v>present</x:v>
      </x:c>
      <x:c r="E902" t="str">
        <x:v>baseline</x:v>
      </x:c>
      <x:c r="F902" s="11" t="n">
        <x:v>46249.4134212037</x:v>
      </x:c>
      <x:c r="G902" t="str">
        <x:v>Apartmán</x:v>
      </x:c>
      <x:c r="H902" s="12" t="n">
        <x:v>2</x:v>
      </x:c>
      <x:c r="I902" s="13" t="n">
        <x:v>3</x:v>
      </x:c>
      <x:c r="J902" t="str">
        <x:v>A</x:v>
      </x:c>
      <x:c r="K902" s="14" t="n">
        <x:v>41.66</x:v>
      </x:c>
      <x:c r="L902" s="14"/>
      <x:c r="M902" s="14"/>
      <x:c r="N902" s="14"/>
      <x:c r="O902" s="14"/>
      <x:c r="P902" s="14" t="n">
        <x:v>5.27</x:v>
      </x:c>
      <x:c r="Q902" s="14" t="n">
        <x:v>46.93</x:v>
      </x:c>
      <x:c r="R902" s="15"/>
      <x:c r="S902" s="15"/>
      <x:c r="T902" s="15"/>
      <x:c r="U902" s="16"/>
      <x:c r="V902" t="str">
        <x:v>Tatra Real</x:v>
      </x:c>
      <x:c r="W902" t="str">
        <x:v>Ružinov</x:v>
      </x:c>
      <x:c r="X902" s="11" t="str">
        <x:v>Predaný</x:v>
      </x:c>
      <x:c r="Y902" s="11" t="str">
        <x:v>https://www.galvania.sk/byty/</x:v>
      </x:c>
      <x:c r="Z902" s="11" t="n">
        <x:v>46249.4134212037</x:v>
      </x:c>
      <x:c r="AA902" s="11" t="n">
        <x:v>46254.51251577547</x:v>
      </x:c>
      <x:c r="AB902" s="11" t="n">
        <x:v>46254.51251577547</x:v>
      </x:c>
      <x:c r="AC902" t="str">
        <x:v>galvania_rezidencie</x:v>
      </x:c>
    </x:row>
    <x:row r="903" ht="22" customHeight="1">
      <x:c r="A903" t="str">
        <x:v>Galvania Rezidencie</x:v>
      </x:c>
      <x:c r="B903" t="str">
        <x:v>A3.07</x:v>
      </x:c>
      <x:c r="C903" t="str">
        <x:v>sold</x:v>
      </x:c>
      <x:c r="D903" t="str">
        <x:v>present</x:v>
      </x:c>
      <x:c r="E903" t="str">
        <x:v>baseline</x:v>
      </x:c>
      <x:c r="F903" s="11" t="n">
        <x:v>46249.4134212037</x:v>
      </x:c>
      <x:c r="G903" t="str">
        <x:v>Apartmán</x:v>
      </x:c>
      <x:c r="H903" s="12" t="n">
        <x:v>2</x:v>
      </x:c>
      <x:c r="I903" s="13" t="n">
        <x:v>3</x:v>
      </x:c>
      <x:c r="J903" t="str">
        <x:v>A</x:v>
      </x:c>
      <x:c r="K903" s="14" t="n">
        <x:v>41.61</x:v>
      </x:c>
      <x:c r="L903" s="14"/>
      <x:c r="M903" s="14"/>
      <x:c r="N903" s="14"/>
      <x:c r="O903" s="14"/>
      <x:c r="P903" s="14" t="n">
        <x:v>5.4</x:v>
      </x:c>
      <x:c r="Q903" s="14" t="n">
        <x:v>47.01</x:v>
      </x:c>
      <x:c r="R903" s="15"/>
      <x:c r="S903" s="15"/>
      <x:c r="T903" s="15"/>
      <x:c r="U903" s="16"/>
      <x:c r="V903" t="str">
        <x:v>Tatra Real</x:v>
      </x:c>
      <x:c r="W903" t="str">
        <x:v>Ružinov</x:v>
      </x:c>
      <x:c r="X903" s="11" t="str">
        <x:v>Predaný</x:v>
      </x:c>
      <x:c r="Y903" s="11" t="str">
        <x:v>https://www.galvania.sk/byty/</x:v>
      </x:c>
      <x:c r="Z903" s="11" t="n">
        <x:v>46249.4134212037</x:v>
      </x:c>
      <x:c r="AA903" s="11" t="n">
        <x:v>46254.51251577547</x:v>
      </x:c>
      <x:c r="AB903" s="11" t="n">
        <x:v>46254.51251577547</x:v>
      </x:c>
      <x:c r="AC903" t="str">
        <x:v>galvania_rezidencie</x:v>
      </x:c>
    </x:row>
    <x:row r="904" ht="22" customHeight="1">
      <x:c r="A904" t="str">
        <x:v>Galvania Rezidencie</x:v>
      </x:c>
      <x:c r="B904" t="str">
        <x:v>A3.08</x:v>
      </x:c>
      <x:c r="C904" t="str">
        <x:v>sold</x:v>
      </x:c>
      <x:c r="D904" t="str">
        <x:v>present</x:v>
      </x:c>
      <x:c r="E904" t="str">
        <x:v>baseline</x:v>
      </x:c>
      <x:c r="F904" s="11" t="n">
        <x:v>46249.4134212037</x:v>
      </x:c>
      <x:c r="G904" t="str">
        <x:v>Apartmán</x:v>
      </x:c>
      <x:c r="H904" s="12" t="n">
        <x:v>2</x:v>
      </x:c>
      <x:c r="I904" s="13" t="n">
        <x:v>3</x:v>
      </x:c>
      <x:c r="J904" t="str">
        <x:v>A</x:v>
      </x:c>
      <x:c r="K904" s="14" t="n">
        <x:v>41.65</x:v>
      </x:c>
      <x:c r="L904" s="14"/>
      <x:c r="M904" s="14"/>
      <x:c r="N904" s="14"/>
      <x:c r="O904" s="14"/>
      <x:c r="P904" s="14" t="n">
        <x:v>5.27</x:v>
      </x:c>
      <x:c r="Q904" s="14" t="n">
        <x:v>46.92</x:v>
      </x:c>
      <x:c r="R904" s="15"/>
      <x:c r="S904" s="15"/>
      <x:c r="T904" s="15"/>
      <x:c r="U904" s="16"/>
      <x:c r="V904" t="str">
        <x:v>Tatra Real</x:v>
      </x:c>
      <x:c r="W904" t="str">
        <x:v>Ružinov</x:v>
      </x:c>
      <x:c r="X904" s="11" t="str">
        <x:v>Predaný</x:v>
      </x:c>
      <x:c r="Y904" s="11" t="str">
        <x:v>https://www.galvania.sk/byty/</x:v>
      </x:c>
      <x:c r="Z904" s="11" t="n">
        <x:v>46249.4134212037</x:v>
      </x:c>
      <x:c r="AA904" s="11" t="n">
        <x:v>46254.51251577547</x:v>
      </x:c>
      <x:c r="AB904" s="11" t="n">
        <x:v>46254.51251577547</x:v>
      </x:c>
      <x:c r="AC904" t="str">
        <x:v>galvania_rezidencie</x:v>
      </x:c>
    </x:row>
    <x:row r="905" ht="22" customHeight="1">
      <x:c r="A905" t="str">
        <x:v>Galvania Rezidencie</x:v>
      </x:c>
      <x:c r="B905" t="str">
        <x:v>A3.09</x:v>
      </x:c>
      <x:c r="C905" t="str">
        <x:v>sold</x:v>
      </x:c>
      <x:c r="D905" t="str">
        <x:v>present</x:v>
      </x:c>
      <x:c r="E905" t="str">
        <x:v>baseline</x:v>
      </x:c>
      <x:c r="F905" s="11" t="n">
        <x:v>46249.4134212037</x:v>
      </x:c>
      <x:c r="G905" t="str">
        <x:v>Apartmán</x:v>
      </x:c>
      <x:c r="H905" s="12" t="n">
        <x:v>2</x:v>
      </x:c>
      <x:c r="I905" s="13" t="n">
        <x:v>3</x:v>
      </x:c>
      <x:c r="J905" t="str">
        <x:v>A</x:v>
      </x:c>
      <x:c r="K905" s="14" t="n">
        <x:v>41.61</x:v>
      </x:c>
      <x:c r="L905" s="14"/>
      <x:c r="M905" s="14"/>
      <x:c r="N905" s="14"/>
      <x:c r="O905" s="14"/>
      <x:c r="P905" s="14" t="n">
        <x:v>5.42</x:v>
      </x:c>
      <x:c r="Q905" s="14" t="n">
        <x:v>47.03</x:v>
      </x:c>
      <x:c r="R905" s="15"/>
      <x:c r="S905" s="15"/>
      <x:c r="T905" s="15"/>
      <x:c r="U905" s="16"/>
      <x:c r="V905" t="str">
        <x:v>Tatra Real</x:v>
      </x:c>
      <x:c r="W905" t="str">
        <x:v>Ružinov</x:v>
      </x:c>
      <x:c r="X905" s="11" t="str">
        <x:v>Predaný</x:v>
      </x:c>
      <x:c r="Y905" s="11" t="str">
        <x:v>https://www.galvania.sk/byty/</x:v>
      </x:c>
      <x:c r="Z905" s="11" t="n">
        <x:v>46249.4134212037</x:v>
      </x:c>
      <x:c r="AA905" s="11" t="n">
        <x:v>46254.51251577547</x:v>
      </x:c>
      <x:c r="AB905" s="11" t="n">
        <x:v>46254.51251577547</x:v>
      </x:c>
      <x:c r="AC905" t="str">
        <x:v>galvania_rezidencie</x:v>
      </x:c>
    </x:row>
    <x:row r="906" ht="22" customHeight="1">
      <x:c r="A906" t="str">
        <x:v>Galvania Rezidencie</x:v>
      </x:c>
      <x:c r="B906" t="str">
        <x:v>A3.10</x:v>
      </x:c>
      <x:c r="C906" t="str">
        <x:v>reserved</x:v>
      </x:c>
      <x:c r="D906" t="str">
        <x:v>present</x:v>
      </x:c>
      <x:c r="E906" t="str">
        <x:v>baseline</x:v>
      </x:c>
      <x:c r="F906" s="11" t="n">
        <x:v>46249.4134212037</x:v>
      </x:c>
      <x:c r="G906" t="str">
        <x:v>Apartmán</x:v>
      </x:c>
      <x:c r="H906" s="12" t="n">
        <x:v>2</x:v>
      </x:c>
      <x:c r="I906" s="13" t="n">
        <x:v>3</x:v>
      </x:c>
      <x:c r="J906" t="str">
        <x:v>A</x:v>
      </x:c>
      <x:c r="K906" s="14" t="n">
        <x:v>41.65</x:v>
      </x:c>
      <x:c r="L906" s="14"/>
      <x:c r="M906" s="14"/>
      <x:c r="N906" s="14"/>
      <x:c r="O906" s="14"/>
      <x:c r="P906" s="14" t="n">
        <x:v>5.25</x:v>
      </x:c>
      <x:c r="Q906" s="14" t="n">
        <x:v>46.9</x:v>
      </x:c>
      <x:c r="R906" s="15" t="n">
        <x:v>194500</x:v>
      </x:c>
      <x:c r="S906" s="15" t="n">
        <x:v>194500</x:v>
      </x:c>
      <x:c r="T906" s="15"/>
      <x:c r="U906" s="16" t="n">
        <x:v>4669.87</x:v>
      </x:c>
      <x:c r="V906" t="str">
        <x:v>Tatra Real</x:v>
      </x:c>
      <x:c r="W906" t="str">
        <x:v>Ružinov</x:v>
      </x:c>
      <x:c r="X906" s="11" t="str">
        <x:v>Rezervovaný</x:v>
      </x:c>
      <x:c r="Y906" s="11" t="str">
        <x:v>https://www.galvania.sk/byty/mam-zaujem-o-byt-A3.10/</x:v>
      </x:c>
      <x:c r="Z906" s="11" t="n">
        <x:v>46249.4134212037</x:v>
      </x:c>
      <x:c r="AA906" s="11" t="n">
        <x:v>46254.51251577547</x:v>
      </x:c>
      <x:c r="AB906" s="11" t="n">
        <x:v>46254.51251577547</x:v>
      </x:c>
      <x:c r="AC906" t="str">
        <x:v>galvania_rezidencie</x:v>
      </x:c>
    </x:row>
    <x:row r="907" ht="22" customHeight="1">
      <x:c r="A907" t="str">
        <x:v>Galvania Rezidencie</x:v>
      </x:c>
      <x:c r="B907" t="str">
        <x:v>A3.11</x:v>
      </x:c>
      <x:c r="C907" t="str">
        <x:v>sold</x:v>
      </x:c>
      <x:c r="D907" t="str">
        <x:v>present</x:v>
      </x:c>
      <x:c r="E907" t="str">
        <x:v>baseline</x:v>
      </x:c>
      <x:c r="F907" s="11" t="n">
        <x:v>46249.4134212037</x:v>
      </x:c>
      <x:c r="G907" t="str">
        <x:v>Apartmán</x:v>
      </x:c>
      <x:c r="H907" s="12" t="n">
        <x:v>2</x:v>
      </x:c>
      <x:c r="I907" s="13" t="n">
        <x:v>3</x:v>
      </x:c>
      <x:c r="J907" t="str">
        <x:v>A</x:v>
      </x:c>
      <x:c r="K907" s="14" t="n">
        <x:v>41.66</x:v>
      </x:c>
      <x:c r="L907" s="14"/>
      <x:c r="M907" s="14"/>
      <x:c r="N907" s="14"/>
      <x:c r="O907" s="14"/>
      <x:c r="P907" s="14" t="n">
        <x:v>5.44</x:v>
      </x:c>
      <x:c r="Q907" s="14" t="n">
        <x:v>47.1</x:v>
      </x:c>
      <x:c r="R907" s="15"/>
      <x:c r="S907" s="15"/>
      <x:c r="T907" s="15"/>
      <x:c r="U907" s="16"/>
      <x:c r="V907" t="str">
        <x:v>Tatra Real</x:v>
      </x:c>
      <x:c r="W907" t="str">
        <x:v>Ružinov</x:v>
      </x:c>
      <x:c r="X907" s="11" t="str">
        <x:v>Predaný</x:v>
      </x:c>
      <x:c r="Y907" s="11" t="str">
        <x:v>https://www.galvania.sk/byty/</x:v>
      </x:c>
      <x:c r="Z907" s="11" t="n">
        <x:v>46249.4134212037</x:v>
      </x:c>
      <x:c r="AA907" s="11" t="n">
        <x:v>46254.51251577547</x:v>
      </x:c>
      <x:c r="AB907" s="11" t="n">
        <x:v>46254.51251577547</x:v>
      </x:c>
      <x:c r="AC907" t="str">
        <x:v>galvania_rezidencie</x:v>
      </x:c>
    </x:row>
    <x:row r="908" ht="22" customHeight="1">
      <x:c r="A908" t="str">
        <x:v>Galvania Rezidencie</x:v>
      </x:c>
      <x:c r="B908" t="str">
        <x:v>A3.12</x:v>
      </x:c>
      <x:c r="C908" t="str">
        <x:v>sold</x:v>
      </x:c>
      <x:c r="D908" t="str">
        <x:v>present</x:v>
      </x:c>
      <x:c r="E908" t="str">
        <x:v>baseline</x:v>
      </x:c>
      <x:c r="F908" s="11" t="n">
        <x:v>46249.4134212037</x:v>
      </x:c>
      <x:c r="G908" t="str">
        <x:v>Apartmán</x:v>
      </x:c>
      <x:c r="H908" s="12" t="n">
        <x:v>2</x:v>
      </x:c>
      <x:c r="I908" s="13" t="n">
        <x:v>3</x:v>
      </x:c>
      <x:c r="J908" t="str">
        <x:v>A</x:v>
      </x:c>
      <x:c r="K908" s="14" t="n">
        <x:v>41.64</x:v>
      </x:c>
      <x:c r="L908" s="14"/>
      <x:c r="M908" s="14"/>
      <x:c r="N908" s="14"/>
      <x:c r="O908" s="14"/>
      <x:c r="P908" s="14" t="n">
        <x:v>5.23</x:v>
      </x:c>
      <x:c r="Q908" s="14" t="n">
        <x:v>46.87</x:v>
      </x:c>
      <x:c r="R908" s="15"/>
      <x:c r="S908" s="15"/>
      <x:c r="T908" s="15"/>
      <x:c r="U908" s="16"/>
      <x:c r="V908" t="str">
        <x:v>Tatra Real</x:v>
      </x:c>
      <x:c r="W908" t="str">
        <x:v>Ružinov</x:v>
      </x:c>
      <x:c r="X908" s="11" t="str">
        <x:v>Predaný</x:v>
      </x:c>
      <x:c r="Y908" s="11" t="str">
        <x:v>https://www.galvania.sk/byty/</x:v>
      </x:c>
      <x:c r="Z908" s="11" t="n">
        <x:v>46249.4134212037</x:v>
      </x:c>
      <x:c r="AA908" s="11" t="n">
        <x:v>46254.51251577547</x:v>
      </x:c>
      <x:c r="AB908" s="11" t="n">
        <x:v>46254.51251577547</x:v>
      </x:c>
      <x:c r="AC908" t="str">
        <x:v>galvania_rezidencie</x:v>
      </x:c>
    </x:row>
    <x:row r="909" ht="22" customHeight="1">
      <x:c r="A909" t="str">
        <x:v>Galvania Rezidencie</x:v>
      </x:c>
      <x:c r="B909" t="str">
        <x:v>A3.13</x:v>
      </x:c>
      <x:c r="C909" t="str">
        <x:v>coming_soon</x:v>
      </x:c>
      <x:c r="D909" t="str">
        <x:v>present</x:v>
      </x:c>
      <x:c r="E909" t="str">
        <x:v>baseline</x:v>
      </x:c>
      <x:c r="F909" s="11" t="n">
        <x:v>46249.4134212037</x:v>
      </x:c>
      <x:c r="G909" t="str">
        <x:v>Nebytový priestor s prechodným ubytovaním</x:v>
      </x:c>
      <x:c r="H909" s="12" t="n">
        <x:v>3</x:v>
      </x:c>
      <x:c r="I909" s="13" t="n">
        <x:v>3</x:v>
      </x:c>
      <x:c r="J909" t="str">
        <x:v>A</x:v>
      </x:c>
      <x:c r="K909" s="14" t="n">
        <x:v>48.25</x:v>
      </x:c>
      <x:c r="L909" s="14"/>
      <x:c r="M909" s="14"/>
      <x:c r="N909" s="14"/>
      <x:c r="O909" s="14"/>
      <x:c r="P909" s="14" t="n">
        <x:v>7.92</x:v>
      </x:c>
      <x:c r="Q909" s="14" t="n">
        <x:v>56.17</x:v>
      </x:c>
      <x:c r="R909" s="15"/>
      <x:c r="S909" s="15"/>
      <x:c r="T909" s="15"/>
      <x:c r="U909" s="16"/>
      <x:c r="V909" t="str">
        <x:v>Tatra Real</x:v>
      </x:c>
      <x:c r="W909" t="str">
        <x:v>Ružinov</x:v>
      </x:c>
      <x:c r="X909" s="11" t="str">
        <x:v>Pripravujeme</x:v>
      </x:c>
      <x:c r="Y909" s="11" t="str">
        <x:v>https://www.galvania.sk/byty/mam-zaujem-o-byt-A3.13/</x:v>
      </x:c>
      <x:c r="Z909" s="11" t="n">
        <x:v>46249.4134212037</x:v>
      </x:c>
      <x:c r="AA909" s="11" t="n">
        <x:v>46254.51251577547</x:v>
      </x:c>
      <x:c r="AB909" s="11" t="n">
        <x:v>46254.51251577547</x:v>
      </x:c>
      <x:c r="AC909" t="str">
        <x:v>galvania_rezidencie</x:v>
      </x:c>
    </x:row>
    <x:row r="910" ht="22" customHeight="1">
      <x:c r="A910" t="str">
        <x:v>Galvania Rezidencie</x:v>
      </x:c>
      <x:c r="B910" t="str">
        <x:v>A3.14</x:v>
      </x:c>
      <x:c r="C910" t="str">
        <x:v>available</x:v>
      </x:c>
      <x:c r="D910" t="str">
        <x:v>present</x:v>
      </x:c>
      <x:c r="E910" t="str">
        <x:v>baseline</x:v>
      </x:c>
      <x:c r="F910" s="11" t="n">
        <x:v>46249.4134212037</x:v>
      </x:c>
      <x:c r="G910" t="str">
        <x:v>Apartmán</x:v>
      </x:c>
      <x:c r="H910" s="12" t="n">
        <x:v>3</x:v>
      </x:c>
      <x:c r="I910" s="13" t="n">
        <x:v>3</x:v>
      </x:c>
      <x:c r="J910" t="str">
        <x:v>A</x:v>
      </x:c>
      <x:c r="K910" s="14" t="n">
        <x:v>54.72</x:v>
      </x:c>
      <x:c r="L910" s="14"/>
      <x:c r="M910" s="14"/>
      <x:c r="N910" s="14"/>
      <x:c r="O910" s="14"/>
      <x:c r="P910" s="14" t="n">
        <x:v>8.25</x:v>
      </x:c>
      <x:c r="Q910" s="14" t="n">
        <x:v>62.97</x:v>
      </x:c>
      <x:c r="R910" s="15" t="n">
        <x:v>267000</x:v>
      </x:c>
      <x:c r="S910" s="15" t="n">
        <x:v>267000</x:v>
      </x:c>
      <x:c r="T910" s="15"/>
      <x:c r="U910" s="16" t="n">
        <x:v>4879.39</x:v>
      </x:c>
      <x:c r="V910" t="str">
        <x:v>Tatra Real</x:v>
      </x:c>
      <x:c r="W910" t="str">
        <x:v>Ružinov</x:v>
      </x:c>
      <x:c r="X910" s="11" t="str">
        <x:v>Voľný</x:v>
      </x:c>
      <x:c r="Y910" s="11" t="str">
        <x:v>https://www.galvania.sk/byty/mam-zaujem-o-byt-A3.14/</x:v>
      </x:c>
      <x:c r="Z910" s="11" t="n">
        <x:v>46249.4134212037</x:v>
      </x:c>
      <x:c r="AA910" s="11" t="n">
        <x:v>46254.51251577547</x:v>
      </x:c>
      <x:c r="AB910" s="11" t="n">
        <x:v>46254.51251577547</x:v>
      </x:c>
      <x:c r="AC910" t="str">
        <x:v>galvania_rezidencie</x:v>
      </x:c>
    </x:row>
    <x:row r="911" ht="22" customHeight="1">
      <x:c r="A911" t="str">
        <x:v>Galvania Rezidencie</x:v>
      </x:c>
      <x:c r="B911" t="str">
        <x:v>A3.15</x:v>
      </x:c>
      <x:c r="C911" t="str">
        <x:v>sold</x:v>
      </x:c>
      <x:c r="D911" t="str">
        <x:v>present</x:v>
      </x:c>
      <x:c r="E911" t="str">
        <x:v>baseline</x:v>
      </x:c>
      <x:c r="F911" s="11" t="n">
        <x:v>46249.4134212037</x:v>
      </x:c>
      <x:c r="G911" t="str">
        <x:v>Apartmán</x:v>
      </x:c>
      <x:c r="H911" s="12" t="n">
        <x:v>2</x:v>
      </x:c>
      <x:c r="I911" s="13" t="n">
        <x:v>3</x:v>
      </x:c>
      <x:c r="J911" t="str">
        <x:v>A</x:v>
      </x:c>
      <x:c r="K911" s="14" t="n">
        <x:v>41.65</x:v>
      </x:c>
      <x:c r="L911" s="14"/>
      <x:c r="M911" s="14"/>
      <x:c r="N911" s="14"/>
      <x:c r="O911" s="14"/>
      <x:c r="P911" s="14" t="n">
        <x:v>5.48</x:v>
      </x:c>
      <x:c r="Q911" s="14" t="n">
        <x:v>47.13</x:v>
      </x:c>
      <x:c r="R911" s="15"/>
      <x:c r="S911" s="15"/>
      <x:c r="T911" s="15"/>
      <x:c r="U911" s="16"/>
      <x:c r="V911" t="str">
        <x:v>Tatra Real</x:v>
      </x:c>
      <x:c r="W911" t="str">
        <x:v>Ružinov</x:v>
      </x:c>
      <x:c r="X911" s="11" t="str">
        <x:v>Predaný</x:v>
      </x:c>
      <x:c r="Y911" s="11" t="str">
        <x:v>https://www.galvania.sk/byty/</x:v>
      </x:c>
      <x:c r="Z911" s="11" t="n">
        <x:v>46249.4134212037</x:v>
      </x:c>
      <x:c r="AA911" s="11" t="n">
        <x:v>46254.51251577547</x:v>
      </x:c>
      <x:c r="AB911" s="11" t="n">
        <x:v>46254.51251577547</x:v>
      </x:c>
      <x:c r="AC911" t="str">
        <x:v>galvania_rezidencie</x:v>
      </x:c>
    </x:row>
    <x:row r="912" ht="22" customHeight="1">
      <x:c r="A912" t="str">
        <x:v>Galvania Rezidencie</x:v>
      </x:c>
      <x:c r="B912" t="str">
        <x:v>A3.16</x:v>
      </x:c>
      <x:c r="C912" t="str">
        <x:v>sold</x:v>
      </x:c>
      <x:c r="D912" t="str">
        <x:v>present</x:v>
      </x:c>
      <x:c r="E912" t="str">
        <x:v>baseline</x:v>
      </x:c>
      <x:c r="F912" s="11" t="n">
        <x:v>46249.4134212037</x:v>
      </x:c>
      <x:c r="G912" t="str">
        <x:v>Byt</x:v>
      </x:c>
      <x:c r="H912" s="12" t="n">
        <x:v>2</x:v>
      </x:c>
      <x:c r="I912" s="13" t="n">
        <x:v>3</x:v>
      </x:c>
      <x:c r="J912" t="str">
        <x:v>A</x:v>
      </x:c>
      <x:c r="K912" s="14" t="n">
        <x:v>56.34</x:v>
      </x:c>
      <x:c r="L912" s="14"/>
      <x:c r="M912" s="14"/>
      <x:c r="N912" s="14"/>
      <x:c r="O912" s="14"/>
      <x:c r="P912" s="14" t="n">
        <x:v>8.01</x:v>
      </x:c>
      <x:c r="Q912" s="14" t="n">
        <x:v>64.35</x:v>
      </x:c>
      <x:c r="R912" s="15"/>
      <x:c r="S912" s="15"/>
      <x:c r="T912" s="15"/>
      <x:c r="U912" s="16"/>
      <x:c r="V912" t="str">
        <x:v>Tatra Real</x:v>
      </x:c>
      <x:c r="W912" t="str">
        <x:v>Ružinov</x:v>
      </x:c>
      <x:c r="X912" s="11" t="str">
        <x:v>Predaný</x:v>
      </x:c>
      <x:c r="Y912" s="11" t="str">
        <x:v>https://www.galvania.sk/byty/</x:v>
      </x:c>
      <x:c r="Z912" s="11" t="n">
        <x:v>46249.4134212037</x:v>
      </x:c>
      <x:c r="AA912" s="11" t="n">
        <x:v>46254.51251577547</x:v>
      </x:c>
      <x:c r="AB912" s="11" t="n">
        <x:v>46254.51251577547</x:v>
      </x:c>
      <x:c r="AC912" t="str">
        <x:v>galvania_rezidencie</x:v>
      </x:c>
    </x:row>
    <x:row r="913" ht="22" customHeight="1">
      <x:c r="A913" t="str">
        <x:v>Galvania Rezidencie</x:v>
      </x:c>
      <x:c r="B913" t="str">
        <x:v>A4.01</x:v>
      </x:c>
      <x:c r="C913" t="str">
        <x:v>coming_soon</x:v>
      </x:c>
      <x:c r="D913" t="str">
        <x:v>present</x:v>
      </x:c>
      <x:c r="E913" t="str">
        <x:v>baseline</x:v>
      </x:c>
      <x:c r="F913" s="11" t="n">
        <x:v>46249.4134212037</x:v>
      </x:c>
      <x:c r="G913" t="str">
        <x:v>Apartmán</x:v>
      </x:c>
      <x:c r="H913" s="12" t="n">
        <x:v>1</x:v>
      </x:c>
      <x:c r="I913" s="13" t="n">
        <x:v>4</x:v>
      </x:c>
      <x:c r="J913" t="str">
        <x:v>A</x:v>
      </x:c>
      <x:c r="K913" s="14" t="n">
        <x:v>39.49</x:v>
      </x:c>
      <x:c r="L913" s="14"/>
      <x:c r="M913" s="14"/>
      <x:c r="N913" s="14"/>
      <x:c r="O913" s="14"/>
      <x:c r="P913" s="14" t="n">
        <x:v>3.52</x:v>
      </x:c>
      <x:c r="Q913" s="14" t="n">
        <x:v>43.01</x:v>
      </x:c>
      <x:c r="R913" s="15"/>
      <x:c r="S913" s="15"/>
      <x:c r="T913" s="15"/>
      <x:c r="U913" s="16"/>
      <x:c r="V913" t="str">
        <x:v>Tatra Real</x:v>
      </x:c>
      <x:c r="W913" t="str">
        <x:v>Ružinov</x:v>
      </x:c>
      <x:c r="X913" s="11" t="str">
        <x:v>Pripravujeme</x:v>
      </x:c>
      <x:c r="Y913" s="11" t="str">
        <x:v>https://www.galvania.sk/byty/mam-zaujem-o-byt-A4.01/</x:v>
      </x:c>
      <x:c r="Z913" s="11" t="n">
        <x:v>46249.4134212037</x:v>
      </x:c>
      <x:c r="AA913" s="11" t="n">
        <x:v>46254.51251577547</x:v>
      </x:c>
      <x:c r="AB913" s="11" t="n">
        <x:v>46254.51251577547</x:v>
      </x:c>
      <x:c r="AC913" t="str">
        <x:v>galvania_rezidencie</x:v>
      </x:c>
    </x:row>
    <x:row r="914" ht="22" customHeight="1">
      <x:c r="A914" t="str">
        <x:v>Galvania Rezidencie</x:v>
      </x:c>
      <x:c r="B914" t="str">
        <x:v>A4.02</x:v>
      </x:c>
      <x:c r="C914" t="str">
        <x:v>coming_soon</x:v>
      </x:c>
      <x:c r="D914" t="str">
        <x:v>present</x:v>
      </x:c>
      <x:c r="E914" t="str">
        <x:v>baseline</x:v>
      </x:c>
      <x:c r="F914" s="11" t="n">
        <x:v>46249.4134212037</x:v>
      </x:c>
      <x:c r="G914" t="str">
        <x:v>Apartmán</x:v>
      </x:c>
      <x:c r="H914" s="12" t="n">
        <x:v>1</x:v>
      </x:c>
      <x:c r="I914" s="13" t="n">
        <x:v>4</x:v>
      </x:c>
      <x:c r="J914" t="str">
        <x:v>A</x:v>
      </x:c>
      <x:c r="K914" s="14" t="n">
        <x:v>34.04</x:v>
      </x:c>
      <x:c r="L914" s="14"/>
      <x:c r="M914" s="14"/>
      <x:c r="N914" s="14"/>
      <x:c r="O914" s="14"/>
      <x:c r="P914" s="14" t="n">
        <x:v>3.52</x:v>
      </x:c>
      <x:c r="Q914" s="14" t="n">
        <x:v>37.56</x:v>
      </x:c>
      <x:c r="R914" s="15"/>
      <x:c r="S914" s="15"/>
      <x:c r="T914" s="15"/>
      <x:c r="U914" s="16"/>
      <x:c r="V914" t="str">
        <x:v>Tatra Real</x:v>
      </x:c>
      <x:c r="W914" t="str">
        <x:v>Ružinov</x:v>
      </x:c>
      <x:c r="X914" s="11" t="str">
        <x:v>Pripravujeme</x:v>
      </x:c>
      <x:c r="Y914" s="11" t="str">
        <x:v>https://www.galvania.sk/byty/mam-zaujem-o-byt-A4.02/</x:v>
      </x:c>
      <x:c r="Z914" s="11" t="n">
        <x:v>46249.4134212037</x:v>
      </x:c>
      <x:c r="AA914" s="11" t="n">
        <x:v>46254.51251577547</x:v>
      </x:c>
      <x:c r="AB914" s="11" t="n">
        <x:v>46254.51251577547</x:v>
      </x:c>
      <x:c r="AC914" t="str">
        <x:v>galvania_rezidencie</x:v>
      </x:c>
    </x:row>
    <x:row r="915" ht="22" customHeight="1">
      <x:c r="A915" t="str">
        <x:v>Galvania Rezidencie</x:v>
      </x:c>
      <x:c r="B915" t="str">
        <x:v>A4.03</x:v>
      </x:c>
      <x:c r="C915" t="str">
        <x:v>coming_soon</x:v>
      </x:c>
      <x:c r="D915" t="str">
        <x:v>present</x:v>
      </x:c>
      <x:c r="E915" t="str">
        <x:v>baseline</x:v>
      </x:c>
      <x:c r="F915" s="11" t="n">
        <x:v>46249.4134212037</x:v>
      </x:c>
      <x:c r="G915" t="str">
        <x:v>Apartmán</x:v>
      </x:c>
      <x:c r="H915" s="12" t="n">
        <x:v>1</x:v>
      </x:c>
      <x:c r="I915" s="13" t="n">
        <x:v>4</x:v>
      </x:c>
      <x:c r="J915" t="str">
        <x:v>A</x:v>
      </x:c>
      <x:c r="K915" s="14" t="n">
        <x:v>33.91</x:v>
      </x:c>
      <x:c r="L915" s="14"/>
      <x:c r="M915" s="14"/>
      <x:c r="N915" s="14"/>
      <x:c r="O915" s="14"/>
      <x:c r="P915" s="14" t="n">
        <x:v>3.52</x:v>
      </x:c>
      <x:c r="Q915" s="14" t="n">
        <x:v>37.43</x:v>
      </x:c>
      <x:c r="R915" s="15"/>
      <x:c r="S915" s="15"/>
      <x:c r="T915" s="15"/>
      <x:c r="U915" s="16"/>
      <x:c r="V915" t="str">
        <x:v>Tatra Real</x:v>
      </x:c>
      <x:c r="W915" t="str">
        <x:v>Ružinov</x:v>
      </x:c>
      <x:c r="X915" s="11" t="str">
        <x:v>Pripravujeme</x:v>
      </x:c>
      <x:c r="Y915" s="11" t="str">
        <x:v>https://www.galvania.sk/byty/mam-zaujem-o-byt-A4.03/</x:v>
      </x:c>
      <x:c r="Z915" s="11" t="n">
        <x:v>46249.4134212037</x:v>
      </x:c>
      <x:c r="AA915" s="11" t="n">
        <x:v>46254.51251577547</x:v>
      </x:c>
      <x:c r="AB915" s="11" t="n">
        <x:v>46254.51251577547</x:v>
      </x:c>
      <x:c r="AC915" t="str">
        <x:v>galvania_rezidencie</x:v>
      </x:c>
    </x:row>
    <x:row r="916" ht="22" customHeight="1">
      <x:c r="A916" t="str">
        <x:v>Galvania Rezidencie</x:v>
      </x:c>
      <x:c r="B916" t="str">
        <x:v>A4.04</x:v>
      </x:c>
      <x:c r="C916" t="str">
        <x:v>available</x:v>
      </x:c>
      <x:c r="D916" t="str">
        <x:v>present</x:v>
      </x:c>
      <x:c r="E916" t="str">
        <x:v>baseline</x:v>
      </x:c>
      <x:c r="F916" s="11" t="n">
        <x:v>46249.4134212037</x:v>
      </x:c>
      <x:c r="G916" t="str">
        <x:v>Apartmán</x:v>
      </x:c>
      <x:c r="H916" s="12" t="n">
        <x:v>2</x:v>
      </x:c>
      <x:c r="I916" s="13" t="n">
        <x:v>4</x:v>
      </x:c>
      <x:c r="J916" t="str">
        <x:v>A</x:v>
      </x:c>
      <x:c r="K916" s="14" t="n">
        <x:v>41.12</x:v>
      </x:c>
      <x:c r="L916" s="14"/>
      <x:c r="M916" s="14"/>
      <x:c r="N916" s="14"/>
      <x:c r="O916" s="14"/>
      <x:c r="P916" s="14" t="n">
        <x:v>4.72</x:v>
      </x:c>
      <x:c r="Q916" s="14" t="n">
        <x:v>45.84</x:v>
      </x:c>
      <x:c r="R916" s="15" t="n">
        <x:v>199500</x:v>
      </x:c>
      <x:c r="S916" s="15" t="n">
        <x:v>199500</x:v>
      </x:c>
      <x:c r="T916" s="15"/>
      <x:c r="U916" s="16" t="n">
        <x:v>4851.65</x:v>
      </x:c>
      <x:c r="V916" t="str">
        <x:v>Tatra Real</x:v>
      </x:c>
      <x:c r="W916" t="str">
        <x:v>Ružinov</x:v>
      </x:c>
      <x:c r="X916" s="11" t="str">
        <x:v>Voľný</x:v>
      </x:c>
      <x:c r="Y916" s="11" t="str">
        <x:v>https://www.galvania.sk/byty/mam-zaujem-o-byt-A4.04/</x:v>
      </x:c>
      <x:c r="Z916" s="11" t="n">
        <x:v>46249.4134212037</x:v>
      </x:c>
      <x:c r="AA916" s="11" t="n">
        <x:v>46254.51251577547</x:v>
      </x:c>
      <x:c r="AB916" s="11" t="n">
        <x:v>46254.51251577547</x:v>
      </x:c>
      <x:c r="AC916" t="str">
        <x:v>galvania_rezidencie</x:v>
      </x:c>
    </x:row>
    <x:row r="917" ht="22" customHeight="1">
      <x:c r="A917" t="str">
        <x:v>Galvania Rezidencie</x:v>
      </x:c>
      <x:c r="B917" t="str">
        <x:v>A4.05</x:v>
      </x:c>
      <x:c r="C917" t="str">
        <x:v>sold</x:v>
      </x:c>
      <x:c r="D917" t="str">
        <x:v>present</x:v>
      </x:c>
      <x:c r="E917" t="str">
        <x:v>baseline</x:v>
      </x:c>
      <x:c r="F917" s="11" t="n">
        <x:v>46249.4134212037</x:v>
      </x:c>
      <x:c r="G917" t="str">
        <x:v>Apartmán</x:v>
      </x:c>
      <x:c r="H917" s="12" t="n">
        <x:v>2</x:v>
      </x:c>
      <x:c r="I917" s="13" t="n">
        <x:v>4</x:v>
      </x:c>
      <x:c r="J917" t="str">
        <x:v>A</x:v>
      </x:c>
      <x:c r="K917" s="14" t="n">
        <x:v>41.27</x:v>
      </x:c>
      <x:c r="L917" s="14"/>
      <x:c r="M917" s="14"/>
      <x:c r="N917" s="14"/>
      <x:c r="O917" s="14"/>
      <x:c r="P917" s="14" t="n">
        <x:v>5.38</x:v>
      </x:c>
      <x:c r="Q917" s="14" t="n">
        <x:v>46.65</x:v>
      </x:c>
      <x:c r="R917" s="15"/>
      <x:c r="S917" s="15"/>
      <x:c r="T917" s="15"/>
      <x:c r="U917" s="16"/>
      <x:c r="V917" t="str">
        <x:v>Tatra Real</x:v>
      </x:c>
      <x:c r="W917" t="str">
        <x:v>Ružinov</x:v>
      </x:c>
      <x:c r="X917" s="11" t="str">
        <x:v>Predaný</x:v>
      </x:c>
      <x:c r="Y917" s="11" t="str">
        <x:v>https://www.galvania.sk/byty/</x:v>
      </x:c>
      <x:c r="Z917" s="11" t="n">
        <x:v>46249.4134212037</x:v>
      </x:c>
      <x:c r="AA917" s="11" t="n">
        <x:v>46254.51251577547</x:v>
      </x:c>
      <x:c r="AB917" s="11" t="n">
        <x:v>46254.51251577547</x:v>
      </x:c>
      <x:c r="AC917" t="str">
        <x:v>galvania_rezidencie</x:v>
      </x:c>
    </x:row>
    <x:row r="918" ht="22" customHeight="1">
      <x:c r="A918" t="str">
        <x:v>Galvania Rezidencie</x:v>
      </x:c>
      <x:c r="B918" t="str">
        <x:v>A4.06</x:v>
      </x:c>
      <x:c r="C918" t="str">
        <x:v>available</x:v>
      </x:c>
      <x:c r="D918" t="str">
        <x:v>present</x:v>
      </x:c>
      <x:c r="E918" t="str">
        <x:v>baseline</x:v>
      </x:c>
      <x:c r="F918" s="11" t="n">
        <x:v>46249.4134212037</x:v>
      </x:c>
      <x:c r="G918" t="str">
        <x:v>Apartmán</x:v>
      </x:c>
      <x:c r="H918" s="12" t="n">
        <x:v>2</x:v>
      </x:c>
      <x:c r="I918" s="13" t="n">
        <x:v>4</x:v>
      </x:c>
      <x:c r="J918" t="str">
        <x:v>A</x:v>
      </x:c>
      <x:c r="K918" s="14" t="n">
        <x:v>41.22</x:v>
      </x:c>
      <x:c r="L918" s="14"/>
      <x:c r="M918" s="14"/>
      <x:c r="N918" s="14"/>
      <x:c r="O918" s="14"/>
      <x:c r="P918" s="14" t="n">
        <x:v>5.27</x:v>
      </x:c>
      <x:c r="Q918" s="14" t="n">
        <x:v>46.49</x:v>
      </x:c>
      <x:c r="R918" s="15" t="n">
        <x:v>199500</x:v>
      </x:c>
      <x:c r="S918" s="15" t="n">
        <x:v>199500</x:v>
      </x:c>
      <x:c r="T918" s="15"/>
      <x:c r="U918" s="16" t="n">
        <x:v>4839.88</x:v>
      </x:c>
      <x:c r="V918" t="str">
        <x:v>Tatra Real</x:v>
      </x:c>
      <x:c r="W918" t="str">
        <x:v>Ružinov</x:v>
      </x:c>
      <x:c r="X918" s="11" t="str">
        <x:v>Voľný</x:v>
      </x:c>
      <x:c r="Y918" s="11" t="str">
        <x:v>https://www.galvania.sk/byty/mam-zaujem-o-byt-A4.06/</x:v>
      </x:c>
      <x:c r="Z918" s="11" t="n">
        <x:v>46249.4134212037</x:v>
      </x:c>
      <x:c r="AA918" s="11" t="n">
        <x:v>46254.51251577547</x:v>
      </x:c>
      <x:c r="AB918" s="11" t="n">
        <x:v>46254.51251577547</x:v>
      </x:c>
      <x:c r="AC918" t="str">
        <x:v>galvania_rezidencie</x:v>
      </x:c>
    </x:row>
    <x:row r="919" ht="22" customHeight="1">
      <x:c r="A919" t="str">
        <x:v>Galvania Rezidencie</x:v>
      </x:c>
      <x:c r="B919" t="str">
        <x:v>A4.07</x:v>
      </x:c>
      <x:c r="C919" t="str">
        <x:v>pre_reserved</x:v>
      </x:c>
      <x:c r="D919" t="str">
        <x:v>present</x:v>
      </x:c>
      <x:c r="E919" t="str">
        <x:v>baseline</x:v>
      </x:c>
      <x:c r="F919" s="11" t="n">
        <x:v>46249.4134212037</x:v>
      </x:c>
      <x:c r="G919" t="str">
        <x:v>Apartmán</x:v>
      </x:c>
      <x:c r="H919" s="12" t="n">
        <x:v>2</x:v>
      </x:c>
      <x:c r="I919" s="13" t="n">
        <x:v>4</x:v>
      </x:c>
      <x:c r="J919" t="str">
        <x:v>A</x:v>
      </x:c>
      <x:c r="K919" s="14" t="n">
        <x:v>41.18</x:v>
      </x:c>
      <x:c r="L919" s="14"/>
      <x:c r="M919" s="14"/>
      <x:c r="N919" s="14"/>
      <x:c r="O919" s="14"/>
      <x:c r="P919" s="14" t="n">
        <x:v>5.4</x:v>
      </x:c>
      <x:c r="Q919" s="14" t="n">
        <x:v>46.58</x:v>
      </x:c>
      <x:c r="R919" s="15" t="n">
        <x:v>201500</x:v>
      </x:c>
      <x:c r="S919" s="15" t="n">
        <x:v>201500</x:v>
      </x:c>
      <x:c r="T919" s="15"/>
      <x:c r="U919" s="16" t="n">
        <x:v>4893.15</x:v>
      </x:c>
      <x:c r="V919" t="str">
        <x:v>Tatra Real</x:v>
      </x:c>
      <x:c r="W919" t="str">
        <x:v>Ružinov</x:v>
      </x:c>
      <x:c r="X919" s="11" t="str">
        <x:v>Predrezervovaný</x:v>
      </x:c>
      <x:c r="Y919" s="11" t="str">
        <x:v>https://www.galvania.sk/byty/mam-zaujem-o-byt-A4.07/</x:v>
      </x:c>
      <x:c r="Z919" s="11" t="n">
        <x:v>46249.4134212037</x:v>
      </x:c>
      <x:c r="AA919" s="11" t="n">
        <x:v>46254.51251577547</x:v>
      </x:c>
      <x:c r="AB919" s="11" t="n">
        <x:v>46254.51251577547</x:v>
      </x:c>
      <x:c r="AC919" t="str">
        <x:v>galvania_rezidencie</x:v>
      </x:c>
    </x:row>
    <x:row r="920" ht="22" customHeight="1">
      <x:c r="A920" t="str">
        <x:v>Galvania Rezidencie</x:v>
      </x:c>
      <x:c r="B920" t="str">
        <x:v>A4.08</x:v>
      </x:c>
      <x:c r="C920" t="str">
        <x:v>available</x:v>
      </x:c>
      <x:c r="D920" t="str">
        <x:v>present</x:v>
      </x:c>
      <x:c r="E920" t="str">
        <x:v>baseline</x:v>
      </x:c>
      <x:c r="F920" s="11" t="n">
        <x:v>46249.4134212037</x:v>
      </x:c>
      <x:c r="G920" t="str">
        <x:v>Apartmán</x:v>
      </x:c>
      <x:c r="H920" s="12" t="n">
        <x:v>2</x:v>
      </x:c>
      <x:c r="I920" s="13" t="n">
        <x:v>4</x:v>
      </x:c>
      <x:c r="J920" t="str">
        <x:v>A</x:v>
      </x:c>
      <x:c r="K920" s="14" t="n">
        <x:v>41.22</x:v>
      </x:c>
      <x:c r="L920" s="14"/>
      <x:c r="M920" s="14"/>
      <x:c r="N920" s="14"/>
      <x:c r="O920" s="14"/>
      <x:c r="P920" s="14" t="n">
        <x:v>5.27</x:v>
      </x:c>
      <x:c r="Q920" s="14" t="n">
        <x:v>46.49</x:v>
      </x:c>
      <x:c r="R920" s="15" t="n">
        <x:v>199500</x:v>
      </x:c>
      <x:c r="S920" s="15" t="n">
        <x:v>199500</x:v>
      </x:c>
      <x:c r="T920" s="15"/>
      <x:c r="U920" s="16" t="n">
        <x:v>4839.88</x:v>
      </x:c>
      <x:c r="V920" t="str">
        <x:v>Tatra Real</x:v>
      </x:c>
      <x:c r="W920" t="str">
        <x:v>Ružinov</x:v>
      </x:c>
      <x:c r="X920" s="11" t="str">
        <x:v>Voľný</x:v>
      </x:c>
      <x:c r="Y920" s="11" t="str">
        <x:v>https://www.galvania.sk/byty/mam-zaujem-o-byt-A4.08/</x:v>
      </x:c>
      <x:c r="Z920" s="11" t="n">
        <x:v>46249.4134212037</x:v>
      </x:c>
      <x:c r="AA920" s="11" t="n">
        <x:v>46254.51251577547</x:v>
      </x:c>
      <x:c r="AB920" s="11" t="n">
        <x:v>46254.51251577547</x:v>
      </x:c>
      <x:c r="AC920" t="str">
        <x:v>galvania_rezidencie</x:v>
      </x:c>
    </x:row>
    <x:row r="921" ht="22" customHeight="1">
      <x:c r="A921" t="str">
        <x:v>Galvania Rezidencie</x:v>
      </x:c>
      <x:c r="B921" t="str">
        <x:v>A4.09</x:v>
      </x:c>
      <x:c r="C921" t="str">
        <x:v>sold</x:v>
      </x:c>
      <x:c r="D921" t="str">
        <x:v>present</x:v>
      </x:c>
      <x:c r="E921" t="str">
        <x:v>baseline</x:v>
      </x:c>
      <x:c r="F921" s="11" t="n">
        <x:v>46249.4134212037</x:v>
      </x:c>
      <x:c r="G921" t="str">
        <x:v>Apartmán</x:v>
      </x:c>
      <x:c r="H921" s="12" t="n">
        <x:v>2</x:v>
      </x:c>
      <x:c r="I921" s="13" t="n">
        <x:v>4</x:v>
      </x:c>
      <x:c r="J921" t="str">
        <x:v>A</x:v>
      </x:c>
      <x:c r="K921" s="14" t="n">
        <x:v>41.18</x:v>
      </x:c>
      <x:c r="L921" s="14"/>
      <x:c r="M921" s="14"/>
      <x:c r="N921" s="14"/>
      <x:c r="O921" s="14"/>
      <x:c r="P921" s="14" t="n">
        <x:v>5.42</x:v>
      </x:c>
      <x:c r="Q921" s="14" t="n">
        <x:v>46.6</x:v>
      </x:c>
      <x:c r="R921" s="15"/>
      <x:c r="S921" s="15"/>
      <x:c r="T921" s="15"/>
      <x:c r="U921" s="16"/>
      <x:c r="V921" t="str">
        <x:v>Tatra Real</x:v>
      </x:c>
      <x:c r="W921" t="str">
        <x:v>Ružinov</x:v>
      </x:c>
      <x:c r="X921" s="11" t="str">
        <x:v>Predaný</x:v>
      </x:c>
      <x:c r="Y921" s="11" t="str">
        <x:v>https://www.galvania.sk/byty/</x:v>
      </x:c>
      <x:c r="Z921" s="11" t="n">
        <x:v>46249.4134212037</x:v>
      </x:c>
      <x:c r="AA921" s="11" t="n">
        <x:v>46254.51251577547</x:v>
      </x:c>
      <x:c r="AB921" s="11" t="n">
        <x:v>46254.51251577547</x:v>
      </x:c>
      <x:c r="AC921" t="str">
        <x:v>galvania_rezidencie</x:v>
      </x:c>
    </x:row>
    <x:row r="922" ht="22" customHeight="1">
      <x:c r="A922" t="str">
        <x:v>Galvania Rezidencie</x:v>
      </x:c>
      <x:c r="B922" t="str">
        <x:v>A4.10</x:v>
      </x:c>
      <x:c r="C922" t="str">
        <x:v>available</x:v>
      </x:c>
      <x:c r="D922" t="str">
        <x:v>present</x:v>
      </x:c>
      <x:c r="E922" t="str">
        <x:v>baseline</x:v>
      </x:c>
      <x:c r="F922" s="11" t="n">
        <x:v>46249.4134212037</x:v>
      </x:c>
      <x:c r="G922" t="str">
        <x:v>Apartmán</x:v>
      </x:c>
      <x:c r="H922" s="12" t="n">
        <x:v>2</x:v>
      </x:c>
      <x:c r="I922" s="13" t="n">
        <x:v>4</x:v>
      </x:c>
      <x:c r="J922" t="str">
        <x:v>A</x:v>
      </x:c>
      <x:c r="K922" s="14" t="n">
        <x:v>41.27</x:v>
      </x:c>
      <x:c r="L922" s="14"/>
      <x:c r="M922" s="14"/>
      <x:c r="N922" s="14"/>
      <x:c r="O922" s="14"/>
      <x:c r="P922" s="14" t="n">
        <x:v>5.25</x:v>
      </x:c>
      <x:c r="Q922" s="14" t="n">
        <x:v>46.52</x:v>
      </x:c>
      <x:c r="R922" s="15" t="n">
        <x:v>199500</x:v>
      </x:c>
      <x:c r="S922" s="15" t="n">
        <x:v>199500</x:v>
      </x:c>
      <x:c r="T922" s="15"/>
      <x:c r="U922" s="16" t="n">
        <x:v>4834.02</x:v>
      </x:c>
      <x:c r="V922" t="str">
        <x:v>Tatra Real</x:v>
      </x:c>
      <x:c r="W922" t="str">
        <x:v>Ružinov</x:v>
      </x:c>
      <x:c r="X922" s="11" t="str">
        <x:v>Voľný</x:v>
      </x:c>
      <x:c r="Y922" s="11" t="str">
        <x:v>https://www.galvania.sk/byty/mam-zaujem-o-byt-A4.10/</x:v>
      </x:c>
      <x:c r="Z922" s="11" t="n">
        <x:v>46249.4134212037</x:v>
      </x:c>
      <x:c r="AA922" s="11" t="n">
        <x:v>46254.51251577547</x:v>
      </x:c>
      <x:c r="AB922" s="11" t="n">
        <x:v>46254.51251577547</x:v>
      </x:c>
      <x:c r="AC922" t="str">
        <x:v>galvania_rezidencie</x:v>
      </x:c>
    </x:row>
    <x:row r="923" ht="22" customHeight="1">
      <x:c r="A923" t="str">
        <x:v>Galvania Rezidencie</x:v>
      </x:c>
      <x:c r="B923" t="str">
        <x:v>A4.11</x:v>
      </x:c>
      <x:c r="C923" t="str">
        <x:v>pre_reserved</x:v>
      </x:c>
      <x:c r="D923" t="str">
        <x:v>present</x:v>
      </x:c>
      <x:c r="E923" t="str">
        <x:v>baseline</x:v>
      </x:c>
      <x:c r="F923" s="11" t="n">
        <x:v>46249.4134212037</x:v>
      </x:c>
      <x:c r="G923" t="str">
        <x:v>Apartmán</x:v>
      </x:c>
      <x:c r="H923" s="12" t="n">
        <x:v>2</x:v>
      </x:c>
      <x:c r="I923" s="13" t="n">
        <x:v>4</x:v>
      </x:c>
      <x:c r="J923" t="str">
        <x:v>A</x:v>
      </x:c>
      <x:c r="K923" s="14" t="n">
        <x:v>41.24</x:v>
      </x:c>
      <x:c r="L923" s="14"/>
      <x:c r="M923" s="14"/>
      <x:c r="N923" s="14"/>
      <x:c r="O923" s="14"/>
      <x:c r="P923" s="14" t="n">
        <x:v>5.44</x:v>
      </x:c>
      <x:c r="Q923" s="14" t="n">
        <x:v>46.68</x:v>
      </x:c>
      <x:c r="R923" s="15" t="n">
        <x:v>201500</x:v>
      </x:c>
      <x:c r="S923" s="15" t="n">
        <x:v>201500</x:v>
      </x:c>
      <x:c r="T923" s="15"/>
      <x:c r="U923" s="16" t="n">
        <x:v>4886.03</x:v>
      </x:c>
      <x:c r="V923" t="str">
        <x:v>Tatra Real</x:v>
      </x:c>
      <x:c r="W923" t="str">
        <x:v>Ružinov</x:v>
      </x:c>
      <x:c r="X923" s="11" t="str">
        <x:v>Predrezervovaný</x:v>
      </x:c>
      <x:c r="Y923" s="11" t="str">
        <x:v>https://www.galvania.sk/byty/mam-zaujem-o-byt-A4.11/</x:v>
      </x:c>
      <x:c r="Z923" s="11" t="n">
        <x:v>46249.4134212037</x:v>
      </x:c>
      <x:c r="AA923" s="11" t="n">
        <x:v>46254.51251577547</x:v>
      </x:c>
      <x:c r="AB923" s="11" t="n">
        <x:v>46254.51251577547</x:v>
      </x:c>
      <x:c r="AC923" t="str">
        <x:v>galvania_rezidencie</x:v>
      </x:c>
    </x:row>
    <x:row r="924" ht="22" customHeight="1">
      <x:c r="A924" t="str">
        <x:v>Galvania Rezidencie</x:v>
      </x:c>
      <x:c r="B924" t="str">
        <x:v>A4.12</x:v>
      </x:c>
      <x:c r="C924" t="str">
        <x:v>available</x:v>
      </x:c>
      <x:c r="D924" t="str">
        <x:v>present</x:v>
      </x:c>
      <x:c r="E924" t="str">
        <x:v>baseline</x:v>
      </x:c>
      <x:c r="F924" s="11" t="n">
        <x:v>46249.4134212037</x:v>
      </x:c>
      <x:c r="G924" t="str">
        <x:v>Apartmán</x:v>
      </x:c>
      <x:c r="H924" s="12" t="n">
        <x:v>2</x:v>
      </x:c>
      <x:c r="I924" s="13" t="n">
        <x:v>4</x:v>
      </x:c>
      <x:c r="J924" t="str">
        <x:v>A</x:v>
      </x:c>
      <x:c r="K924" s="14" t="n">
        <x:v>41.22</x:v>
      </x:c>
      <x:c r="L924" s="14"/>
      <x:c r="M924" s="14"/>
      <x:c r="N924" s="14"/>
      <x:c r="O924" s="14"/>
      <x:c r="P924" s="14" t="n">
        <x:v>5.23</x:v>
      </x:c>
      <x:c r="Q924" s="14" t="n">
        <x:v>46.45</x:v>
      </x:c>
      <x:c r="R924" s="15" t="n">
        <x:v>199500</x:v>
      </x:c>
      <x:c r="S924" s="15" t="n">
        <x:v>199500</x:v>
      </x:c>
      <x:c r="T924" s="15"/>
      <x:c r="U924" s="16" t="n">
        <x:v>4839.88</x:v>
      </x:c>
      <x:c r="V924" t="str">
        <x:v>Tatra Real</x:v>
      </x:c>
      <x:c r="W924" t="str">
        <x:v>Ružinov</x:v>
      </x:c>
      <x:c r="X924" s="11" t="str">
        <x:v>Voľný</x:v>
      </x:c>
      <x:c r="Y924" s="11" t="str">
        <x:v>https://www.galvania.sk/byty/mam-zaujem-o-byt-A4.12/</x:v>
      </x:c>
      <x:c r="Z924" s="11" t="n">
        <x:v>46249.4134212037</x:v>
      </x:c>
      <x:c r="AA924" s="11" t="n">
        <x:v>46254.51251577547</x:v>
      </x:c>
      <x:c r="AB924" s="11" t="n">
        <x:v>46254.51251577547</x:v>
      </x:c>
      <x:c r="AC924" t="str">
        <x:v>galvania_rezidencie</x:v>
      </x:c>
    </x:row>
    <x:row r="925" ht="22" customHeight="1">
      <x:c r="A925" t="str">
        <x:v>Galvania Rezidencie</x:v>
      </x:c>
      <x:c r="B925" t="str">
        <x:v>A4.13</x:v>
      </x:c>
      <x:c r="C925" t="str">
        <x:v>coming_soon</x:v>
      </x:c>
      <x:c r="D925" t="str">
        <x:v>present</x:v>
      </x:c>
      <x:c r="E925" t="str">
        <x:v>baseline</x:v>
      </x:c>
      <x:c r="F925" s="11" t="n">
        <x:v>46249.4134212037</x:v>
      </x:c>
      <x:c r="G925" t="str">
        <x:v>Nebytový priestor s prechodným ubytovaním</x:v>
      </x:c>
      <x:c r="H925" s="12" t="n">
        <x:v>3</x:v>
      </x:c>
      <x:c r="I925" s="13" t="n">
        <x:v>4</x:v>
      </x:c>
      <x:c r="J925" t="str">
        <x:v>A</x:v>
      </x:c>
      <x:c r="K925" s="14" t="n">
        <x:v>47.82</x:v>
      </x:c>
      <x:c r="L925" s="14"/>
      <x:c r="M925" s="14"/>
      <x:c r="N925" s="14"/>
      <x:c r="O925" s="14"/>
      <x:c r="P925" s="14" t="n">
        <x:v>7.92</x:v>
      </x:c>
      <x:c r="Q925" s="14" t="n">
        <x:v>55.74</x:v>
      </x:c>
      <x:c r="R925" s="15"/>
      <x:c r="S925" s="15"/>
      <x:c r="T925" s="15"/>
      <x:c r="U925" s="16"/>
      <x:c r="V925" t="str">
        <x:v>Tatra Real</x:v>
      </x:c>
      <x:c r="W925" t="str">
        <x:v>Ružinov</x:v>
      </x:c>
      <x:c r="X925" s="11" t="str">
        <x:v>Pripravujeme</x:v>
      </x:c>
      <x:c r="Y925" s="11" t="str">
        <x:v>https://www.galvania.sk/byty/mam-zaujem-o-byt-A4.13/</x:v>
      </x:c>
      <x:c r="Z925" s="11" t="n">
        <x:v>46249.4134212037</x:v>
      </x:c>
      <x:c r="AA925" s="11" t="n">
        <x:v>46254.51251577547</x:v>
      </x:c>
      <x:c r="AB925" s="11" t="n">
        <x:v>46254.51251577547</x:v>
      </x:c>
      <x:c r="AC925" t="str">
        <x:v>galvania_rezidencie</x:v>
      </x:c>
    </x:row>
    <x:row r="926" ht="22" customHeight="1">
      <x:c r="A926" t="str">
        <x:v>Galvania Rezidencie</x:v>
      </x:c>
      <x:c r="B926" t="str">
        <x:v>A4.14</x:v>
      </x:c>
      <x:c r="C926" t="str">
        <x:v>coming_soon</x:v>
      </x:c>
      <x:c r="D926" t="str">
        <x:v>present</x:v>
      </x:c>
      <x:c r="E926" t="str">
        <x:v>baseline</x:v>
      </x:c>
      <x:c r="F926" s="11" t="n">
        <x:v>46249.4134212037</x:v>
      </x:c>
      <x:c r="G926" t="str">
        <x:v>Apartmán</x:v>
      </x:c>
      <x:c r="H926" s="12" t="n">
        <x:v>3</x:v>
      </x:c>
      <x:c r="I926" s="13" t="n">
        <x:v>4</x:v>
      </x:c>
      <x:c r="J926" t="str">
        <x:v>A</x:v>
      </x:c>
      <x:c r="K926" s="14" t="n">
        <x:v>54.77</x:v>
      </x:c>
      <x:c r="L926" s="14"/>
      <x:c r="M926" s="14"/>
      <x:c r="N926" s="14"/>
      <x:c r="O926" s="14"/>
      <x:c r="P926" s="14" t="n">
        <x:v>8.25</x:v>
      </x:c>
      <x:c r="Q926" s="14" t="n">
        <x:v>63.02</x:v>
      </x:c>
      <x:c r="R926" s="15"/>
      <x:c r="S926" s="15"/>
      <x:c r="T926" s="15"/>
      <x:c r="U926" s="16"/>
      <x:c r="V926" t="str">
        <x:v>Tatra Real</x:v>
      </x:c>
      <x:c r="W926" t="str">
        <x:v>Ružinov</x:v>
      </x:c>
      <x:c r="X926" s="11" t="str">
        <x:v>Pripravujeme</x:v>
      </x:c>
      <x:c r="Y926" s="11" t="str">
        <x:v>https://www.galvania.sk/byty/mam-zaujem-o-byt-A4.14/</x:v>
      </x:c>
      <x:c r="Z926" s="11" t="n">
        <x:v>46249.4134212037</x:v>
      </x:c>
      <x:c r="AA926" s="11" t="n">
        <x:v>46254.51251577547</x:v>
      </x:c>
      <x:c r="AB926" s="11" t="n">
        <x:v>46254.51251577547</x:v>
      </x:c>
      <x:c r="AC926" t="str">
        <x:v>galvania_rezidencie</x:v>
      </x:c>
    </x:row>
    <x:row r="927" ht="22" customHeight="1">
      <x:c r="A927" t="str">
        <x:v>Galvania Rezidencie</x:v>
      </x:c>
      <x:c r="B927" t="str">
        <x:v>A4.15</x:v>
      </x:c>
      <x:c r="C927" t="str">
        <x:v>available</x:v>
      </x:c>
      <x:c r="D927" t="str">
        <x:v>present</x:v>
      </x:c>
      <x:c r="E927" t="str">
        <x:v>baseline</x:v>
      </x:c>
      <x:c r="F927" s="11" t="n">
        <x:v>46249.4134212037</x:v>
      </x:c>
      <x:c r="G927" t="str">
        <x:v>Apartmán</x:v>
      </x:c>
      <x:c r="H927" s="12" t="n">
        <x:v>2</x:v>
      </x:c>
      <x:c r="I927" s="13" t="n">
        <x:v>4</x:v>
      </x:c>
      <x:c r="J927" t="str">
        <x:v>A</x:v>
      </x:c>
      <x:c r="K927" s="14" t="n">
        <x:v>41.25</x:v>
      </x:c>
      <x:c r="L927" s="14"/>
      <x:c r="M927" s="14"/>
      <x:c r="N927" s="14"/>
      <x:c r="O927" s="14"/>
      <x:c r="P927" s="14" t="n">
        <x:v>5.48</x:v>
      </x:c>
      <x:c r="Q927" s="14" t="n">
        <x:v>46.73</x:v>
      </x:c>
      <x:c r="R927" s="15" t="n">
        <x:v>201500</x:v>
      </x:c>
      <x:c r="S927" s="15" t="n">
        <x:v>201500</x:v>
      </x:c>
      <x:c r="T927" s="15"/>
      <x:c r="U927" s="16" t="n">
        <x:v>4884.85</x:v>
      </x:c>
      <x:c r="V927" t="str">
        <x:v>Tatra Real</x:v>
      </x:c>
      <x:c r="W927" t="str">
        <x:v>Ružinov</x:v>
      </x:c>
      <x:c r="X927" s="11" t="str">
        <x:v>Voľný</x:v>
      </x:c>
      <x:c r="Y927" s="11" t="str">
        <x:v>https://www.galvania.sk/byty/mam-zaujem-o-byt-A4.15/</x:v>
      </x:c>
      <x:c r="Z927" s="11" t="n">
        <x:v>46249.4134212037</x:v>
      </x:c>
      <x:c r="AA927" s="11" t="n">
        <x:v>46254.51251577547</x:v>
      </x:c>
      <x:c r="AB927" s="11" t="n">
        <x:v>46254.51251577547</x:v>
      </x:c>
      <x:c r="AC927" t="str">
        <x:v>galvania_rezidencie</x:v>
      </x:c>
    </x:row>
    <x:row r="928" ht="22" customHeight="1">
      <x:c r="A928" t="str">
        <x:v>Galvania Rezidencie</x:v>
      </x:c>
      <x:c r="B928" t="str">
        <x:v>A4.16</x:v>
      </x:c>
      <x:c r="C928" t="str">
        <x:v>reserved</x:v>
      </x:c>
      <x:c r="D928" t="str">
        <x:v>present</x:v>
      </x:c>
      <x:c r="E928" t="str">
        <x:v>baseline</x:v>
      </x:c>
      <x:c r="F928" s="11" t="n">
        <x:v>46249.4134212037</x:v>
      </x:c>
      <x:c r="G928" t="str">
        <x:v>Byt</x:v>
      </x:c>
      <x:c r="H928" s="12" t="n">
        <x:v>2</x:v>
      </x:c>
      <x:c r="I928" s="13" t="n">
        <x:v>4</x:v>
      </x:c>
      <x:c r="J928" t="str">
        <x:v>A</x:v>
      </x:c>
      <x:c r="K928" s="14" t="n">
        <x:v>55.86</x:v>
      </x:c>
      <x:c r="L928" s="14"/>
      <x:c r="M928" s="14"/>
      <x:c r="N928" s="14"/>
      <x:c r="O928" s="14"/>
      <x:c r="P928" s="14" t="n">
        <x:v>8.01</x:v>
      </x:c>
      <x:c r="Q928" s="14" t="n">
        <x:v>63.87</x:v>
      </x:c>
      <x:c r="R928" s="15" t="n">
        <x:v>265000</x:v>
      </x:c>
      <x:c r="S928" s="15" t="n">
        <x:v>265000</x:v>
      </x:c>
      <x:c r="T928" s="15"/>
      <x:c r="U928" s="16" t="n">
        <x:v>4744</x:v>
      </x:c>
      <x:c r="V928" t="str">
        <x:v>Tatra Real</x:v>
      </x:c>
      <x:c r="W928" t="str">
        <x:v>Ružinov</x:v>
      </x:c>
      <x:c r="X928" s="11" t="str">
        <x:v>Rezervovaný</x:v>
      </x:c>
      <x:c r="Y928" s="11" t="str">
        <x:v>https://www.galvania.sk/byty/mam-zaujem-o-byt-A4.16/</x:v>
      </x:c>
      <x:c r="Z928" s="11" t="n">
        <x:v>46249.4134212037</x:v>
      </x:c>
      <x:c r="AA928" s="11" t="n">
        <x:v>46254.51251577547</x:v>
      </x:c>
      <x:c r="AB928" s="11" t="n">
        <x:v>46254.51251577547</x:v>
      </x:c>
      <x:c r="AC928" t="str">
        <x:v>galvania_rezidencie</x:v>
      </x:c>
    </x:row>
    <x:row r="929" ht="22" customHeight="1">
      <x:c r="A929" t="str">
        <x:v>Galvania Rezidencie</x:v>
      </x:c>
      <x:c r="B929" t="str">
        <x:v>A5.01</x:v>
      </x:c>
      <x:c r="C929" t="str">
        <x:v>coming_soon</x:v>
      </x:c>
      <x:c r="D929" t="str">
        <x:v>present</x:v>
      </x:c>
      <x:c r="E929" t="str">
        <x:v>baseline</x:v>
      </x:c>
      <x:c r="F929" s="11" t="n">
        <x:v>46249.4134212037</x:v>
      </x:c>
      <x:c r="G929" t="str">
        <x:v>Apartmán</x:v>
      </x:c>
      <x:c r="H929" s="12" t="n">
        <x:v>1</x:v>
      </x:c>
      <x:c r="I929" s="13" t="n">
        <x:v>5</x:v>
      </x:c>
      <x:c r="J929" t="str">
        <x:v>A</x:v>
      </x:c>
      <x:c r="K929" s="14" t="n">
        <x:v>39.49</x:v>
      </x:c>
      <x:c r="L929" s="14"/>
      <x:c r="M929" s="14"/>
      <x:c r="N929" s="14"/>
      <x:c r="O929" s="14"/>
      <x:c r="P929" s="14" t="n">
        <x:v>3.52</x:v>
      </x:c>
      <x:c r="Q929" s="14" t="n">
        <x:v>43.01</x:v>
      </x:c>
      <x:c r="R929" s="15"/>
      <x:c r="S929" s="15"/>
      <x:c r="T929" s="15"/>
      <x:c r="U929" s="16"/>
      <x:c r="V929" t="str">
        <x:v>Tatra Real</x:v>
      </x:c>
      <x:c r="W929" t="str">
        <x:v>Ružinov</x:v>
      </x:c>
      <x:c r="X929" s="11" t="str">
        <x:v>Pripravujeme</x:v>
      </x:c>
      <x:c r="Y929" s="11" t="str">
        <x:v>https://www.galvania.sk/byty/mam-zaujem-o-byt-A5.01/</x:v>
      </x:c>
      <x:c r="Z929" s="11" t="n">
        <x:v>46249.4134212037</x:v>
      </x:c>
      <x:c r="AA929" s="11" t="n">
        <x:v>46254.51251577547</x:v>
      </x:c>
      <x:c r="AB929" s="11" t="n">
        <x:v>46254.51251577547</x:v>
      </x:c>
      <x:c r="AC929" t="str">
        <x:v>galvania_rezidencie</x:v>
      </x:c>
    </x:row>
    <x:row r="930" ht="22" customHeight="1">
      <x:c r="A930" t="str">
        <x:v>Galvania Rezidencie</x:v>
      </x:c>
      <x:c r="B930" t="str">
        <x:v>A5.02</x:v>
      </x:c>
      <x:c r="C930" t="str">
        <x:v>coming_soon</x:v>
      </x:c>
      <x:c r="D930" t="str">
        <x:v>present</x:v>
      </x:c>
      <x:c r="E930" t="str">
        <x:v>baseline</x:v>
      </x:c>
      <x:c r="F930" s="11" t="n">
        <x:v>46249.4134212037</x:v>
      </x:c>
      <x:c r="G930" t="str">
        <x:v>Apartmán</x:v>
      </x:c>
      <x:c r="H930" s="12" t="n">
        <x:v>1</x:v>
      </x:c>
      <x:c r="I930" s="13" t="n">
        <x:v>5</x:v>
      </x:c>
      <x:c r="J930" t="str">
        <x:v>A</x:v>
      </x:c>
      <x:c r="K930" s="14" t="n">
        <x:v>34.04</x:v>
      </x:c>
      <x:c r="L930" s="14"/>
      <x:c r="M930" s="14"/>
      <x:c r="N930" s="14"/>
      <x:c r="O930" s="14"/>
      <x:c r="P930" s="14" t="n">
        <x:v>3.52</x:v>
      </x:c>
      <x:c r="Q930" s="14" t="n">
        <x:v>37.56</x:v>
      </x:c>
      <x:c r="R930" s="15"/>
      <x:c r="S930" s="15"/>
      <x:c r="T930" s="15"/>
      <x:c r="U930" s="16"/>
      <x:c r="V930" t="str">
        <x:v>Tatra Real</x:v>
      </x:c>
      <x:c r="W930" t="str">
        <x:v>Ružinov</x:v>
      </x:c>
      <x:c r="X930" s="11" t="str">
        <x:v>Pripravujeme</x:v>
      </x:c>
      <x:c r="Y930" s="11" t="str">
        <x:v>https://www.galvania.sk/byty/mam-zaujem-o-byt-A5.02/</x:v>
      </x:c>
      <x:c r="Z930" s="11" t="n">
        <x:v>46249.4134212037</x:v>
      </x:c>
      <x:c r="AA930" s="11" t="n">
        <x:v>46254.51251577547</x:v>
      </x:c>
      <x:c r="AB930" s="11" t="n">
        <x:v>46254.51251577547</x:v>
      </x:c>
      <x:c r="AC930" t="str">
        <x:v>galvania_rezidencie</x:v>
      </x:c>
    </x:row>
    <x:row r="931" ht="22" customHeight="1">
      <x:c r="A931" t="str">
        <x:v>Galvania Rezidencie</x:v>
      </x:c>
      <x:c r="B931" t="str">
        <x:v>A5.03</x:v>
      </x:c>
      <x:c r="C931" t="str">
        <x:v>coming_soon</x:v>
      </x:c>
      <x:c r="D931" t="str">
        <x:v>present</x:v>
      </x:c>
      <x:c r="E931" t="str">
        <x:v>baseline</x:v>
      </x:c>
      <x:c r="F931" s="11" t="n">
        <x:v>46249.4134212037</x:v>
      </x:c>
      <x:c r="G931" t="str">
        <x:v>Apartmán</x:v>
      </x:c>
      <x:c r="H931" s="12" t="n">
        <x:v>1</x:v>
      </x:c>
      <x:c r="I931" s="13" t="n">
        <x:v>5</x:v>
      </x:c>
      <x:c r="J931" t="str">
        <x:v>A</x:v>
      </x:c>
      <x:c r="K931" s="14" t="n">
        <x:v>33.95</x:v>
      </x:c>
      <x:c r="L931" s="14"/>
      <x:c r="M931" s="14"/>
      <x:c r="N931" s="14"/>
      <x:c r="O931" s="14"/>
      <x:c r="P931" s="14" t="n">
        <x:v>3.52</x:v>
      </x:c>
      <x:c r="Q931" s="14" t="n">
        <x:v>37.47</x:v>
      </x:c>
      <x:c r="R931" s="15"/>
      <x:c r="S931" s="15"/>
      <x:c r="T931" s="15"/>
      <x:c r="U931" s="16"/>
      <x:c r="V931" t="str">
        <x:v>Tatra Real</x:v>
      </x:c>
      <x:c r="W931" t="str">
        <x:v>Ružinov</x:v>
      </x:c>
      <x:c r="X931" s="11" t="str">
        <x:v>Pripravujeme</x:v>
      </x:c>
      <x:c r="Y931" s="11" t="str">
        <x:v>https://www.galvania.sk/byty/mam-zaujem-o-byt-A5.03/</x:v>
      </x:c>
      <x:c r="Z931" s="11" t="n">
        <x:v>46249.4134212037</x:v>
      </x:c>
      <x:c r="AA931" s="11" t="n">
        <x:v>46254.51251577547</x:v>
      </x:c>
      <x:c r="AB931" s="11" t="n">
        <x:v>46254.51251577547</x:v>
      </x:c>
      <x:c r="AC931" t="str">
        <x:v>galvania_rezidencie</x:v>
      </x:c>
    </x:row>
    <x:row r="932" ht="22" customHeight="1">
      <x:c r="A932" t="str">
        <x:v>Galvania Rezidencie</x:v>
      </x:c>
      <x:c r="B932" t="str">
        <x:v>A5.04</x:v>
      </x:c>
      <x:c r="C932" t="str">
        <x:v>coming_soon</x:v>
      </x:c>
      <x:c r="D932" t="str">
        <x:v>present</x:v>
      </x:c>
      <x:c r="E932" t="str">
        <x:v>baseline</x:v>
      </x:c>
      <x:c r="F932" s="11" t="n">
        <x:v>46249.4134212037</x:v>
      </x:c>
      <x:c r="G932" t="str">
        <x:v>Apartmán</x:v>
      </x:c>
      <x:c r="H932" s="12" t="n">
        <x:v>2</x:v>
      </x:c>
      <x:c r="I932" s="13" t="n">
        <x:v>5</x:v>
      </x:c>
      <x:c r="J932" t="str">
        <x:v>A</x:v>
      </x:c>
      <x:c r="K932" s="14" t="n">
        <x:v>41.12</x:v>
      </x:c>
      <x:c r="L932" s="14"/>
      <x:c r="M932" s="14"/>
      <x:c r="N932" s="14"/>
      <x:c r="O932" s="14"/>
      <x:c r="P932" s="14" t="n">
        <x:v>4.72</x:v>
      </x:c>
      <x:c r="Q932" s="14" t="n">
        <x:v>45.84</x:v>
      </x:c>
      <x:c r="R932" s="15"/>
      <x:c r="S932" s="15"/>
      <x:c r="T932" s="15"/>
      <x:c r="U932" s="16"/>
      <x:c r="V932" t="str">
        <x:v>Tatra Real</x:v>
      </x:c>
      <x:c r="W932" t="str">
        <x:v>Ružinov</x:v>
      </x:c>
      <x:c r="X932" s="11" t="str">
        <x:v>Pripravujeme</x:v>
      </x:c>
      <x:c r="Y932" s="11" t="str">
        <x:v>https://www.galvania.sk/byty/mam-zaujem-o-byt-A5.04/</x:v>
      </x:c>
      <x:c r="Z932" s="11" t="n">
        <x:v>46249.4134212037</x:v>
      </x:c>
      <x:c r="AA932" s="11" t="n">
        <x:v>46254.51251577547</x:v>
      </x:c>
      <x:c r="AB932" s="11" t="n">
        <x:v>46254.51251577547</x:v>
      </x:c>
      <x:c r="AC932" t="str">
        <x:v>galvania_rezidencie</x:v>
      </x:c>
    </x:row>
    <x:row r="933" ht="22" customHeight="1">
      <x:c r="A933" t="str">
        <x:v>Galvania Rezidencie</x:v>
      </x:c>
      <x:c r="B933" t="str">
        <x:v>A5.05</x:v>
      </x:c>
      <x:c r="C933" t="str">
        <x:v>coming_soon</x:v>
      </x:c>
      <x:c r="D933" t="str">
        <x:v>present</x:v>
      </x:c>
      <x:c r="E933" t="str">
        <x:v>baseline</x:v>
      </x:c>
      <x:c r="F933" s="11" t="n">
        <x:v>46249.4134212037</x:v>
      </x:c>
      <x:c r="G933" t="str">
        <x:v>Apartmán</x:v>
      </x:c>
      <x:c r="H933" s="12" t="n">
        <x:v>2</x:v>
      </x:c>
      <x:c r="I933" s="13" t="n">
        <x:v>5</x:v>
      </x:c>
      <x:c r="J933" t="str">
        <x:v>A</x:v>
      </x:c>
      <x:c r="K933" s="14" t="n">
        <x:v>41.27</x:v>
      </x:c>
      <x:c r="L933" s="14"/>
      <x:c r="M933" s="14"/>
      <x:c r="N933" s="14"/>
      <x:c r="O933" s="14"/>
      <x:c r="P933" s="14" t="n">
        <x:v>5.39</x:v>
      </x:c>
      <x:c r="Q933" s="14" t="n">
        <x:v>46.66</x:v>
      </x:c>
      <x:c r="R933" s="15"/>
      <x:c r="S933" s="15"/>
      <x:c r="T933" s="15"/>
      <x:c r="U933" s="16"/>
      <x:c r="V933" t="str">
        <x:v>Tatra Real</x:v>
      </x:c>
      <x:c r="W933" t="str">
        <x:v>Ružinov</x:v>
      </x:c>
      <x:c r="X933" s="11" t="str">
        <x:v>Pripravujeme</x:v>
      </x:c>
      <x:c r="Y933" s="11" t="str">
        <x:v>https://www.galvania.sk/byty/mam-zaujem-o-byt-A5.05/</x:v>
      </x:c>
      <x:c r="Z933" s="11" t="n">
        <x:v>46249.4134212037</x:v>
      </x:c>
      <x:c r="AA933" s="11" t="n">
        <x:v>46254.51251577547</x:v>
      </x:c>
      <x:c r="AB933" s="11" t="n">
        <x:v>46254.51251577547</x:v>
      </x:c>
      <x:c r="AC933" t="str">
        <x:v>galvania_rezidencie</x:v>
      </x:c>
    </x:row>
    <x:row r="934" ht="22" customHeight="1">
      <x:c r="A934" t="str">
        <x:v>Galvania Rezidencie</x:v>
      </x:c>
      <x:c r="B934" t="str">
        <x:v>A5.06</x:v>
      </x:c>
      <x:c r="C934" t="str">
        <x:v>coming_soon</x:v>
      </x:c>
      <x:c r="D934" t="str">
        <x:v>present</x:v>
      </x:c>
      <x:c r="E934" t="str">
        <x:v>baseline</x:v>
      </x:c>
      <x:c r="F934" s="11" t="n">
        <x:v>46249.4134212037</x:v>
      </x:c>
      <x:c r="G934" t="str">
        <x:v>Apartmán</x:v>
      </x:c>
      <x:c r="H934" s="12" t="n">
        <x:v>2</x:v>
      </x:c>
      <x:c r="I934" s="13" t="n">
        <x:v>5</x:v>
      </x:c>
      <x:c r="J934" t="str">
        <x:v>A</x:v>
      </x:c>
      <x:c r="K934" s="14" t="n">
        <x:v>41.22</x:v>
      </x:c>
      <x:c r="L934" s="14"/>
      <x:c r="M934" s="14"/>
      <x:c r="N934" s="14"/>
      <x:c r="O934" s="14"/>
      <x:c r="P934" s="14" t="n">
        <x:v>5.27</x:v>
      </x:c>
      <x:c r="Q934" s="14" t="n">
        <x:v>46.49</x:v>
      </x:c>
      <x:c r="R934" s="15"/>
      <x:c r="S934" s="15"/>
      <x:c r="T934" s="15"/>
      <x:c r="U934" s="16"/>
      <x:c r="V934" t="str">
        <x:v>Tatra Real</x:v>
      </x:c>
      <x:c r="W934" t="str">
        <x:v>Ružinov</x:v>
      </x:c>
      <x:c r="X934" s="11" t="str">
        <x:v>Pripravujeme</x:v>
      </x:c>
      <x:c r="Y934" s="11" t="str">
        <x:v>https://www.galvania.sk/byty/mam-zaujem-o-byt-A5.06/</x:v>
      </x:c>
      <x:c r="Z934" s="11" t="n">
        <x:v>46249.4134212037</x:v>
      </x:c>
      <x:c r="AA934" s="11" t="n">
        <x:v>46254.51251577547</x:v>
      </x:c>
      <x:c r="AB934" s="11" t="n">
        <x:v>46254.51251577547</x:v>
      </x:c>
      <x:c r="AC934" t="str">
        <x:v>galvania_rezidencie</x:v>
      </x:c>
    </x:row>
    <x:row r="935" ht="22" customHeight="1">
      <x:c r="A935" t="str">
        <x:v>Galvania Rezidencie</x:v>
      </x:c>
      <x:c r="B935" t="str">
        <x:v>A5.07</x:v>
      </x:c>
      <x:c r="C935" t="str">
        <x:v>coming_soon</x:v>
      </x:c>
      <x:c r="D935" t="str">
        <x:v>present</x:v>
      </x:c>
      <x:c r="E935" t="str">
        <x:v>baseline</x:v>
      </x:c>
      <x:c r="F935" s="11" t="n">
        <x:v>46249.4134212037</x:v>
      </x:c>
      <x:c r="G935" t="str">
        <x:v>Apartmán</x:v>
      </x:c>
      <x:c r="H935" s="12" t="n">
        <x:v>2</x:v>
      </x:c>
      <x:c r="I935" s="13" t="n">
        <x:v>5</x:v>
      </x:c>
      <x:c r="J935" t="str">
        <x:v>A</x:v>
      </x:c>
      <x:c r="K935" s="14" t="n">
        <x:v>41.18</x:v>
      </x:c>
      <x:c r="L935" s="14"/>
      <x:c r="M935" s="14"/>
      <x:c r="N935" s="14"/>
      <x:c r="O935" s="14"/>
      <x:c r="P935" s="14" t="n">
        <x:v>5.4</x:v>
      </x:c>
      <x:c r="Q935" s="14" t="n">
        <x:v>46.58</x:v>
      </x:c>
      <x:c r="R935" s="15"/>
      <x:c r="S935" s="15"/>
      <x:c r="T935" s="15"/>
      <x:c r="U935" s="16"/>
      <x:c r="V935" t="str">
        <x:v>Tatra Real</x:v>
      </x:c>
      <x:c r="W935" t="str">
        <x:v>Ružinov</x:v>
      </x:c>
      <x:c r="X935" s="11" t="str">
        <x:v>Pripravujeme</x:v>
      </x:c>
      <x:c r="Y935" s="11" t="str">
        <x:v>https://www.galvania.sk/byty/mam-zaujem-o-byt-A5.07/</x:v>
      </x:c>
      <x:c r="Z935" s="11" t="n">
        <x:v>46249.4134212037</x:v>
      </x:c>
      <x:c r="AA935" s="11" t="n">
        <x:v>46254.51251577547</x:v>
      </x:c>
      <x:c r="AB935" s="11" t="n">
        <x:v>46254.51251577547</x:v>
      </x:c>
      <x:c r="AC935" t="str">
        <x:v>galvania_rezidencie</x:v>
      </x:c>
    </x:row>
    <x:row r="936" ht="22" customHeight="1">
      <x:c r="A936" t="str">
        <x:v>Galvania Rezidencie</x:v>
      </x:c>
      <x:c r="B936" t="str">
        <x:v>A5.08</x:v>
      </x:c>
      <x:c r="C936" t="str">
        <x:v>coming_soon</x:v>
      </x:c>
      <x:c r="D936" t="str">
        <x:v>present</x:v>
      </x:c>
      <x:c r="E936" t="str">
        <x:v>baseline</x:v>
      </x:c>
      <x:c r="F936" s="11" t="n">
        <x:v>46249.4134212037</x:v>
      </x:c>
      <x:c r="G936" t="str">
        <x:v>Apartmán</x:v>
      </x:c>
      <x:c r="H936" s="12" t="n">
        <x:v>2</x:v>
      </x:c>
      <x:c r="I936" s="13" t="n">
        <x:v>5</x:v>
      </x:c>
      <x:c r="J936" t="str">
        <x:v>A</x:v>
      </x:c>
      <x:c r="K936" s="14" t="n">
        <x:v>41.22</x:v>
      </x:c>
      <x:c r="L936" s="14"/>
      <x:c r="M936" s="14"/>
      <x:c r="N936" s="14"/>
      <x:c r="O936" s="14"/>
      <x:c r="P936" s="14" t="n">
        <x:v>5.27</x:v>
      </x:c>
      <x:c r="Q936" s="14" t="n">
        <x:v>46.49</x:v>
      </x:c>
      <x:c r="R936" s="15"/>
      <x:c r="S936" s="15"/>
      <x:c r="T936" s="15"/>
      <x:c r="U936" s="16"/>
      <x:c r="V936" t="str">
        <x:v>Tatra Real</x:v>
      </x:c>
      <x:c r="W936" t="str">
        <x:v>Ružinov</x:v>
      </x:c>
      <x:c r="X936" s="11" t="str">
        <x:v>Pripravujeme</x:v>
      </x:c>
      <x:c r="Y936" s="11" t="str">
        <x:v>https://www.galvania.sk/byty/mam-zaujem-o-byt-A5.08/</x:v>
      </x:c>
      <x:c r="Z936" s="11" t="n">
        <x:v>46249.4134212037</x:v>
      </x:c>
      <x:c r="AA936" s="11" t="n">
        <x:v>46254.51251577547</x:v>
      </x:c>
      <x:c r="AB936" s="11" t="n">
        <x:v>46254.51251577547</x:v>
      </x:c>
      <x:c r="AC936" t="str">
        <x:v>galvania_rezidencie</x:v>
      </x:c>
    </x:row>
    <x:row r="937" ht="22" customHeight="1">
      <x:c r="A937" t="str">
        <x:v>Galvania Rezidencie</x:v>
      </x:c>
      <x:c r="B937" t="str">
        <x:v>A5.09</x:v>
      </x:c>
      <x:c r="C937" t="str">
        <x:v>coming_soon</x:v>
      </x:c>
      <x:c r="D937" t="str">
        <x:v>present</x:v>
      </x:c>
      <x:c r="E937" t="str">
        <x:v>baseline</x:v>
      </x:c>
      <x:c r="F937" s="11" t="n">
        <x:v>46249.4134212037</x:v>
      </x:c>
      <x:c r="G937" t="str">
        <x:v>Apartmán</x:v>
      </x:c>
      <x:c r="H937" s="12" t="n">
        <x:v>2</x:v>
      </x:c>
      <x:c r="I937" s="13" t="n">
        <x:v>5</x:v>
      </x:c>
      <x:c r="J937" t="str">
        <x:v>A</x:v>
      </x:c>
      <x:c r="K937" s="14" t="n">
        <x:v>41.18</x:v>
      </x:c>
      <x:c r="L937" s="14"/>
      <x:c r="M937" s="14"/>
      <x:c r="N937" s="14"/>
      <x:c r="O937" s="14"/>
      <x:c r="P937" s="14" t="n">
        <x:v>5.42</x:v>
      </x:c>
      <x:c r="Q937" s="14" t="n">
        <x:v>46.6</x:v>
      </x:c>
      <x:c r="R937" s="15"/>
      <x:c r="S937" s="15"/>
      <x:c r="T937" s="15"/>
      <x:c r="U937" s="16"/>
      <x:c r="V937" t="str">
        <x:v>Tatra Real</x:v>
      </x:c>
      <x:c r="W937" t="str">
        <x:v>Ružinov</x:v>
      </x:c>
      <x:c r="X937" s="11" t="str">
        <x:v>Pripravujeme</x:v>
      </x:c>
      <x:c r="Y937" s="11" t="str">
        <x:v>https://www.galvania.sk/byty/mam-zaujem-o-byt-A5.09/</x:v>
      </x:c>
      <x:c r="Z937" s="11" t="n">
        <x:v>46249.4134212037</x:v>
      </x:c>
      <x:c r="AA937" s="11" t="n">
        <x:v>46254.51251577547</x:v>
      </x:c>
      <x:c r="AB937" s="11" t="n">
        <x:v>46254.51251577547</x:v>
      </x:c>
      <x:c r="AC937" t="str">
        <x:v>galvania_rezidencie</x:v>
      </x:c>
    </x:row>
    <x:row r="938" ht="22" customHeight="1">
      <x:c r="A938" t="str">
        <x:v>Galvania Rezidencie</x:v>
      </x:c>
      <x:c r="B938" t="str">
        <x:v>A5.10</x:v>
      </x:c>
      <x:c r="C938" t="str">
        <x:v>coming_soon</x:v>
      </x:c>
      <x:c r="D938" t="str">
        <x:v>present</x:v>
      </x:c>
      <x:c r="E938" t="str">
        <x:v>baseline</x:v>
      </x:c>
      <x:c r="F938" s="11" t="n">
        <x:v>46249.4134212037</x:v>
      </x:c>
      <x:c r="G938" t="str">
        <x:v>Apartmán</x:v>
      </x:c>
      <x:c r="H938" s="12" t="n">
        <x:v>2</x:v>
      </x:c>
      <x:c r="I938" s="13" t="n">
        <x:v>5</x:v>
      </x:c>
      <x:c r="J938" t="str">
        <x:v>A</x:v>
      </x:c>
      <x:c r="K938" s="14" t="n">
        <x:v>41.27</x:v>
      </x:c>
      <x:c r="L938" s="14"/>
      <x:c r="M938" s="14"/>
      <x:c r="N938" s="14"/>
      <x:c r="O938" s="14"/>
      <x:c r="P938" s="14" t="n">
        <x:v>5.25</x:v>
      </x:c>
      <x:c r="Q938" s="14" t="n">
        <x:v>46.52</x:v>
      </x:c>
      <x:c r="R938" s="15"/>
      <x:c r="S938" s="15"/>
      <x:c r="T938" s="15"/>
      <x:c r="U938" s="16"/>
      <x:c r="V938" t="str">
        <x:v>Tatra Real</x:v>
      </x:c>
      <x:c r="W938" t="str">
        <x:v>Ružinov</x:v>
      </x:c>
      <x:c r="X938" s="11" t="str">
        <x:v>Pripravujeme</x:v>
      </x:c>
      <x:c r="Y938" s="11" t="str">
        <x:v>https://www.galvania.sk/byty/mam-zaujem-o-byt-A5.10/</x:v>
      </x:c>
      <x:c r="Z938" s="11" t="n">
        <x:v>46249.4134212037</x:v>
      </x:c>
      <x:c r="AA938" s="11" t="n">
        <x:v>46254.51251577547</x:v>
      </x:c>
      <x:c r="AB938" s="11" t="n">
        <x:v>46254.51251577547</x:v>
      </x:c>
      <x:c r="AC938" t="str">
        <x:v>galvania_rezidencie</x:v>
      </x:c>
    </x:row>
    <x:row r="939" ht="22" customHeight="1">
      <x:c r="A939" t="str">
        <x:v>Galvania Rezidencie</x:v>
      </x:c>
      <x:c r="B939" t="str">
        <x:v>A5.11</x:v>
      </x:c>
      <x:c r="C939" t="str">
        <x:v>coming_soon</x:v>
      </x:c>
      <x:c r="D939" t="str">
        <x:v>present</x:v>
      </x:c>
      <x:c r="E939" t="str">
        <x:v>baseline</x:v>
      </x:c>
      <x:c r="F939" s="11" t="n">
        <x:v>46249.4134212037</x:v>
      </x:c>
      <x:c r="G939" t="str">
        <x:v>Apartmán</x:v>
      </x:c>
      <x:c r="H939" s="12" t="n">
        <x:v>2</x:v>
      </x:c>
      <x:c r="I939" s="13" t="n">
        <x:v>5</x:v>
      </x:c>
      <x:c r="J939" t="str">
        <x:v>A</x:v>
      </x:c>
      <x:c r="K939" s="14" t="n">
        <x:v>41.24</x:v>
      </x:c>
      <x:c r="L939" s="14"/>
      <x:c r="M939" s="14"/>
      <x:c r="N939" s="14"/>
      <x:c r="O939" s="14"/>
      <x:c r="P939" s="14" t="n">
        <x:v>5.44</x:v>
      </x:c>
      <x:c r="Q939" s="14" t="n">
        <x:v>46.68</x:v>
      </x:c>
      <x:c r="R939" s="15"/>
      <x:c r="S939" s="15"/>
      <x:c r="T939" s="15"/>
      <x:c r="U939" s="16"/>
      <x:c r="V939" t="str">
        <x:v>Tatra Real</x:v>
      </x:c>
      <x:c r="W939" t="str">
        <x:v>Ružinov</x:v>
      </x:c>
      <x:c r="X939" s="11" t="str">
        <x:v>Pripravujeme</x:v>
      </x:c>
      <x:c r="Y939" s="11" t="str">
        <x:v>https://www.galvania.sk/byty/mam-zaujem-o-byt-A5.11/</x:v>
      </x:c>
      <x:c r="Z939" s="11" t="n">
        <x:v>46249.4134212037</x:v>
      </x:c>
      <x:c r="AA939" s="11" t="n">
        <x:v>46254.51251577547</x:v>
      </x:c>
      <x:c r="AB939" s="11" t="n">
        <x:v>46254.51251577547</x:v>
      </x:c>
      <x:c r="AC939" t="str">
        <x:v>galvania_rezidencie</x:v>
      </x:c>
    </x:row>
    <x:row r="940" ht="22" customHeight="1">
      <x:c r="A940" t="str">
        <x:v>Galvania Rezidencie</x:v>
      </x:c>
      <x:c r="B940" t="str">
        <x:v>A5.12</x:v>
      </x:c>
      <x:c r="C940" t="str">
        <x:v>coming_soon</x:v>
      </x:c>
      <x:c r="D940" t="str">
        <x:v>present</x:v>
      </x:c>
      <x:c r="E940" t="str">
        <x:v>baseline</x:v>
      </x:c>
      <x:c r="F940" s="11" t="n">
        <x:v>46249.4134212037</x:v>
      </x:c>
      <x:c r="G940" t="str">
        <x:v>Apartmán</x:v>
      </x:c>
      <x:c r="H940" s="12" t="n">
        <x:v>2</x:v>
      </x:c>
      <x:c r="I940" s="13" t="n">
        <x:v>5</x:v>
      </x:c>
      <x:c r="J940" t="str">
        <x:v>A</x:v>
      </x:c>
      <x:c r="K940" s="14" t="n">
        <x:v>41.22</x:v>
      </x:c>
      <x:c r="L940" s="14"/>
      <x:c r="M940" s="14"/>
      <x:c r="N940" s="14"/>
      <x:c r="O940" s="14"/>
      <x:c r="P940" s="14" t="n">
        <x:v>5.23</x:v>
      </x:c>
      <x:c r="Q940" s="14" t="n">
        <x:v>46.45</x:v>
      </x:c>
      <x:c r="R940" s="15"/>
      <x:c r="S940" s="15"/>
      <x:c r="T940" s="15"/>
      <x:c r="U940" s="16"/>
      <x:c r="V940" t="str">
        <x:v>Tatra Real</x:v>
      </x:c>
      <x:c r="W940" t="str">
        <x:v>Ružinov</x:v>
      </x:c>
      <x:c r="X940" s="11" t="str">
        <x:v>Pripravujeme</x:v>
      </x:c>
      <x:c r="Y940" s="11" t="str">
        <x:v>https://www.galvania.sk/byty/mam-zaujem-o-byt-A5.12/</x:v>
      </x:c>
      <x:c r="Z940" s="11" t="n">
        <x:v>46249.4134212037</x:v>
      </x:c>
      <x:c r="AA940" s="11" t="n">
        <x:v>46254.51251577547</x:v>
      </x:c>
      <x:c r="AB940" s="11" t="n">
        <x:v>46254.51251577547</x:v>
      </x:c>
      <x:c r="AC940" t="str">
        <x:v>galvania_rezidencie</x:v>
      </x:c>
    </x:row>
    <x:row r="941" ht="22" customHeight="1">
      <x:c r="A941" t="str">
        <x:v>Galvania Rezidencie</x:v>
      </x:c>
      <x:c r="B941" t="str">
        <x:v>A5.13</x:v>
      </x:c>
      <x:c r="C941" t="str">
        <x:v>coming_soon</x:v>
      </x:c>
      <x:c r="D941" t="str">
        <x:v>present</x:v>
      </x:c>
      <x:c r="E941" t="str">
        <x:v>baseline</x:v>
      </x:c>
      <x:c r="F941" s="11" t="n">
        <x:v>46249.4134212037</x:v>
      </x:c>
      <x:c r="G941" t="str">
        <x:v>Nebytový priestor s prechodným ubytovaním</x:v>
      </x:c>
      <x:c r="H941" s="12" t="n">
        <x:v>3</x:v>
      </x:c>
      <x:c r="I941" s="13" t="n">
        <x:v>5</x:v>
      </x:c>
      <x:c r="J941" t="str">
        <x:v>A</x:v>
      </x:c>
      <x:c r="K941" s="14" t="n">
        <x:v>47.82</x:v>
      </x:c>
      <x:c r="L941" s="14"/>
      <x:c r="M941" s="14"/>
      <x:c r="N941" s="14"/>
      <x:c r="O941" s="14"/>
      <x:c r="P941" s="14" t="n">
        <x:v>7.92</x:v>
      </x:c>
      <x:c r="Q941" s="14" t="n">
        <x:v>55.74</x:v>
      </x:c>
      <x:c r="R941" s="15"/>
      <x:c r="S941" s="15"/>
      <x:c r="T941" s="15"/>
      <x:c r="U941" s="16"/>
      <x:c r="V941" t="str">
        <x:v>Tatra Real</x:v>
      </x:c>
      <x:c r="W941" t="str">
        <x:v>Ružinov</x:v>
      </x:c>
      <x:c r="X941" s="11" t="str">
        <x:v>Pripravujeme</x:v>
      </x:c>
      <x:c r="Y941" s="11" t="str">
        <x:v>https://www.galvania.sk/byty/mam-zaujem-o-byt-A5.13/</x:v>
      </x:c>
      <x:c r="Z941" s="11" t="n">
        <x:v>46249.4134212037</x:v>
      </x:c>
      <x:c r="AA941" s="11" t="n">
        <x:v>46254.51251577547</x:v>
      </x:c>
      <x:c r="AB941" s="11" t="n">
        <x:v>46254.51251577547</x:v>
      </x:c>
      <x:c r="AC941" t="str">
        <x:v>galvania_rezidencie</x:v>
      </x:c>
    </x:row>
    <x:row r="942" ht="22" customHeight="1">
      <x:c r="A942" t="str">
        <x:v>Galvania Rezidencie</x:v>
      </x:c>
      <x:c r="B942" t="str">
        <x:v>A5.14</x:v>
      </x:c>
      <x:c r="C942" t="str">
        <x:v>coming_soon</x:v>
      </x:c>
      <x:c r="D942" t="str">
        <x:v>present</x:v>
      </x:c>
      <x:c r="E942" t="str">
        <x:v>baseline</x:v>
      </x:c>
      <x:c r="F942" s="11" t="n">
        <x:v>46249.4134212037</x:v>
      </x:c>
      <x:c r="G942" t="str">
        <x:v>Apartmán</x:v>
      </x:c>
      <x:c r="H942" s="12" t="n">
        <x:v>3</x:v>
      </x:c>
      <x:c r="I942" s="13" t="n">
        <x:v>5</x:v>
      </x:c>
      <x:c r="J942" t="str">
        <x:v>A</x:v>
      </x:c>
      <x:c r="K942" s="14" t="n">
        <x:v>54.77</x:v>
      </x:c>
      <x:c r="L942" s="14"/>
      <x:c r="M942" s="14"/>
      <x:c r="N942" s="14"/>
      <x:c r="O942" s="14"/>
      <x:c r="P942" s="14" t="n">
        <x:v>8.25</x:v>
      </x:c>
      <x:c r="Q942" s="14" t="n">
        <x:v>63.02</x:v>
      </x:c>
      <x:c r="R942" s="15"/>
      <x:c r="S942" s="15"/>
      <x:c r="T942" s="15"/>
      <x:c r="U942" s="16"/>
      <x:c r="V942" t="str">
        <x:v>Tatra Real</x:v>
      </x:c>
      <x:c r="W942" t="str">
        <x:v>Ružinov</x:v>
      </x:c>
      <x:c r="X942" s="11" t="str">
        <x:v>Pripravujeme</x:v>
      </x:c>
      <x:c r="Y942" s="11" t="str">
        <x:v>https://www.galvania.sk/byty/mam-zaujem-o-byt-A5.14/</x:v>
      </x:c>
      <x:c r="Z942" s="11" t="n">
        <x:v>46249.4134212037</x:v>
      </x:c>
      <x:c r="AA942" s="11" t="n">
        <x:v>46254.51251577547</x:v>
      </x:c>
      <x:c r="AB942" s="11" t="n">
        <x:v>46254.51251577547</x:v>
      </x:c>
      <x:c r="AC942" t="str">
        <x:v>galvania_rezidencie</x:v>
      </x:c>
    </x:row>
    <x:row r="943" ht="22" customHeight="1">
      <x:c r="A943" t="str">
        <x:v>Galvania Rezidencie</x:v>
      </x:c>
      <x:c r="B943" t="str">
        <x:v>A5.15</x:v>
      </x:c>
      <x:c r="C943" t="str">
        <x:v>coming_soon</x:v>
      </x:c>
      <x:c r="D943" t="str">
        <x:v>present</x:v>
      </x:c>
      <x:c r="E943" t="str">
        <x:v>baseline</x:v>
      </x:c>
      <x:c r="F943" s="11" t="n">
        <x:v>46249.4134212037</x:v>
      </x:c>
      <x:c r="G943" t="str">
        <x:v>Apartmán</x:v>
      </x:c>
      <x:c r="H943" s="12" t="n">
        <x:v>2</x:v>
      </x:c>
      <x:c r="I943" s="13" t="n">
        <x:v>5</x:v>
      </x:c>
      <x:c r="J943" t="str">
        <x:v>A</x:v>
      </x:c>
      <x:c r="K943" s="14" t="n">
        <x:v>41.25</x:v>
      </x:c>
      <x:c r="L943" s="14"/>
      <x:c r="M943" s="14"/>
      <x:c r="N943" s="14"/>
      <x:c r="O943" s="14"/>
      <x:c r="P943" s="14" t="n">
        <x:v>5.48</x:v>
      </x:c>
      <x:c r="Q943" s="14" t="n">
        <x:v>46.73</x:v>
      </x:c>
      <x:c r="R943" s="15"/>
      <x:c r="S943" s="15"/>
      <x:c r="T943" s="15"/>
      <x:c r="U943" s="16"/>
      <x:c r="V943" t="str">
        <x:v>Tatra Real</x:v>
      </x:c>
      <x:c r="W943" t="str">
        <x:v>Ružinov</x:v>
      </x:c>
      <x:c r="X943" s="11" t="str">
        <x:v>Pripravujeme</x:v>
      </x:c>
      <x:c r="Y943" s="11" t="str">
        <x:v>https://www.galvania.sk/byty/mam-zaujem-o-byt-A5.15/</x:v>
      </x:c>
      <x:c r="Z943" s="11" t="n">
        <x:v>46249.4134212037</x:v>
      </x:c>
      <x:c r="AA943" s="11" t="n">
        <x:v>46254.51251577547</x:v>
      </x:c>
      <x:c r="AB943" s="11" t="n">
        <x:v>46254.51251577547</x:v>
      </x:c>
      <x:c r="AC943" t="str">
        <x:v>galvania_rezidencie</x:v>
      </x:c>
    </x:row>
    <x:row r="944" ht="22" customHeight="1">
      <x:c r="A944" t="str">
        <x:v>Galvania Rezidencie</x:v>
      </x:c>
      <x:c r="B944" t="str">
        <x:v>A5.16</x:v>
      </x:c>
      <x:c r="C944" t="str">
        <x:v>coming_soon</x:v>
      </x:c>
      <x:c r="D944" t="str">
        <x:v>present</x:v>
      </x:c>
      <x:c r="E944" t="str">
        <x:v>baseline</x:v>
      </x:c>
      <x:c r="F944" s="11" t="n">
        <x:v>46249.4134212037</x:v>
      </x:c>
      <x:c r="G944" t="str">
        <x:v>Byt</x:v>
      </x:c>
      <x:c r="H944" s="12" t="n">
        <x:v>2</x:v>
      </x:c>
      <x:c r="I944" s="13" t="n">
        <x:v>5</x:v>
      </x:c>
      <x:c r="J944" t="str">
        <x:v>A</x:v>
      </x:c>
      <x:c r="K944" s="14" t="n">
        <x:v>55.86</x:v>
      </x:c>
      <x:c r="L944" s="14"/>
      <x:c r="M944" s="14"/>
      <x:c r="N944" s="14"/>
      <x:c r="O944" s="14"/>
      <x:c r="P944" s="14" t="n">
        <x:v>8.01</x:v>
      </x:c>
      <x:c r="Q944" s="14" t="n">
        <x:v>63.87</x:v>
      </x:c>
      <x:c r="R944" s="15"/>
      <x:c r="S944" s="15"/>
      <x:c r="T944" s="15"/>
      <x:c r="U944" s="16"/>
      <x:c r="V944" t="str">
        <x:v>Tatra Real</x:v>
      </x:c>
      <x:c r="W944" t="str">
        <x:v>Ružinov</x:v>
      </x:c>
      <x:c r="X944" s="11" t="str">
        <x:v>Pripravujeme</x:v>
      </x:c>
      <x:c r="Y944" s="11" t="str">
        <x:v>https://www.galvania.sk/byty/mam-zaujem-o-byt-A5.16/</x:v>
      </x:c>
      <x:c r="Z944" s="11" t="n">
        <x:v>46249.4134212037</x:v>
      </x:c>
      <x:c r="AA944" s="11" t="n">
        <x:v>46254.51251577547</x:v>
      </x:c>
      <x:c r="AB944" s="11" t="n">
        <x:v>46254.51251577547</x:v>
      </x:c>
      <x:c r="AC944" t="str">
        <x:v>galvania_rezidencie</x:v>
      </x:c>
    </x:row>
    <x:row r="945" ht="22" customHeight="1">
      <x:c r="A945" t="str">
        <x:v>Galvania Rezidencie</x:v>
      </x:c>
      <x:c r="B945" t="str">
        <x:v>A6.01</x:v>
      </x:c>
      <x:c r="C945" t="str">
        <x:v>coming_soon</x:v>
      </x:c>
      <x:c r="D945" t="str">
        <x:v>present</x:v>
      </x:c>
      <x:c r="E945" t="str">
        <x:v>baseline</x:v>
      </x:c>
      <x:c r="F945" s="11" t="n">
        <x:v>46249.4134212037</x:v>
      </x:c>
      <x:c r="G945" t="str">
        <x:v>Apartmán</x:v>
      </x:c>
      <x:c r="H945" s="12" t="n">
        <x:v>1</x:v>
      </x:c>
      <x:c r="I945" s="13" t="n">
        <x:v>6</x:v>
      </x:c>
      <x:c r="J945" t="str">
        <x:v>A</x:v>
      </x:c>
      <x:c r="K945" s="14" t="n">
        <x:v>39.62</x:v>
      </x:c>
      <x:c r="L945" s="14"/>
      <x:c r="M945" s="14"/>
      <x:c r="N945" s="14"/>
      <x:c r="O945" s="14"/>
      <x:c r="P945" s="14" t="n">
        <x:v>3.52</x:v>
      </x:c>
      <x:c r="Q945" s="14" t="n">
        <x:v>43.14</x:v>
      </x:c>
      <x:c r="R945" s="15"/>
      <x:c r="S945" s="15"/>
      <x:c r="T945" s="15"/>
      <x:c r="U945" s="16"/>
      <x:c r="V945" t="str">
        <x:v>Tatra Real</x:v>
      </x:c>
      <x:c r="W945" t="str">
        <x:v>Ružinov</x:v>
      </x:c>
      <x:c r="X945" s="11" t="str">
        <x:v>Pripravujeme</x:v>
      </x:c>
      <x:c r="Y945" s="11" t="str">
        <x:v>https://www.galvania.sk/byty/mam-zaujem-o-byt-A6.01/</x:v>
      </x:c>
      <x:c r="Z945" s="11" t="n">
        <x:v>46249.4134212037</x:v>
      </x:c>
      <x:c r="AA945" s="11" t="n">
        <x:v>46254.51251577547</x:v>
      </x:c>
      <x:c r="AB945" s="11" t="n">
        <x:v>46254.51251577547</x:v>
      </x:c>
      <x:c r="AC945" t="str">
        <x:v>galvania_rezidencie</x:v>
      </x:c>
    </x:row>
    <x:row r="946" ht="22" customHeight="1">
      <x:c r="A946" t="str">
        <x:v>Galvania Rezidencie</x:v>
      </x:c>
      <x:c r="B946" t="str">
        <x:v>A6.02</x:v>
      </x:c>
      <x:c r="C946" t="str">
        <x:v>coming_soon</x:v>
      </x:c>
      <x:c r="D946" t="str">
        <x:v>present</x:v>
      </x:c>
      <x:c r="E946" t="str">
        <x:v>baseline</x:v>
      </x:c>
      <x:c r="F946" s="11" t="n">
        <x:v>46249.4134212037</x:v>
      </x:c>
      <x:c r="G946" t="str">
        <x:v>Apartmán</x:v>
      </x:c>
      <x:c r="H946" s="12" t="n">
        <x:v>1</x:v>
      </x:c>
      <x:c r="I946" s="13" t="n">
        <x:v>6</x:v>
      </x:c>
      <x:c r="J946" t="str">
        <x:v>A</x:v>
      </x:c>
      <x:c r="K946" s="14" t="n">
        <x:v>34.17</x:v>
      </x:c>
      <x:c r="L946" s="14"/>
      <x:c r="M946" s="14"/>
      <x:c r="N946" s="14"/>
      <x:c r="O946" s="14"/>
      <x:c r="P946" s="14" t="n">
        <x:v>3.52</x:v>
      </x:c>
      <x:c r="Q946" s="14" t="n">
        <x:v>37.69</x:v>
      </x:c>
      <x:c r="R946" s="15"/>
      <x:c r="S946" s="15"/>
      <x:c r="T946" s="15"/>
      <x:c r="U946" s="16"/>
      <x:c r="V946" t="str">
        <x:v>Tatra Real</x:v>
      </x:c>
      <x:c r="W946" t="str">
        <x:v>Ružinov</x:v>
      </x:c>
      <x:c r="X946" s="11" t="str">
        <x:v>Pripravujeme</x:v>
      </x:c>
      <x:c r="Y946" s="11" t="str">
        <x:v>https://www.galvania.sk/byty/mam-zaujem-o-byt-A6.02/</x:v>
      </x:c>
      <x:c r="Z946" s="11" t="n">
        <x:v>46249.4134212037</x:v>
      </x:c>
      <x:c r="AA946" s="11" t="n">
        <x:v>46254.51251577547</x:v>
      </x:c>
      <x:c r="AB946" s="11" t="n">
        <x:v>46254.51251577547</x:v>
      </x:c>
      <x:c r="AC946" t="str">
        <x:v>galvania_rezidencie</x:v>
      </x:c>
    </x:row>
    <x:row r="947" ht="22" customHeight="1">
      <x:c r="A947" t="str">
        <x:v>Galvania Rezidencie</x:v>
      </x:c>
      <x:c r="B947" t="str">
        <x:v>A6.03</x:v>
      </x:c>
      <x:c r="C947" t="str">
        <x:v>coming_soon</x:v>
      </x:c>
      <x:c r="D947" t="str">
        <x:v>present</x:v>
      </x:c>
      <x:c r="E947" t="str">
        <x:v>baseline</x:v>
      </x:c>
      <x:c r="F947" s="11" t="n">
        <x:v>46249.4134212037</x:v>
      </x:c>
      <x:c r="G947" t="str">
        <x:v>Apartmán</x:v>
      </x:c>
      <x:c r="H947" s="12" t="n">
        <x:v>1</x:v>
      </x:c>
      <x:c r="I947" s="13" t="n">
        <x:v>6</x:v>
      </x:c>
      <x:c r="J947" t="str">
        <x:v>A</x:v>
      </x:c>
      <x:c r="K947" s="14" t="n">
        <x:v>34.54</x:v>
      </x:c>
      <x:c r="L947" s="14"/>
      <x:c r="M947" s="14"/>
      <x:c r="N947" s="14"/>
      <x:c r="O947" s="14"/>
      <x:c r="P947" s="14" t="n">
        <x:v>3.52</x:v>
      </x:c>
      <x:c r="Q947" s="14" t="n">
        <x:v>38.06</x:v>
      </x:c>
      <x:c r="R947" s="15"/>
      <x:c r="S947" s="15"/>
      <x:c r="T947" s="15"/>
      <x:c r="U947" s="16"/>
      <x:c r="V947" t="str">
        <x:v>Tatra Real</x:v>
      </x:c>
      <x:c r="W947" t="str">
        <x:v>Ružinov</x:v>
      </x:c>
      <x:c r="X947" s="11" t="str">
        <x:v>Pripravujeme</x:v>
      </x:c>
      <x:c r="Y947" s="11" t="str">
        <x:v>https://www.galvania.sk/byty/mam-zaujem-o-byt-A6.03/</x:v>
      </x:c>
      <x:c r="Z947" s="11" t="n">
        <x:v>46249.4134212037</x:v>
      </x:c>
      <x:c r="AA947" s="11" t="n">
        <x:v>46254.51251577547</x:v>
      </x:c>
      <x:c r="AB947" s="11" t="n">
        <x:v>46254.51251577547</x:v>
      </x:c>
      <x:c r="AC947" t="str">
        <x:v>galvania_rezidencie</x:v>
      </x:c>
    </x:row>
    <x:row r="948" ht="22" customHeight="1">
      <x:c r="A948" t="str">
        <x:v>Galvania Rezidencie</x:v>
      </x:c>
      <x:c r="B948" t="str">
        <x:v>A6.04</x:v>
      </x:c>
      <x:c r="C948" t="str">
        <x:v>coming_soon</x:v>
      </x:c>
      <x:c r="D948" t="str">
        <x:v>present</x:v>
      </x:c>
      <x:c r="E948" t="str">
        <x:v>baseline</x:v>
      </x:c>
      <x:c r="F948" s="11" t="n">
        <x:v>46249.4134212037</x:v>
      </x:c>
      <x:c r="G948" t="str">
        <x:v>Apartmán</x:v>
      </x:c>
      <x:c r="H948" s="12" t="n">
        <x:v>2</x:v>
      </x:c>
      <x:c r="I948" s="13" t="n">
        <x:v>6</x:v>
      </x:c>
      <x:c r="J948" t="str">
        <x:v>A</x:v>
      </x:c>
      <x:c r="K948" s="14" t="n">
        <x:v>41.12</x:v>
      </x:c>
      <x:c r="L948" s="14"/>
      <x:c r="M948" s="14"/>
      <x:c r="N948" s="14"/>
      <x:c r="O948" s="14"/>
      <x:c r="P948" s="14" t="n">
        <x:v>4.72</x:v>
      </x:c>
      <x:c r="Q948" s="14" t="n">
        <x:v>45.84</x:v>
      </x:c>
      <x:c r="R948" s="15"/>
      <x:c r="S948" s="15"/>
      <x:c r="T948" s="15"/>
      <x:c r="U948" s="16"/>
      <x:c r="V948" t="str">
        <x:v>Tatra Real</x:v>
      </x:c>
      <x:c r="W948" t="str">
        <x:v>Ružinov</x:v>
      </x:c>
      <x:c r="X948" s="11" t="str">
        <x:v>Pripravujeme</x:v>
      </x:c>
      <x:c r="Y948" s="11" t="str">
        <x:v>https://www.galvania.sk/byty/mam-zaujem-o-byt-A6.04/</x:v>
      </x:c>
      <x:c r="Z948" s="11" t="n">
        <x:v>46249.4134212037</x:v>
      </x:c>
      <x:c r="AA948" s="11" t="n">
        <x:v>46254.51251577547</x:v>
      </x:c>
      <x:c r="AB948" s="11" t="n">
        <x:v>46254.51251577547</x:v>
      </x:c>
      <x:c r="AC948" t="str">
        <x:v>galvania_rezidencie</x:v>
      </x:c>
    </x:row>
    <x:row r="949" ht="22" customHeight="1">
      <x:c r="A949" t="str">
        <x:v>Galvania Rezidencie</x:v>
      </x:c>
      <x:c r="B949" t="str">
        <x:v>A6.05</x:v>
      </x:c>
      <x:c r="C949" t="str">
        <x:v>coming_soon</x:v>
      </x:c>
      <x:c r="D949" t="str">
        <x:v>present</x:v>
      </x:c>
      <x:c r="E949" t="str">
        <x:v>baseline</x:v>
      </x:c>
      <x:c r="F949" s="11" t="n">
        <x:v>46249.4134212037</x:v>
      </x:c>
      <x:c r="G949" t="str">
        <x:v>Apartmán</x:v>
      </x:c>
      <x:c r="H949" s="12" t="n">
        <x:v>2</x:v>
      </x:c>
      <x:c r="I949" s="13" t="n">
        <x:v>6</x:v>
      </x:c>
      <x:c r="J949" t="str">
        <x:v>A</x:v>
      </x:c>
      <x:c r="K949" s="14" t="n">
        <x:v>41.27</x:v>
      </x:c>
      <x:c r="L949" s="14"/>
      <x:c r="M949" s="14"/>
      <x:c r="N949" s="14"/>
      <x:c r="O949" s="14"/>
      <x:c r="P949" s="14" t="n">
        <x:v>5.38</x:v>
      </x:c>
      <x:c r="Q949" s="14" t="n">
        <x:v>46.65</x:v>
      </x:c>
      <x:c r="R949" s="15"/>
      <x:c r="S949" s="15"/>
      <x:c r="T949" s="15"/>
      <x:c r="U949" s="16"/>
      <x:c r="V949" t="str">
        <x:v>Tatra Real</x:v>
      </x:c>
      <x:c r="W949" t="str">
        <x:v>Ružinov</x:v>
      </x:c>
      <x:c r="X949" s="11" t="str">
        <x:v>Pripravujeme</x:v>
      </x:c>
      <x:c r="Y949" s="11" t="str">
        <x:v>https://www.galvania.sk/byty/mam-zaujem-o-byt-A6.05/</x:v>
      </x:c>
      <x:c r="Z949" s="11" t="n">
        <x:v>46249.4134212037</x:v>
      </x:c>
      <x:c r="AA949" s="11" t="n">
        <x:v>46254.51251577547</x:v>
      </x:c>
      <x:c r="AB949" s="11" t="n">
        <x:v>46254.51251577547</x:v>
      </x:c>
      <x:c r="AC949" t="str">
        <x:v>galvania_rezidencie</x:v>
      </x:c>
    </x:row>
    <x:row r="950" ht="22" customHeight="1">
      <x:c r="A950" t="str">
        <x:v>Galvania Rezidencie</x:v>
      </x:c>
      <x:c r="B950" t="str">
        <x:v>A6.06</x:v>
      </x:c>
      <x:c r="C950" t="str">
        <x:v>coming_soon</x:v>
      </x:c>
      <x:c r="D950" t="str">
        <x:v>present</x:v>
      </x:c>
      <x:c r="E950" t="str">
        <x:v>baseline</x:v>
      </x:c>
      <x:c r="F950" s="11" t="n">
        <x:v>46249.4134212037</x:v>
      </x:c>
      <x:c r="G950" t="str">
        <x:v>Apartmán</x:v>
      </x:c>
      <x:c r="H950" s="12" t="n">
        <x:v>2</x:v>
      </x:c>
      <x:c r="I950" s="13" t="n">
        <x:v>6</x:v>
      </x:c>
      <x:c r="J950" t="str">
        <x:v>A</x:v>
      </x:c>
      <x:c r="K950" s="14" t="n">
        <x:v>41.22</x:v>
      </x:c>
      <x:c r="L950" s="14"/>
      <x:c r="M950" s="14"/>
      <x:c r="N950" s="14"/>
      <x:c r="O950" s="14"/>
      <x:c r="P950" s="14" t="n">
        <x:v>5.27</x:v>
      </x:c>
      <x:c r="Q950" s="14" t="n">
        <x:v>46.49</x:v>
      </x:c>
      <x:c r="R950" s="15"/>
      <x:c r="S950" s="15"/>
      <x:c r="T950" s="15"/>
      <x:c r="U950" s="16"/>
      <x:c r="V950" t="str">
        <x:v>Tatra Real</x:v>
      </x:c>
      <x:c r="W950" t="str">
        <x:v>Ružinov</x:v>
      </x:c>
      <x:c r="X950" s="11" t="str">
        <x:v>Pripravujeme</x:v>
      </x:c>
      <x:c r="Y950" s="11" t="str">
        <x:v>https://www.galvania.sk/byty/mam-zaujem-o-byt-A6.06/</x:v>
      </x:c>
      <x:c r="Z950" s="11" t="n">
        <x:v>46249.4134212037</x:v>
      </x:c>
      <x:c r="AA950" s="11" t="n">
        <x:v>46254.51251577547</x:v>
      </x:c>
      <x:c r="AB950" s="11" t="n">
        <x:v>46254.51251577547</x:v>
      </x:c>
      <x:c r="AC950" t="str">
        <x:v>galvania_rezidencie</x:v>
      </x:c>
    </x:row>
    <x:row r="951" ht="22" customHeight="1">
      <x:c r="A951" t="str">
        <x:v>Galvania Rezidencie</x:v>
      </x:c>
      <x:c r="B951" t="str">
        <x:v>A6.07</x:v>
      </x:c>
      <x:c r="C951" t="str">
        <x:v>coming_soon</x:v>
      </x:c>
      <x:c r="D951" t="str">
        <x:v>present</x:v>
      </x:c>
      <x:c r="E951" t="str">
        <x:v>baseline</x:v>
      </x:c>
      <x:c r="F951" s="11" t="n">
        <x:v>46249.4134212037</x:v>
      </x:c>
      <x:c r="G951" t="str">
        <x:v>Apartmán</x:v>
      </x:c>
      <x:c r="H951" s="12" t="n">
        <x:v>2</x:v>
      </x:c>
      <x:c r="I951" s="13" t="n">
        <x:v>6</x:v>
      </x:c>
      <x:c r="J951" t="str">
        <x:v>A</x:v>
      </x:c>
      <x:c r="K951" s="14" t="n">
        <x:v>41.18</x:v>
      </x:c>
      <x:c r="L951" s="14"/>
      <x:c r="M951" s="14"/>
      <x:c r="N951" s="14"/>
      <x:c r="O951" s="14"/>
      <x:c r="P951" s="14" t="n">
        <x:v>5.4</x:v>
      </x:c>
      <x:c r="Q951" s="14" t="n">
        <x:v>46.58</x:v>
      </x:c>
      <x:c r="R951" s="15"/>
      <x:c r="S951" s="15"/>
      <x:c r="T951" s="15"/>
      <x:c r="U951" s="16"/>
      <x:c r="V951" t="str">
        <x:v>Tatra Real</x:v>
      </x:c>
      <x:c r="W951" t="str">
        <x:v>Ružinov</x:v>
      </x:c>
      <x:c r="X951" s="11" t="str">
        <x:v>Pripravujeme</x:v>
      </x:c>
      <x:c r="Y951" s="11" t="str">
        <x:v>https://www.galvania.sk/byty/mam-zaujem-o-byt-A6.07/</x:v>
      </x:c>
      <x:c r="Z951" s="11" t="n">
        <x:v>46249.4134212037</x:v>
      </x:c>
      <x:c r="AA951" s="11" t="n">
        <x:v>46254.51251577547</x:v>
      </x:c>
      <x:c r="AB951" s="11" t="n">
        <x:v>46254.51251577547</x:v>
      </x:c>
      <x:c r="AC951" t="str">
        <x:v>galvania_rezidencie</x:v>
      </x:c>
    </x:row>
    <x:row r="952" ht="22" customHeight="1">
      <x:c r="A952" t="str">
        <x:v>Galvania Rezidencie</x:v>
      </x:c>
      <x:c r="B952" t="str">
        <x:v>A6.08</x:v>
      </x:c>
      <x:c r="C952" t="str">
        <x:v>coming_soon</x:v>
      </x:c>
      <x:c r="D952" t="str">
        <x:v>present</x:v>
      </x:c>
      <x:c r="E952" t="str">
        <x:v>baseline</x:v>
      </x:c>
      <x:c r="F952" s="11" t="n">
        <x:v>46249.4134212037</x:v>
      </x:c>
      <x:c r="G952" t="str">
        <x:v>Apartmán</x:v>
      </x:c>
      <x:c r="H952" s="12" t="n">
        <x:v>2</x:v>
      </x:c>
      <x:c r="I952" s="13" t="n">
        <x:v>6</x:v>
      </x:c>
      <x:c r="J952" t="str">
        <x:v>A</x:v>
      </x:c>
      <x:c r="K952" s="14" t="n">
        <x:v>41.22</x:v>
      </x:c>
      <x:c r="L952" s="14"/>
      <x:c r="M952" s="14"/>
      <x:c r="N952" s="14"/>
      <x:c r="O952" s="14"/>
      <x:c r="P952" s="14" t="n">
        <x:v>5.27</x:v>
      </x:c>
      <x:c r="Q952" s="14" t="n">
        <x:v>46.49</x:v>
      </x:c>
      <x:c r="R952" s="15"/>
      <x:c r="S952" s="15"/>
      <x:c r="T952" s="15"/>
      <x:c r="U952" s="16"/>
      <x:c r="V952" t="str">
        <x:v>Tatra Real</x:v>
      </x:c>
      <x:c r="W952" t="str">
        <x:v>Ružinov</x:v>
      </x:c>
      <x:c r="X952" s="11" t="str">
        <x:v>Pripravujeme</x:v>
      </x:c>
      <x:c r="Y952" s="11" t="str">
        <x:v>https://www.galvania.sk/byty/mam-zaujem-o-byt-A6.08/</x:v>
      </x:c>
      <x:c r="Z952" s="11" t="n">
        <x:v>46249.4134212037</x:v>
      </x:c>
      <x:c r="AA952" s="11" t="n">
        <x:v>46254.51251577547</x:v>
      </x:c>
      <x:c r="AB952" s="11" t="n">
        <x:v>46254.51251577547</x:v>
      </x:c>
      <x:c r="AC952" t="str">
        <x:v>galvania_rezidencie</x:v>
      </x:c>
    </x:row>
    <x:row r="953" ht="22" customHeight="1">
      <x:c r="A953" t="str">
        <x:v>Galvania Rezidencie</x:v>
      </x:c>
      <x:c r="B953" t="str">
        <x:v>A6.09</x:v>
      </x:c>
      <x:c r="C953" t="str">
        <x:v>coming_soon</x:v>
      </x:c>
      <x:c r="D953" t="str">
        <x:v>present</x:v>
      </x:c>
      <x:c r="E953" t="str">
        <x:v>baseline</x:v>
      </x:c>
      <x:c r="F953" s="11" t="n">
        <x:v>46249.4134212037</x:v>
      </x:c>
      <x:c r="G953" t="str">
        <x:v>Apartmán</x:v>
      </x:c>
      <x:c r="H953" s="12" t="n">
        <x:v>2</x:v>
      </x:c>
      <x:c r="I953" s="13" t="n">
        <x:v>6</x:v>
      </x:c>
      <x:c r="J953" t="str">
        <x:v>A</x:v>
      </x:c>
      <x:c r="K953" s="14" t="n">
        <x:v>41.18</x:v>
      </x:c>
      <x:c r="L953" s="14"/>
      <x:c r="M953" s="14"/>
      <x:c r="N953" s="14"/>
      <x:c r="O953" s="14"/>
      <x:c r="P953" s="14" t="n">
        <x:v>5.42</x:v>
      </x:c>
      <x:c r="Q953" s="14" t="n">
        <x:v>46.6</x:v>
      </x:c>
      <x:c r="R953" s="15"/>
      <x:c r="S953" s="15"/>
      <x:c r="T953" s="15"/>
      <x:c r="U953" s="16"/>
      <x:c r="V953" t="str">
        <x:v>Tatra Real</x:v>
      </x:c>
      <x:c r="W953" t="str">
        <x:v>Ružinov</x:v>
      </x:c>
      <x:c r="X953" s="11" t="str">
        <x:v>Pripravujeme</x:v>
      </x:c>
      <x:c r="Y953" s="11" t="str">
        <x:v>https://www.galvania.sk/byty/mam-zaujem-o-byt-A6.09/</x:v>
      </x:c>
      <x:c r="Z953" s="11" t="n">
        <x:v>46249.4134212037</x:v>
      </x:c>
      <x:c r="AA953" s="11" t="n">
        <x:v>46254.51251577547</x:v>
      </x:c>
      <x:c r="AB953" s="11" t="n">
        <x:v>46254.51251577547</x:v>
      </x:c>
      <x:c r="AC953" t="str">
        <x:v>galvania_rezidencie</x:v>
      </x:c>
    </x:row>
    <x:row r="954" ht="22" customHeight="1">
      <x:c r="A954" t="str">
        <x:v>Galvania Rezidencie</x:v>
      </x:c>
      <x:c r="B954" t="str">
        <x:v>A6.10</x:v>
      </x:c>
      <x:c r="C954" t="str">
        <x:v>coming_soon</x:v>
      </x:c>
      <x:c r="D954" t="str">
        <x:v>present</x:v>
      </x:c>
      <x:c r="E954" t="str">
        <x:v>baseline</x:v>
      </x:c>
      <x:c r="F954" s="11" t="n">
        <x:v>46249.4134212037</x:v>
      </x:c>
      <x:c r="G954" t="str">
        <x:v>Apartmán</x:v>
      </x:c>
      <x:c r="H954" s="12" t="n">
        <x:v>2</x:v>
      </x:c>
      <x:c r="I954" s="13" t="n">
        <x:v>6</x:v>
      </x:c>
      <x:c r="J954" t="str">
        <x:v>A</x:v>
      </x:c>
      <x:c r="K954" s="14" t="n">
        <x:v>41.27</x:v>
      </x:c>
      <x:c r="L954" s="14"/>
      <x:c r="M954" s="14"/>
      <x:c r="N954" s="14"/>
      <x:c r="O954" s="14"/>
      <x:c r="P954" s="14" t="n">
        <x:v>5.25</x:v>
      </x:c>
      <x:c r="Q954" s="14" t="n">
        <x:v>46.52</x:v>
      </x:c>
      <x:c r="R954" s="15"/>
      <x:c r="S954" s="15"/>
      <x:c r="T954" s="15"/>
      <x:c r="U954" s="16"/>
      <x:c r="V954" t="str">
        <x:v>Tatra Real</x:v>
      </x:c>
      <x:c r="W954" t="str">
        <x:v>Ružinov</x:v>
      </x:c>
      <x:c r="X954" s="11" t="str">
        <x:v>Pripravujeme</x:v>
      </x:c>
      <x:c r="Y954" s="11" t="str">
        <x:v>https://www.galvania.sk/byty/mam-zaujem-o-byt-A6.10/</x:v>
      </x:c>
      <x:c r="Z954" s="11" t="n">
        <x:v>46249.4134212037</x:v>
      </x:c>
      <x:c r="AA954" s="11" t="n">
        <x:v>46254.51251577547</x:v>
      </x:c>
      <x:c r="AB954" s="11" t="n">
        <x:v>46254.51251577547</x:v>
      </x:c>
      <x:c r="AC954" t="str">
        <x:v>galvania_rezidencie</x:v>
      </x:c>
    </x:row>
    <x:row r="955" ht="22" customHeight="1">
      <x:c r="A955" t="str">
        <x:v>Galvania Rezidencie</x:v>
      </x:c>
      <x:c r="B955" t="str">
        <x:v>A6.11</x:v>
      </x:c>
      <x:c r="C955" t="str">
        <x:v>coming_soon</x:v>
      </x:c>
      <x:c r="D955" t="str">
        <x:v>present</x:v>
      </x:c>
      <x:c r="E955" t="str">
        <x:v>baseline</x:v>
      </x:c>
      <x:c r="F955" s="11" t="n">
        <x:v>46249.4134212037</x:v>
      </x:c>
      <x:c r="G955" t="str">
        <x:v>Apartmán</x:v>
      </x:c>
      <x:c r="H955" s="12" t="n">
        <x:v>2</x:v>
      </x:c>
      <x:c r="I955" s="13" t="n">
        <x:v>6</x:v>
      </x:c>
      <x:c r="J955" t="str">
        <x:v>A</x:v>
      </x:c>
      <x:c r="K955" s="14" t="n">
        <x:v>41.24</x:v>
      </x:c>
      <x:c r="L955" s="14"/>
      <x:c r="M955" s="14"/>
      <x:c r="N955" s="14"/>
      <x:c r="O955" s="14"/>
      <x:c r="P955" s="14" t="n">
        <x:v>5.44</x:v>
      </x:c>
      <x:c r="Q955" s="14" t="n">
        <x:v>46.68</x:v>
      </x:c>
      <x:c r="R955" s="15"/>
      <x:c r="S955" s="15"/>
      <x:c r="T955" s="15"/>
      <x:c r="U955" s="16"/>
      <x:c r="V955" t="str">
        <x:v>Tatra Real</x:v>
      </x:c>
      <x:c r="W955" t="str">
        <x:v>Ružinov</x:v>
      </x:c>
      <x:c r="X955" s="11" t="str">
        <x:v>Pripravujeme</x:v>
      </x:c>
      <x:c r="Y955" s="11" t="str">
        <x:v>https://www.galvania.sk/byty/mam-zaujem-o-byt-A6.11/</x:v>
      </x:c>
      <x:c r="Z955" s="11" t="n">
        <x:v>46249.4134212037</x:v>
      </x:c>
      <x:c r="AA955" s="11" t="n">
        <x:v>46254.51251577547</x:v>
      </x:c>
      <x:c r="AB955" s="11" t="n">
        <x:v>46254.51251577547</x:v>
      </x:c>
      <x:c r="AC955" t="str">
        <x:v>galvania_rezidencie</x:v>
      </x:c>
    </x:row>
    <x:row r="956" ht="22" customHeight="1">
      <x:c r="A956" t="str">
        <x:v>Galvania Rezidencie</x:v>
      </x:c>
      <x:c r="B956" t="str">
        <x:v>A6.12</x:v>
      </x:c>
      <x:c r="C956" t="str">
        <x:v>coming_soon</x:v>
      </x:c>
      <x:c r="D956" t="str">
        <x:v>present</x:v>
      </x:c>
      <x:c r="E956" t="str">
        <x:v>baseline</x:v>
      </x:c>
      <x:c r="F956" s="11" t="n">
        <x:v>46249.4134212037</x:v>
      </x:c>
      <x:c r="G956" t="str">
        <x:v>Apartmán</x:v>
      </x:c>
      <x:c r="H956" s="12" t="n">
        <x:v>2</x:v>
      </x:c>
      <x:c r="I956" s="13" t="n">
        <x:v>6</x:v>
      </x:c>
      <x:c r="J956" t="str">
        <x:v>A</x:v>
      </x:c>
      <x:c r="K956" s="14" t="n">
        <x:v>41.22</x:v>
      </x:c>
      <x:c r="L956" s="14"/>
      <x:c r="M956" s="14"/>
      <x:c r="N956" s="14"/>
      <x:c r="O956" s="14"/>
      <x:c r="P956" s="14" t="n">
        <x:v>5.23</x:v>
      </x:c>
      <x:c r="Q956" s="14" t="n">
        <x:v>46.45</x:v>
      </x:c>
      <x:c r="R956" s="15"/>
      <x:c r="S956" s="15"/>
      <x:c r="T956" s="15"/>
      <x:c r="U956" s="16"/>
      <x:c r="V956" t="str">
        <x:v>Tatra Real</x:v>
      </x:c>
      <x:c r="W956" t="str">
        <x:v>Ružinov</x:v>
      </x:c>
      <x:c r="X956" s="11" t="str">
        <x:v>Pripravujeme</x:v>
      </x:c>
      <x:c r="Y956" s="11" t="str">
        <x:v>https://www.galvania.sk/byty/mam-zaujem-o-byt-A6.12/</x:v>
      </x:c>
      <x:c r="Z956" s="11" t="n">
        <x:v>46249.4134212037</x:v>
      </x:c>
      <x:c r="AA956" s="11" t="n">
        <x:v>46254.51251577547</x:v>
      </x:c>
      <x:c r="AB956" s="11" t="n">
        <x:v>46254.51251577547</x:v>
      </x:c>
      <x:c r="AC956" t="str">
        <x:v>galvania_rezidencie</x:v>
      </x:c>
    </x:row>
    <x:row r="957" ht="22" customHeight="1">
      <x:c r="A957" t="str">
        <x:v>Galvania Rezidencie</x:v>
      </x:c>
      <x:c r="B957" t="str">
        <x:v>A6.13</x:v>
      </x:c>
      <x:c r="C957" t="str">
        <x:v>coming_soon</x:v>
      </x:c>
      <x:c r="D957" t="str">
        <x:v>present</x:v>
      </x:c>
      <x:c r="E957" t="str">
        <x:v>baseline</x:v>
      </x:c>
      <x:c r="F957" s="11" t="n">
        <x:v>46249.4134212037</x:v>
      </x:c>
      <x:c r="G957" t="str">
        <x:v>Nebytový priestor s prechodným ubytovaním</x:v>
      </x:c>
      <x:c r="H957" s="12" t="n">
        <x:v>3</x:v>
      </x:c>
      <x:c r="I957" s="13" t="n">
        <x:v>6</x:v>
      </x:c>
      <x:c r="J957" t="str">
        <x:v>A</x:v>
      </x:c>
      <x:c r="K957" s="14" t="n">
        <x:v>47.82</x:v>
      </x:c>
      <x:c r="L957" s="14"/>
      <x:c r="M957" s="14"/>
      <x:c r="N957" s="14"/>
      <x:c r="O957" s="14"/>
      <x:c r="P957" s="14" t="n">
        <x:v>7.92</x:v>
      </x:c>
      <x:c r="Q957" s="14" t="n">
        <x:v>55.74</x:v>
      </x:c>
      <x:c r="R957" s="15"/>
      <x:c r="S957" s="15"/>
      <x:c r="T957" s="15"/>
      <x:c r="U957" s="16"/>
      <x:c r="V957" t="str">
        <x:v>Tatra Real</x:v>
      </x:c>
      <x:c r="W957" t="str">
        <x:v>Ružinov</x:v>
      </x:c>
      <x:c r="X957" s="11" t="str">
        <x:v>Pripravujeme</x:v>
      </x:c>
      <x:c r="Y957" s="11" t="str">
        <x:v>https://www.galvania.sk/byty/mam-zaujem-o-byt-A6.13/</x:v>
      </x:c>
      <x:c r="Z957" s="11" t="n">
        <x:v>46249.4134212037</x:v>
      </x:c>
      <x:c r="AA957" s="11" t="n">
        <x:v>46254.51251577547</x:v>
      </x:c>
      <x:c r="AB957" s="11" t="n">
        <x:v>46254.51251577547</x:v>
      </x:c>
      <x:c r="AC957" t="str">
        <x:v>galvania_rezidencie</x:v>
      </x:c>
    </x:row>
    <x:row r="958" ht="22" customHeight="1">
      <x:c r="A958" t="str">
        <x:v>Galvania Rezidencie</x:v>
      </x:c>
      <x:c r="B958" t="str">
        <x:v>A6.14</x:v>
      </x:c>
      <x:c r="C958" t="str">
        <x:v>coming_soon</x:v>
      </x:c>
      <x:c r="D958" t="str">
        <x:v>present</x:v>
      </x:c>
      <x:c r="E958" t="str">
        <x:v>baseline</x:v>
      </x:c>
      <x:c r="F958" s="11" t="n">
        <x:v>46249.4134212037</x:v>
      </x:c>
      <x:c r="G958" t="str">
        <x:v>Apartmán</x:v>
      </x:c>
      <x:c r="H958" s="12" t="n">
        <x:v>3</x:v>
      </x:c>
      <x:c r="I958" s="13" t="n">
        <x:v>6</x:v>
      </x:c>
      <x:c r="J958" t="str">
        <x:v>A</x:v>
      </x:c>
      <x:c r="K958" s="14" t="n">
        <x:v>54.77</x:v>
      </x:c>
      <x:c r="L958" s="14"/>
      <x:c r="M958" s="14"/>
      <x:c r="N958" s="14"/>
      <x:c r="O958" s="14"/>
      <x:c r="P958" s="14" t="n">
        <x:v>8.25</x:v>
      </x:c>
      <x:c r="Q958" s="14" t="n">
        <x:v>63.02</x:v>
      </x:c>
      <x:c r="R958" s="15"/>
      <x:c r="S958" s="15"/>
      <x:c r="T958" s="15"/>
      <x:c r="U958" s="16"/>
      <x:c r="V958" t="str">
        <x:v>Tatra Real</x:v>
      </x:c>
      <x:c r="W958" t="str">
        <x:v>Ružinov</x:v>
      </x:c>
      <x:c r="X958" s="11" t="str">
        <x:v>Pripravujeme</x:v>
      </x:c>
      <x:c r="Y958" s="11" t="str">
        <x:v>https://www.galvania.sk/byty/mam-zaujem-o-byt-A6.14/</x:v>
      </x:c>
      <x:c r="Z958" s="11" t="n">
        <x:v>46249.4134212037</x:v>
      </x:c>
      <x:c r="AA958" s="11" t="n">
        <x:v>46254.51251577547</x:v>
      </x:c>
      <x:c r="AB958" s="11" t="n">
        <x:v>46254.51251577547</x:v>
      </x:c>
      <x:c r="AC958" t="str">
        <x:v>galvania_rezidencie</x:v>
      </x:c>
    </x:row>
    <x:row r="959" ht="22" customHeight="1">
      <x:c r="A959" t="str">
        <x:v>Galvania Rezidencie</x:v>
      </x:c>
      <x:c r="B959" t="str">
        <x:v>A6.15</x:v>
      </x:c>
      <x:c r="C959" t="str">
        <x:v>coming_soon</x:v>
      </x:c>
      <x:c r="D959" t="str">
        <x:v>present</x:v>
      </x:c>
      <x:c r="E959" t="str">
        <x:v>baseline</x:v>
      </x:c>
      <x:c r="F959" s="11" t="n">
        <x:v>46249.4134212037</x:v>
      </x:c>
      <x:c r="G959" t="str">
        <x:v>Apartmán</x:v>
      </x:c>
      <x:c r="H959" s="12" t="n">
        <x:v>2</x:v>
      </x:c>
      <x:c r="I959" s="13" t="n">
        <x:v>6</x:v>
      </x:c>
      <x:c r="J959" t="str">
        <x:v>A</x:v>
      </x:c>
      <x:c r="K959" s="14" t="n">
        <x:v>41.25</x:v>
      </x:c>
      <x:c r="L959" s="14"/>
      <x:c r="M959" s="14"/>
      <x:c r="N959" s="14"/>
      <x:c r="O959" s="14"/>
      <x:c r="P959" s="14" t="n">
        <x:v>5.48</x:v>
      </x:c>
      <x:c r="Q959" s="14" t="n">
        <x:v>46.73</x:v>
      </x:c>
      <x:c r="R959" s="15"/>
      <x:c r="S959" s="15"/>
      <x:c r="T959" s="15"/>
      <x:c r="U959" s="16"/>
      <x:c r="V959" t="str">
        <x:v>Tatra Real</x:v>
      </x:c>
      <x:c r="W959" t="str">
        <x:v>Ružinov</x:v>
      </x:c>
      <x:c r="X959" s="11" t="str">
        <x:v>Pripravujeme</x:v>
      </x:c>
      <x:c r="Y959" s="11" t="str">
        <x:v>https://www.galvania.sk/byty/mam-zaujem-o-byt-A6.15/</x:v>
      </x:c>
      <x:c r="Z959" s="11" t="n">
        <x:v>46249.4134212037</x:v>
      </x:c>
      <x:c r="AA959" s="11" t="n">
        <x:v>46254.51251577547</x:v>
      </x:c>
      <x:c r="AB959" s="11" t="n">
        <x:v>46254.51251577547</x:v>
      </x:c>
      <x:c r="AC959" t="str">
        <x:v>galvania_rezidencie</x:v>
      </x:c>
    </x:row>
    <x:row r="960" ht="22" customHeight="1">
      <x:c r="A960" t="str">
        <x:v>Galvania Rezidencie</x:v>
      </x:c>
      <x:c r="B960" t="str">
        <x:v>A6.16</x:v>
      </x:c>
      <x:c r="C960" t="str">
        <x:v>coming_soon</x:v>
      </x:c>
      <x:c r="D960" t="str">
        <x:v>present</x:v>
      </x:c>
      <x:c r="E960" t="str">
        <x:v>baseline</x:v>
      </x:c>
      <x:c r="F960" s="11" t="n">
        <x:v>46249.4134212037</x:v>
      </x:c>
      <x:c r="G960" t="str">
        <x:v>Byt</x:v>
      </x:c>
      <x:c r="H960" s="12" t="n">
        <x:v>2</x:v>
      </x:c>
      <x:c r="I960" s="13" t="n">
        <x:v>6</x:v>
      </x:c>
      <x:c r="J960" t="str">
        <x:v>A</x:v>
      </x:c>
      <x:c r="K960" s="14" t="n">
        <x:v>55.86</x:v>
      </x:c>
      <x:c r="L960" s="14"/>
      <x:c r="M960" s="14"/>
      <x:c r="N960" s="14"/>
      <x:c r="O960" s="14"/>
      <x:c r="P960" s="14" t="n">
        <x:v>8.01</x:v>
      </x:c>
      <x:c r="Q960" s="14" t="n">
        <x:v>63.87</x:v>
      </x:c>
      <x:c r="R960" s="15"/>
      <x:c r="S960" s="15"/>
      <x:c r="T960" s="15"/>
      <x:c r="U960" s="16"/>
      <x:c r="V960" t="str">
        <x:v>Tatra Real</x:v>
      </x:c>
      <x:c r="W960" t="str">
        <x:v>Ružinov</x:v>
      </x:c>
      <x:c r="X960" s="11" t="str">
        <x:v>Pripravujeme</x:v>
      </x:c>
      <x:c r="Y960" s="11" t="str">
        <x:v>https://www.galvania.sk/byty/mam-zaujem-o-byt-A6.16/</x:v>
      </x:c>
      <x:c r="Z960" s="11" t="n">
        <x:v>46249.4134212037</x:v>
      </x:c>
      <x:c r="AA960" s="11" t="n">
        <x:v>46254.51251577547</x:v>
      </x:c>
      <x:c r="AB960" s="11" t="n">
        <x:v>46254.51251577547</x:v>
      </x:c>
      <x:c r="AC960" t="str">
        <x:v>galvania_rezidencie</x:v>
      </x:c>
    </x:row>
    <x:row r="961" ht="22" customHeight="1">
      <x:c r="A961" t="str">
        <x:v>Galvania Rezidencie</x:v>
      </x:c>
      <x:c r="B961" t="str">
        <x:v>A7.01</x:v>
      </x:c>
      <x:c r="C961" t="str">
        <x:v>coming_soon</x:v>
      </x:c>
      <x:c r="D961" t="str">
        <x:v>present</x:v>
      </x:c>
      <x:c r="E961" t="str">
        <x:v>baseline</x:v>
      </x:c>
      <x:c r="F961" s="11" t="n">
        <x:v>46249.4134212037</x:v>
      </x:c>
      <x:c r="G961" t="str">
        <x:v>Apartmán</x:v>
      </x:c>
      <x:c r="H961" s="12" t="n">
        <x:v>1</x:v>
      </x:c>
      <x:c r="I961" s="13" t="n">
        <x:v>7</x:v>
      </x:c>
      <x:c r="J961" t="str">
        <x:v>A</x:v>
      </x:c>
      <x:c r="K961" s="14" t="n">
        <x:v>39.62</x:v>
      </x:c>
      <x:c r="L961" s="14"/>
      <x:c r="M961" s="14"/>
      <x:c r="N961" s="14"/>
      <x:c r="O961" s="14"/>
      <x:c r="P961" s="14" t="n">
        <x:v>3.52</x:v>
      </x:c>
      <x:c r="Q961" s="14" t="n">
        <x:v>43.14</x:v>
      </x:c>
      <x:c r="R961" s="15"/>
      <x:c r="S961" s="15"/>
      <x:c r="T961" s="15"/>
      <x:c r="U961" s="16"/>
      <x:c r="V961" t="str">
        <x:v>Tatra Real</x:v>
      </x:c>
      <x:c r="W961" t="str">
        <x:v>Ružinov</x:v>
      </x:c>
      <x:c r="X961" s="11" t="str">
        <x:v>Pripravujeme</x:v>
      </x:c>
      <x:c r="Y961" s="11" t="str">
        <x:v>https://www.galvania.sk/byty/mam-zaujem-o-byt-A7.01/</x:v>
      </x:c>
      <x:c r="Z961" s="11" t="n">
        <x:v>46249.4134212037</x:v>
      </x:c>
      <x:c r="AA961" s="11" t="n">
        <x:v>46254.51251577547</x:v>
      </x:c>
      <x:c r="AB961" s="11" t="n">
        <x:v>46254.51251577547</x:v>
      </x:c>
      <x:c r="AC961" t="str">
        <x:v>galvania_rezidencie</x:v>
      </x:c>
    </x:row>
    <x:row r="962" ht="22" customHeight="1">
      <x:c r="A962" t="str">
        <x:v>Galvania Rezidencie</x:v>
      </x:c>
      <x:c r="B962" t="str">
        <x:v>A7.02</x:v>
      </x:c>
      <x:c r="C962" t="str">
        <x:v>coming_soon</x:v>
      </x:c>
      <x:c r="D962" t="str">
        <x:v>present</x:v>
      </x:c>
      <x:c r="E962" t="str">
        <x:v>baseline</x:v>
      </x:c>
      <x:c r="F962" s="11" t="n">
        <x:v>46249.4134212037</x:v>
      </x:c>
      <x:c r="G962" t="str">
        <x:v>Apartmán</x:v>
      </x:c>
      <x:c r="H962" s="12" t="n">
        <x:v>1</x:v>
      </x:c>
      <x:c r="I962" s="13" t="n">
        <x:v>7</x:v>
      </x:c>
      <x:c r="J962" t="str">
        <x:v>A</x:v>
      </x:c>
      <x:c r="K962" s="14" t="n">
        <x:v>34.17</x:v>
      </x:c>
      <x:c r="L962" s="14"/>
      <x:c r="M962" s="14"/>
      <x:c r="N962" s="14"/>
      <x:c r="O962" s="14"/>
      <x:c r="P962" s="14" t="n">
        <x:v>3.52</x:v>
      </x:c>
      <x:c r="Q962" s="14" t="n">
        <x:v>37.69</x:v>
      </x:c>
      <x:c r="R962" s="15"/>
      <x:c r="S962" s="15"/>
      <x:c r="T962" s="15"/>
      <x:c r="U962" s="16"/>
      <x:c r="V962" t="str">
        <x:v>Tatra Real</x:v>
      </x:c>
      <x:c r="W962" t="str">
        <x:v>Ružinov</x:v>
      </x:c>
      <x:c r="X962" s="11" t="str">
        <x:v>Pripravujeme</x:v>
      </x:c>
      <x:c r="Y962" s="11" t="str">
        <x:v>https://www.galvania.sk/byty/mam-zaujem-o-byt-A7.02/</x:v>
      </x:c>
      <x:c r="Z962" s="11" t="n">
        <x:v>46249.4134212037</x:v>
      </x:c>
      <x:c r="AA962" s="11" t="n">
        <x:v>46254.51251577547</x:v>
      </x:c>
      <x:c r="AB962" s="11" t="n">
        <x:v>46254.51251577547</x:v>
      </x:c>
      <x:c r="AC962" t="str">
        <x:v>galvania_rezidencie</x:v>
      </x:c>
    </x:row>
    <x:row r="963" ht="22" customHeight="1">
      <x:c r="A963" t="str">
        <x:v>Galvania Rezidencie</x:v>
      </x:c>
      <x:c r="B963" t="str">
        <x:v>A7.03</x:v>
      </x:c>
      <x:c r="C963" t="str">
        <x:v>coming_soon</x:v>
      </x:c>
      <x:c r="D963" t="str">
        <x:v>present</x:v>
      </x:c>
      <x:c r="E963" t="str">
        <x:v>baseline</x:v>
      </x:c>
      <x:c r="F963" s="11" t="n">
        <x:v>46249.4134212037</x:v>
      </x:c>
      <x:c r="G963" t="str">
        <x:v>Apartmán</x:v>
      </x:c>
      <x:c r="H963" s="12" t="n">
        <x:v>1</x:v>
      </x:c>
      <x:c r="I963" s="13" t="n">
        <x:v>7</x:v>
      </x:c>
      <x:c r="J963" t="str">
        <x:v>A</x:v>
      </x:c>
      <x:c r="K963" s="14" t="n">
        <x:v>34.54</x:v>
      </x:c>
      <x:c r="L963" s="14"/>
      <x:c r="M963" s="14"/>
      <x:c r="N963" s="14"/>
      <x:c r="O963" s="14"/>
      <x:c r="P963" s="14" t="n">
        <x:v>3.52</x:v>
      </x:c>
      <x:c r="Q963" s="14" t="n">
        <x:v>38.06</x:v>
      </x:c>
      <x:c r="R963" s="15"/>
      <x:c r="S963" s="15"/>
      <x:c r="T963" s="15"/>
      <x:c r="U963" s="16"/>
      <x:c r="V963" t="str">
        <x:v>Tatra Real</x:v>
      </x:c>
      <x:c r="W963" t="str">
        <x:v>Ružinov</x:v>
      </x:c>
      <x:c r="X963" s="11" t="str">
        <x:v>Pripravujeme</x:v>
      </x:c>
      <x:c r="Y963" s="11" t="str">
        <x:v>https://www.galvania.sk/byty/mam-zaujem-o-byt-A7.03/</x:v>
      </x:c>
      <x:c r="Z963" s="11" t="n">
        <x:v>46249.4134212037</x:v>
      </x:c>
      <x:c r="AA963" s="11" t="n">
        <x:v>46254.51251577547</x:v>
      </x:c>
      <x:c r="AB963" s="11" t="n">
        <x:v>46254.51251577547</x:v>
      </x:c>
      <x:c r="AC963" t="str">
        <x:v>galvania_rezidencie</x:v>
      </x:c>
    </x:row>
    <x:row r="964" ht="22" customHeight="1">
      <x:c r="A964" t="str">
        <x:v>Galvania Rezidencie</x:v>
      </x:c>
      <x:c r="B964" t="str">
        <x:v>A7.04</x:v>
      </x:c>
      <x:c r="C964" t="str">
        <x:v>coming_soon</x:v>
      </x:c>
      <x:c r="D964" t="str">
        <x:v>present</x:v>
      </x:c>
      <x:c r="E964" t="str">
        <x:v>baseline</x:v>
      </x:c>
      <x:c r="F964" s="11" t="n">
        <x:v>46249.4134212037</x:v>
      </x:c>
      <x:c r="G964" t="str">
        <x:v>Apartmán</x:v>
      </x:c>
      <x:c r="H964" s="12" t="n">
        <x:v>2</x:v>
      </x:c>
      <x:c r="I964" s="13" t="n">
        <x:v>7</x:v>
      </x:c>
      <x:c r="J964" t="str">
        <x:v>A</x:v>
      </x:c>
      <x:c r="K964" s="14" t="n">
        <x:v>41.12</x:v>
      </x:c>
      <x:c r="L964" s="14"/>
      <x:c r="M964" s="14"/>
      <x:c r="N964" s="14"/>
      <x:c r="O964" s="14"/>
      <x:c r="P964" s="14" t="n">
        <x:v>4.72</x:v>
      </x:c>
      <x:c r="Q964" s="14" t="n">
        <x:v>45.84</x:v>
      </x:c>
      <x:c r="R964" s="15"/>
      <x:c r="S964" s="15"/>
      <x:c r="T964" s="15"/>
      <x:c r="U964" s="16"/>
      <x:c r="V964" t="str">
        <x:v>Tatra Real</x:v>
      </x:c>
      <x:c r="W964" t="str">
        <x:v>Ružinov</x:v>
      </x:c>
      <x:c r="X964" s="11" t="str">
        <x:v>Pripravujeme</x:v>
      </x:c>
      <x:c r="Y964" s="11" t="str">
        <x:v>https://www.galvania.sk/byty/mam-zaujem-o-byt-A7.04/</x:v>
      </x:c>
      <x:c r="Z964" s="11" t="n">
        <x:v>46249.4134212037</x:v>
      </x:c>
      <x:c r="AA964" s="11" t="n">
        <x:v>46254.51251577547</x:v>
      </x:c>
      <x:c r="AB964" s="11" t="n">
        <x:v>46254.51251577547</x:v>
      </x:c>
      <x:c r="AC964" t="str">
        <x:v>galvania_rezidencie</x:v>
      </x:c>
    </x:row>
    <x:row r="965" ht="22" customHeight="1">
      <x:c r="A965" t="str">
        <x:v>Galvania Rezidencie</x:v>
      </x:c>
      <x:c r="B965" t="str">
        <x:v>A7.05</x:v>
      </x:c>
      <x:c r="C965" t="str">
        <x:v>coming_soon</x:v>
      </x:c>
      <x:c r="D965" t="str">
        <x:v>present</x:v>
      </x:c>
      <x:c r="E965" t="str">
        <x:v>baseline</x:v>
      </x:c>
      <x:c r="F965" s="11" t="n">
        <x:v>46249.4134212037</x:v>
      </x:c>
      <x:c r="G965" t="str">
        <x:v>Apartmán</x:v>
      </x:c>
      <x:c r="H965" s="12" t="n">
        <x:v>2</x:v>
      </x:c>
      <x:c r="I965" s="13" t="n">
        <x:v>7</x:v>
      </x:c>
      <x:c r="J965" t="str">
        <x:v>A</x:v>
      </x:c>
      <x:c r="K965" s="14" t="n">
        <x:v>41.27</x:v>
      </x:c>
      <x:c r="L965" s="14"/>
      <x:c r="M965" s="14"/>
      <x:c r="N965" s="14"/>
      <x:c r="O965" s="14"/>
      <x:c r="P965" s="14" t="n">
        <x:v>5.38</x:v>
      </x:c>
      <x:c r="Q965" s="14" t="n">
        <x:v>46.65</x:v>
      </x:c>
      <x:c r="R965" s="15"/>
      <x:c r="S965" s="15"/>
      <x:c r="T965" s="15"/>
      <x:c r="U965" s="16"/>
      <x:c r="V965" t="str">
        <x:v>Tatra Real</x:v>
      </x:c>
      <x:c r="W965" t="str">
        <x:v>Ružinov</x:v>
      </x:c>
      <x:c r="X965" s="11" t="str">
        <x:v>Pripravujeme</x:v>
      </x:c>
      <x:c r="Y965" s="11" t="str">
        <x:v>https://www.galvania.sk/byty/mam-zaujem-o-byt-A7.05/</x:v>
      </x:c>
      <x:c r="Z965" s="11" t="n">
        <x:v>46249.4134212037</x:v>
      </x:c>
      <x:c r="AA965" s="11" t="n">
        <x:v>46254.51251577547</x:v>
      </x:c>
      <x:c r="AB965" s="11" t="n">
        <x:v>46254.51251577547</x:v>
      </x:c>
      <x:c r="AC965" t="str">
        <x:v>galvania_rezidencie</x:v>
      </x:c>
    </x:row>
    <x:row r="966" ht="22" customHeight="1">
      <x:c r="A966" t="str">
        <x:v>Galvania Rezidencie</x:v>
      </x:c>
      <x:c r="B966" t="str">
        <x:v>A7.06</x:v>
      </x:c>
      <x:c r="C966" t="str">
        <x:v>coming_soon</x:v>
      </x:c>
      <x:c r="D966" t="str">
        <x:v>present</x:v>
      </x:c>
      <x:c r="E966" t="str">
        <x:v>baseline</x:v>
      </x:c>
      <x:c r="F966" s="11" t="n">
        <x:v>46249.4134212037</x:v>
      </x:c>
      <x:c r="G966" t="str">
        <x:v>Apartmán</x:v>
      </x:c>
      <x:c r="H966" s="12" t="n">
        <x:v>2</x:v>
      </x:c>
      <x:c r="I966" s="13" t="n">
        <x:v>7</x:v>
      </x:c>
      <x:c r="J966" t="str">
        <x:v>A</x:v>
      </x:c>
      <x:c r="K966" s="14" t="n">
        <x:v>41.22</x:v>
      </x:c>
      <x:c r="L966" s="14"/>
      <x:c r="M966" s="14"/>
      <x:c r="N966" s="14"/>
      <x:c r="O966" s="14"/>
      <x:c r="P966" s="14" t="n">
        <x:v>5.27</x:v>
      </x:c>
      <x:c r="Q966" s="14" t="n">
        <x:v>46.49</x:v>
      </x:c>
      <x:c r="R966" s="15"/>
      <x:c r="S966" s="15"/>
      <x:c r="T966" s="15"/>
      <x:c r="U966" s="16"/>
      <x:c r="V966" t="str">
        <x:v>Tatra Real</x:v>
      </x:c>
      <x:c r="W966" t="str">
        <x:v>Ružinov</x:v>
      </x:c>
      <x:c r="X966" s="11" t="str">
        <x:v>Pripravujeme</x:v>
      </x:c>
      <x:c r="Y966" s="11" t="str">
        <x:v>https://www.galvania.sk/byty/mam-zaujem-o-byt-A7.06/</x:v>
      </x:c>
      <x:c r="Z966" s="11" t="n">
        <x:v>46249.4134212037</x:v>
      </x:c>
      <x:c r="AA966" s="11" t="n">
        <x:v>46254.51251577547</x:v>
      </x:c>
      <x:c r="AB966" s="11" t="n">
        <x:v>46254.51251577547</x:v>
      </x:c>
      <x:c r="AC966" t="str">
        <x:v>galvania_rezidencie</x:v>
      </x:c>
    </x:row>
    <x:row r="967" ht="22" customHeight="1">
      <x:c r="A967" t="str">
        <x:v>Galvania Rezidencie</x:v>
      </x:c>
      <x:c r="B967" t="str">
        <x:v>A7.07</x:v>
      </x:c>
      <x:c r="C967" t="str">
        <x:v>coming_soon</x:v>
      </x:c>
      <x:c r="D967" t="str">
        <x:v>present</x:v>
      </x:c>
      <x:c r="E967" t="str">
        <x:v>baseline</x:v>
      </x:c>
      <x:c r="F967" s="11" t="n">
        <x:v>46249.4134212037</x:v>
      </x:c>
      <x:c r="G967" t="str">
        <x:v>Apartmán</x:v>
      </x:c>
      <x:c r="H967" s="12" t="n">
        <x:v>2</x:v>
      </x:c>
      <x:c r="I967" s="13" t="n">
        <x:v>7</x:v>
      </x:c>
      <x:c r="J967" t="str">
        <x:v>A</x:v>
      </x:c>
      <x:c r="K967" s="14" t="n">
        <x:v>41.18</x:v>
      </x:c>
      <x:c r="L967" s="14"/>
      <x:c r="M967" s="14"/>
      <x:c r="N967" s="14"/>
      <x:c r="O967" s="14"/>
      <x:c r="P967" s="14" t="n">
        <x:v>5.4</x:v>
      </x:c>
      <x:c r="Q967" s="14" t="n">
        <x:v>46.58</x:v>
      </x:c>
      <x:c r="R967" s="15"/>
      <x:c r="S967" s="15"/>
      <x:c r="T967" s="15"/>
      <x:c r="U967" s="16"/>
      <x:c r="V967" t="str">
        <x:v>Tatra Real</x:v>
      </x:c>
      <x:c r="W967" t="str">
        <x:v>Ružinov</x:v>
      </x:c>
      <x:c r="X967" s="11" t="str">
        <x:v>Pripravujeme</x:v>
      </x:c>
      <x:c r="Y967" s="11" t="str">
        <x:v>https://www.galvania.sk/byty/mam-zaujem-o-byt-A7.07/</x:v>
      </x:c>
      <x:c r="Z967" s="11" t="n">
        <x:v>46249.4134212037</x:v>
      </x:c>
      <x:c r="AA967" s="11" t="n">
        <x:v>46254.51251577547</x:v>
      </x:c>
      <x:c r="AB967" s="11" t="n">
        <x:v>46254.51251577547</x:v>
      </x:c>
      <x:c r="AC967" t="str">
        <x:v>galvania_rezidencie</x:v>
      </x:c>
    </x:row>
    <x:row r="968" ht="22" customHeight="1">
      <x:c r="A968" t="str">
        <x:v>Galvania Rezidencie</x:v>
      </x:c>
      <x:c r="B968" t="str">
        <x:v>A7.08</x:v>
      </x:c>
      <x:c r="C968" t="str">
        <x:v>coming_soon</x:v>
      </x:c>
      <x:c r="D968" t="str">
        <x:v>present</x:v>
      </x:c>
      <x:c r="E968" t="str">
        <x:v>baseline</x:v>
      </x:c>
      <x:c r="F968" s="11" t="n">
        <x:v>46249.4134212037</x:v>
      </x:c>
      <x:c r="G968" t="str">
        <x:v>Apartmán</x:v>
      </x:c>
      <x:c r="H968" s="12" t="n">
        <x:v>2</x:v>
      </x:c>
      <x:c r="I968" s="13" t="n">
        <x:v>7</x:v>
      </x:c>
      <x:c r="J968" t="str">
        <x:v>A</x:v>
      </x:c>
      <x:c r="K968" s="14" t="n">
        <x:v>41.22</x:v>
      </x:c>
      <x:c r="L968" s="14"/>
      <x:c r="M968" s="14"/>
      <x:c r="N968" s="14"/>
      <x:c r="O968" s="14"/>
      <x:c r="P968" s="14" t="n">
        <x:v>5.27</x:v>
      </x:c>
      <x:c r="Q968" s="14" t="n">
        <x:v>46.49</x:v>
      </x:c>
      <x:c r="R968" s="15"/>
      <x:c r="S968" s="15"/>
      <x:c r="T968" s="15"/>
      <x:c r="U968" s="16"/>
      <x:c r="V968" t="str">
        <x:v>Tatra Real</x:v>
      </x:c>
      <x:c r="W968" t="str">
        <x:v>Ružinov</x:v>
      </x:c>
      <x:c r="X968" s="11" t="str">
        <x:v>Pripravujeme</x:v>
      </x:c>
      <x:c r="Y968" s="11" t="str">
        <x:v>https://www.galvania.sk/byty/mam-zaujem-o-byt-A7.08/</x:v>
      </x:c>
      <x:c r="Z968" s="11" t="n">
        <x:v>46249.4134212037</x:v>
      </x:c>
      <x:c r="AA968" s="11" t="n">
        <x:v>46254.51251577547</x:v>
      </x:c>
      <x:c r="AB968" s="11" t="n">
        <x:v>46254.51251577547</x:v>
      </x:c>
      <x:c r="AC968" t="str">
        <x:v>galvania_rezidencie</x:v>
      </x:c>
    </x:row>
    <x:row r="969" ht="22" customHeight="1">
      <x:c r="A969" t="str">
        <x:v>Galvania Rezidencie</x:v>
      </x:c>
      <x:c r="B969" t="str">
        <x:v>A7.09</x:v>
      </x:c>
      <x:c r="C969" t="str">
        <x:v>coming_soon</x:v>
      </x:c>
      <x:c r="D969" t="str">
        <x:v>present</x:v>
      </x:c>
      <x:c r="E969" t="str">
        <x:v>baseline</x:v>
      </x:c>
      <x:c r="F969" s="11" t="n">
        <x:v>46249.4134212037</x:v>
      </x:c>
      <x:c r="G969" t="str">
        <x:v>Apartmán</x:v>
      </x:c>
      <x:c r="H969" s="12" t="n">
        <x:v>2</x:v>
      </x:c>
      <x:c r="I969" s="13" t="n">
        <x:v>7</x:v>
      </x:c>
      <x:c r="J969" t="str">
        <x:v>A</x:v>
      </x:c>
      <x:c r="K969" s="14" t="n">
        <x:v>41.18</x:v>
      </x:c>
      <x:c r="L969" s="14"/>
      <x:c r="M969" s="14"/>
      <x:c r="N969" s="14"/>
      <x:c r="O969" s="14"/>
      <x:c r="P969" s="14" t="n">
        <x:v>5.42</x:v>
      </x:c>
      <x:c r="Q969" s="14" t="n">
        <x:v>46.6</x:v>
      </x:c>
      <x:c r="R969" s="15"/>
      <x:c r="S969" s="15"/>
      <x:c r="T969" s="15"/>
      <x:c r="U969" s="16"/>
      <x:c r="V969" t="str">
        <x:v>Tatra Real</x:v>
      </x:c>
      <x:c r="W969" t="str">
        <x:v>Ružinov</x:v>
      </x:c>
      <x:c r="X969" s="11" t="str">
        <x:v>Pripravujeme</x:v>
      </x:c>
      <x:c r="Y969" s="11" t="str">
        <x:v>https://www.galvania.sk/byty/mam-zaujem-o-byt-A7.09/</x:v>
      </x:c>
      <x:c r="Z969" s="11" t="n">
        <x:v>46249.4134212037</x:v>
      </x:c>
      <x:c r="AA969" s="11" t="n">
        <x:v>46254.51251577547</x:v>
      </x:c>
      <x:c r="AB969" s="11" t="n">
        <x:v>46254.51251577547</x:v>
      </x:c>
      <x:c r="AC969" t="str">
        <x:v>galvania_rezidencie</x:v>
      </x:c>
    </x:row>
    <x:row r="970" ht="22" customHeight="1">
      <x:c r="A970" t="str">
        <x:v>Galvania Rezidencie</x:v>
      </x:c>
      <x:c r="B970" t="str">
        <x:v>A7.10</x:v>
      </x:c>
      <x:c r="C970" t="str">
        <x:v>coming_soon</x:v>
      </x:c>
      <x:c r="D970" t="str">
        <x:v>present</x:v>
      </x:c>
      <x:c r="E970" t="str">
        <x:v>baseline</x:v>
      </x:c>
      <x:c r="F970" s="11" t="n">
        <x:v>46249.4134212037</x:v>
      </x:c>
      <x:c r="G970" t="str">
        <x:v>Apartmán</x:v>
      </x:c>
      <x:c r="H970" s="12" t="n">
        <x:v>2</x:v>
      </x:c>
      <x:c r="I970" s="13" t="n">
        <x:v>7</x:v>
      </x:c>
      <x:c r="J970" t="str">
        <x:v>A</x:v>
      </x:c>
      <x:c r="K970" s="14" t="n">
        <x:v>41.27</x:v>
      </x:c>
      <x:c r="L970" s="14"/>
      <x:c r="M970" s="14"/>
      <x:c r="N970" s="14"/>
      <x:c r="O970" s="14"/>
      <x:c r="P970" s="14" t="n">
        <x:v>5.25</x:v>
      </x:c>
      <x:c r="Q970" s="14" t="n">
        <x:v>46.52</x:v>
      </x:c>
      <x:c r="R970" s="15"/>
      <x:c r="S970" s="15"/>
      <x:c r="T970" s="15"/>
      <x:c r="U970" s="16"/>
      <x:c r="V970" t="str">
        <x:v>Tatra Real</x:v>
      </x:c>
      <x:c r="W970" t="str">
        <x:v>Ružinov</x:v>
      </x:c>
      <x:c r="X970" s="11" t="str">
        <x:v>Pripravujeme</x:v>
      </x:c>
      <x:c r="Y970" s="11" t="str">
        <x:v>https://www.galvania.sk/byty/mam-zaujem-o-byt-A7.10/</x:v>
      </x:c>
      <x:c r="Z970" s="11" t="n">
        <x:v>46249.4134212037</x:v>
      </x:c>
      <x:c r="AA970" s="11" t="n">
        <x:v>46254.51251577547</x:v>
      </x:c>
      <x:c r="AB970" s="11" t="n">
        <x:v>46254.51251577547</x:v>
      </x:c>
      <x:c r="AC970" t="str">
        <x:v>galvania_rezidencie</x:v>
      </x:c>
    </x:row>
    <x:row r="971" ht="22" customHeight="1">
      <x:c r="A971" t="str">
        <x:v>Galvania Rezidencie</x:v>
      </x:c>
      <x:c r="B971" t="str">
        <x:v>A7.11</x:v>
      </x:c>
      <x:c r="C971" t="str">
        <x:v>coming_soon</x:v>
      </x:c>
      <x:c r="D971" t="str">
        <x:v>present</x:v>
      </x:c>
      <x:c r="E971" t="str">
        <x:v>baseline</x:v>
      </x:c>
      <x:c r="F971" s="11" t="n">
        <x:v>46249.4134212037</x:v>
      </x:c>
      <x:c r="G971" t="str">
        <x:v>Apartmán</x:v>
      </x:c>
      <x:c r="H971" s="12" t="n">
        <x:v>2</x:v>
      </x:c>
      <x:c r="I971" s="13" t="n">
        <x:v>7</x:v>
      </x:c>
      <x:c r="J971" t="str">
        <x:v>A</x:v>
      </x:c>
      <x:c r="K971" s="14" t="n">
        <x:v>41.24</x:v>
      </x:c>
      <x:c r="L971" s="14"/>
      <x:c r="M971" s="14"/>
      <x:c r="N971" s="14"/>
      <x:c r="O971" s="14"/>
      <x:c r="P971" s="14" t="n">
        <x:v>5.44</x:v>
      </x:c>
      <x:c r="Q971" s="14" t="n">
        <x:v>46.68</x:v>
      </x:c>
      <x:c r="R971" s="15"/>
      <x:c r="S971" s="15"/>
      <x:c r="T971" s="15"/>
      <x:c r="U971" s="16"/>
      <x:c r="V971" t="str">
        <x:v>Tatra Real</x:v>
      </x:c>
      <x:c r="W971" t="str">
        <x:v>Ružinov</x:v>
      </x:c>
      <x:c r="X971" s="11" t="str">
        <x:v>Pripravujeme</x:v>
      </x:c>
      <x:c r="Y971" s="11" t="str">
        <x:v>https://www.galvania.sk/byty/mam-zaujem-o-byt-A7.11/</x:v>
      </x:c>
      <x:c r="Z971" s="11" t="n">
        <x:v>46249.4134212037</x:v>
      </x:c>
      <x:c r="AA971" s="11" t="n">
        <x:v>46254.51251577547</x:v>
      </x:c>
      <x:c r="AB971" s="11" t="n">
        <x:v>46254.51251577547</x:v>
      </x:c>
      <x:c r="AC971" t="str">
        <x:v>galvania_rezidencie</x:v>
      </x:c>
    </x:row>
    <x:row r="972" ht="22" customHeight="1">
      <x:c r="A972" t="str">
        <x:v>Galvania Rezidencie</x:v>
      </x:c>
      <x:c r="B972" t="str">
        <x:v>A7.12</x:v>
      </x:c>
      <x:c r="C972" t="str">
        <x:v>coming_soon</x:v>
      </x:c>
      <x:c r="D972" t="str">
        <x:v>present</x:v>
      </x:c>
      <x:c r="E972" t="str">
        <x:v>baseline</x:v>
      </x:c>
      <x:c r="F972" s="11" t="n">
        <x:v>46249.4134212037</x:v>
      </x:c>
      <x:c r="G972" t="str">
        <x:v>Apartmán</x:v>
      </x:c>
      <x:c r="H972" s="12" t="n">
        <x:v>2</x:v>
      </x:c>
      <x:c r="I972" s="13" t="n">
        <x:v>7</x:v>
      </x:c>
      <x:c r="J972" t="str">
        <x:v>A</x:v>
      </x:c>
      <x:c r="K972" s="14" t="n">
        <x:v>41.22</x:v>
      </x:c>
      <x:c r="L972" s="14"/>
      <x:c r="M972" s="14"/>
      <x:c r="N972" s="14"/>
      <x:c r="O972" s="14"/>
      <x:c r="P972" s="14" t="n">
        <x:v>5.23</x:v>
      </x:c>
      <x:c r="Q972" s="14" t="n">
        <x:v>46.45</x:v>
      </x:c>
      <x:c r="R972" s="15"/>
      <x:c r="S972" s="15"/>
      <x:c r="T972" s="15"/>
      <x:c r="U972" s="16"/>
      <x:c r="V972" t="str">
        <x:v>Tatra Real</x:v>
      </x:c>
      <x:c r="W972" t="str">
        <x:v>Ružinov</x:v>
      </x:c>
      <x:c r="X972" s="11" t="str">
        <x:v>Pripravujeme</x:v>
      </x:c>
      <x:c r="Y972" s="11" t="str">
        <x:v>https://www.galvania.sk/byty/mam-zaujem-o-byt-A7.12/</x:v>
      </x:c>
      <x:c r="Z972" s="11" t="n">
        <x:v>46249.4134212037</x:v>
      </x:c>
      <x:c r="AA972" s="11" t="n">
        <x:v>46254.51251577547</x:v>
      </x:c>
      <x:c r="AB972" s="11" t="n">
        <x:v>46254.51251577547</x:v>
      </x:c>
      <x:c r="AC972" t="str">
        <x:v>galvania_rezidencie</x:v>
      </x:c>
    </x:row>
    <x:row r="973" ht="22" customHeight="1">
      <x:c r="A973" t="str">
        <x:v>Galvania Rezidencie</x:v>
      </x:c>
      <x:c r="B973" t="str">
        <x:v>A7.13</x:v>
      </x:c>
      <x:c r="C973" t="str">
        <x:v>coming_soon</x:v>
      </x:c>
      <x:c r="D973" t="str">
        <x:v>present</x:v>
      </x:c>
      <x:c r="E973" t="str">
        <x:v>baseline</x:v>
      </x:c>
      <x:c r="F973" s="11" t="n">
        <x:v>46249.4134212037</x:v>
      </x:c>
      <x:c r="G973" t="str">
        <x:v>Nebytový priestor s prechodným ubytovaním</x:v>
      </x:c>
      <x:c r="H973" s="12" t="n">
        <x:v>3</x:v>
      </x:c>
      <x:c r="I973" s="13" t="n">
        <x:v>7</x:v>
      </x:c>
      <x:c r="J973" t="str">
        <x:v>A</x:v>
      </x:c>
      <x:c r="K973" s="14" t="n">
        <x:v>47.82</x:v>
      </x:c>
      <x:c r="L973" s="14"/>
      <x:c r="M973" s="14"/>
      <x:c r="N973" s="14"/>
      <x:c r="O973" s="14"/>
      <x:c r="P973" s="14" t="n">
        <x:v>7.92</x:v>
      </x:c>
      <x:c r="Q973" s="14" t="n">
        <x:v>55.74</x:v>
      </x:c>
      <x:c r="R973" s="15"/>
      <x:c r="S973" s="15"/>
      <x:c r="T973" s="15"/>
      <x:c r="U973" s="16"/>
      <x:c r="V973" t="str">
        <x:v>Tatra Real</x:v>
      </x:c>
      <x:c r="W973" t="str">
        <x:v>Ružinov</x:v>
      </x:c>
      <x:c r="X973" s="11" t="str">
        <x:v>Pripravujeme</x:v>
      </x:c>
      <x:c r="Y973" s="11" t="str">
        <x:v>https://www.galvania.sk/byty/mam-zaujem-o-byt-A7.13/</x:v>
      </x:c>
      <x:c r="Z973" s="11" t="n">
        <x:v>46249.4134212037</x:v>
      </x:c>
      <x:c r="AA973" s="11" t="n">
        <x:v>46254.51251577547</x:v>
      </x:c>
      <x:c r="AB973" s="11" t="n">
        <x:v>46254.51251577547</x:v>
      </x:c>
      <x:c r="AC973" t="str">
        <x:v>galvania_rezidencie</x:v>
      </x:c>
    </x:row>
    <x:row r="974" ht="22" customHeight="1">
      <x:c r="A974" t="str">
        <x:v>Galvania Rezidencie</x:v>
      </x:c>
      <x:c r="B974" t="str">
        <x:v>A7.14</x:v>
      </x:c>
      <x:c r="C974" t="str">
        <x:v>coming_soon</x:v>
      </x:c>
      <x:c r="D974" t="str">
        <x:v>present</x:v>
      </x:c>
      <x:c r="E974" t="str">
        <x:v>baseline</x:v>
      </x:c>
      <x:c r="F974" s="11" t="n">
        <x:v>46249.4134212037</x:v>
      </x:c>
      <x:c r="G974" t="str">
        <x:v>Apartmán</x:v>
      </x:c>
      <x:c r="H974" s="12" t="n">
        <x:v>3</x:v>
      </x:c>
      <x:c r="I974" s="13" t="n">
        <x:v>7</x:v>
      </x:c>
      <x:c r="J974" t="str">
        <x:v>A</x:v>
      </x:c>
      <x:c r="K974" s="14" t="n">
        <x:v>54.77</x:v>
      </x:c>
      <x:c r="L974" s="14"/>
      <x:c r="M974" s="14"/>
      <x:c r="N974" s="14"/>
      <x:c r="O974" s="14"/>
      <x:c r="P974" s="14" t="n">
        <x:v>8.25</x:v>
      </x:c>
      <x:c r="Q974" s="14" t="n">
        <x:v>63.02</x:v>
      </x:c>
      <x:c r="R974" s="15"/>
      <x:c r="S974" s="15"/>
      <x:c r="T974" s="15"/>
      <x:c r="U974" s="16"/>
      <x:c r="V974" t="str">
        <x:v>Tatra Real</x:v>
      </x:c>
      <x:c r="W974" t="str">
        <x:v>Ružinov</x:v>
      </x:c>
      <x:c r="X974" s="11" t="str">
        <x:v>Pripravujeme</x:v>
      </x:c>
      <x:c r="Y974" s="11" t="str">
        <x:v>https://www.galvania.sk/byty/mam-zaujem-o-byt-A7.14/</x:v>
      </x:c>
      <x:c r="Z974" s="11" t="n">
        <x:v>46249.4134212037</x:v>
      </x:c>
      <x:c r="AA974" s="11" t="n">
        <x:v>46254.51251577547</x:v>
      </x:c>
      <x:c r="AB974" s="11" t="n">
        <x:v>46254.51251577547</x:v>
      </x:c>
      <x:c r="AC974" t="str">
        <x:v>galvania_rezidencie</x:v>
      </x:c>
    </x:row>
    <x:row r="975" ht="22" customHeight="1">
      <x:c r="A975" t="str">
        <x:v>Galvania Rezidencie</x:v>
      </x:c>
      <x:c r="B975" t="str">
        <x:v>A7.15</x:v>
      </x:c>
      <x:c r="C975" t="str">
        <x:v>coming_soon</x:v>
      </x:c>
      <x:c r="D975" t="str">
        <x:v>present</x:v>
      </x:c>
      <x:c r="E975" t="str">
        <x:v>baseline</x:v>
      </x:c>
      <x:c r="F975" s="11" t="n">
        <x:v>46249.4134212037</x:v>
      </x:c>
      <x:c r="G975" t="str">
        <x:v>Apartmán</x:v>
      </x:c>
      <x:c r="H975" s="12" t="n">
        <x:v>2</x:v>
      </x:c>
      <x:c r="I975" s="13" t="n">
        <x:v>7</x:v>
      </x:c>
      <x:c r="J975" t="str">
        <x:v>A</x:v>
      </x:c>
      <x:c r="K975" s="14" t="n">
        <x:v>41.25</x:v>
      </x:c>
      <x:c r="L975" s="14"/>
      <x:c r="M975" s="14"/>
      <x:c r="N975" s="14"/>
      <x:c r="O975" s="14"/>
      <x:c r="P975" s="14" t="n">
        <x:v>5.48</x:v>
      </x:c>
      <x:c r="Q975" s="14" t="n">
        <x:v>46.73</x:v>
      </x:c>
      <x:c r="R975" s="15"/>
      <x:c r="S975" s="15"/>
      <x:c r="T975" s="15"/>
      <x:c r="U975" s="16"/>
      <x:c r="V975" t="str">
        <x:v>Tatra Real</x:v>
      </x:c>
      <x:c r="W975" t="str">
        <x:v>Ružinov</x:v>
      </x:c>
      <x:c r="X975" s="11" t="str">
        <x:v>Pripravujeme</x:v>
      </x:c>
      <x:c r="Y975" s="11" t="str">
        <x:v>https://www.galvania.sk/byty/mam-zaujem-o-byt-A7.15/</x:v>
      </x:c>
      <x:c r="Z975" s="11" t="n">
        <x:v>46249.4134212037</x:v>
      </x:c>
      <x:c r="AA975" s="11" t="n">
        <x:v>46254.51251577547</x:v>
      </x:c>
      <x:c r="AB975" s="11" t="n">
        <x:v>46254.51251577547</x:v>
      </x:c>
      <x:c r="AC975" t="str">
        <x:v>galvania_rezidencie</x:v>
      </x:c>
    </x:row>
    <x:row r="976" ht="22" customHeight="1">
      <x:c r="A976" t="str">
        <x:v>Galvania Rezidencie</x:v>
      </x:c>
      <x:c r="B976" t="str">
        <x:v>A7.16</x:v>
      </x:c>
      <x:c r="C976" t="str">
        <x:v>coming_soon</x:v>
      </x:c>
      <x:c r="D976" t="str">
        <x:v>present</x:v>
      </x:c>
      <x:c r="E976" t="str">
        <x:v>baseline</x:v>
      </x:c>
      <x:c r="F976" s="11" t="n">
        <x:v>46249.4134212037</x:v>
      </x:c>
      <x:c r="G976" t="str">
        <x:v>Byt</x:v>
      </x:c>
      <x:c r="H976" s="12" t="n">
        <x:v>2</x:v>
      </x:c>
      <x:c r="I976" s="13" t="n">
        <x:v>7</x:v>
      </x:c>
      <x:c r="J976" t="str">
        <x:v>A</x:v>
      </x:c>
      <x:c r="K976" s="14" t="n">
        <x:v>55.86</x:v>
      </x:c>
      <x:c r="L976" s="14"/>
      <x:c r="M976" s="14"/>
      <x:c r="N976" s="14"/>
      <x:c r="O976" s="14"/>
      <x:c r="P976" s="14" t="n">
        <x:v>8.01</x:v>
      </x:c>
      <x:c r="Q976" s="14" t="n">
        <x:v>63.87</x:v>
      </x:c>
      <x:c r="R976" s="15"/>
      <x:c r="S976" s="15"/>
      <x:c r="T976" s="15"/>
      <x:c r="U976" s="16"/>
      <x:c r="V976" t="str">
        <x:v>Tatra Real</x:v>
      </x:c>
      <x:c r="W976" t="str">
        <x:v>Ružinov</x:v>
      </x:c>
      <x:c r="X976" s="11" t="str">
        <x:v>Pripravujeme</x:v>
      </x:c>
      <x:c r="Y976" s="11" t="str">
        <x:v>https://www.galvania.sk/byty/mam-zaujem-o-byt-A7.16/</x:v>
      </x:c>
      <x:c r="Z976" s="11" t="n">
        <x:v>46249.4134212037</x:v>
      </x:c>
      <x:c r="AA976" s="11" t="n">
        <x:v>46254.51251577547</x:v>
      </x:c>
      <x:c r="AB976" s="11" t="n">
        <x:v>46254.51251577547</x:v>
      </x:c>
      <x:c r="AC976" t="str">
        <x:v>galvania_rezidencie</x:v>
      </x:c>
    </x:row>
    <x:row r="977" ht="22" customHeight="1">
      <x:c r="A977" t="str">
        <x:v>Galvania Rezidencie</x:v>
      </x:c>
      <x:c r="B977" t="str">
        <x:v>A8.01</x:v>
      </x:c>
      <x:c r="C977" t="str">
        <x:v>sold</x:v>
      </x:c>
      <x:c r="D977" t="str">
        <x:v>present</x:v>
      </x:c>
      <x:c r="E977" t="str">
        <x:v>baseline</x:v>
      </x:c>
      <x:c r="F977" s="11" t="n">
        <x:v>46249.4134212037</x:v>
      </x:c>
      <x:c r="G977" t="str">
        <x:v>Byt</x:v>
      </x:c>
      <x:c r="H977" s="12" t="n">
        <x:v>3</x:v>
      </x:c>
      <x:c r="I977" s="13" t="n">
        <x:v>8</x:v>
      </x:c>
      <x:c r="J977" t="str">
        <x:v>A</x:v>
      </x:c>
      <x:c r="K977" s="14" t="n">
        <x:v>80.88</x:v>
      </x:c>
      <x:c r="L977" s="14"/>
      <x:c r="M977" s="14"/>
      <x:c r="N977" s="14"/>
      <x:c r="O977" s="14"/>
      <x:c r="P977" s="14" t="n">
        <x:v>46.57</x:v>
      </x:c>
      <x:c r="Q977" s="14" t="n">
        <x:v>127.45</x:v>
      </x:c>
      <x:c r="R977" s="15"/>
      <x:c r="S977" s="15"/>
      <x:c r="T977" s="15"/>
      <x:c r="U977" s="16"/>
      <x:c r="V977" t="str">
        <x:v>Tatra Real</x:v>
      </x:c>
      <x:c r="W977" t="str">
        <x:v>Ružinov</x:v>
      </x:c>
      <x:c r="X977" s="11" t="str">
        <x:v>Predaný</x:v>
      </x:c>
      <x:c r="Y977" s="11" t="str">
        <x:v>https://www.galvania.sk/byty/</x:v>
      </x:c>
      <x:c r="Z977" s="11" t="n">
        <x:v>46249.4134212037</x:v>
      </x:c>
      <x:c r="AA977" s="11" t="n">
        <x:v>46254.51251577547</x:v>
      </x:c>
      <x:c r="AB977" s="11" t="n">
        <x:v>46254.51251577547</x:v>
      </x:c>
      <x:c r="AC977" t="str">
        <x:v>galvania_rezidencie</x:v>
      </x:c>
    </x:row>
    <x:row r="978" ht="22" customHeight="1">
      <x:c r="A978" t="str">
        <x:v>Galvania Rezidencie</x:v>
      </x:c>
      <x:c r="B978" t="str">
        <x:v>A8.02</x:v>
      </x:c>
      <x:c r="C978" t="str">
        <x:v>coming_soon</x:v>
      </x:c>
      <x:c r="D978" t="str">
        <x:v>present</x:v>
      </x:c>
      <x:c r="E978" t="str">
        <x:v>baseline</x:v>
      </x:c>
      <x:c r="F978" s="11" t="n">
        <x:v>46249.4134212037</x:v>
      </x:c>
      <x:c r="G978" t="str">
        <x:v>Byt</x:v>
      </x:c>
      <x:c r="H978" s="12" t="n">
        <x:v>2</x:v>
      </x:c>
      <x:c r="I978" s="13" t="n">
        <x:v>8</x:v>
      </x:c>
      <x:c r="J978" t="str">
        <x:v>A</x:v>
      </x:c>
      <x:c r="K978" s="14" t="n">
        <x:v>55.99</x:v>
      </x:c>
      <x:c r="L978" s="14"/>
      <x:c r="M978" s="14"/>
      <x:c r="N978" s="14"/>
      <x:c r="O978" s="14"/>
      <x:c r="P978" s="14" t="n">
        <x:v>40.34</x:v>
      </x:c>
      <x:c r="Q978" s="14" t="n">
        <x:v>96.33</x:v>
      </x:c>
      <x:c r="R978" s="15"/>
      <x:c r="S978" s="15"/>
      <x:c r="T978" s="15"/>
      <x:c r="U978" s="16"/>
      <x:c r="V978" t="str">
        <x:v>Tatra Real</x:v>
      </x:c>
      <x:c r="W978" t="str">
        <x:v>Ružinov</x:v>
      </x:c>
      <x:c r="X978" s="11" t="str">
        <x:v>Pripravujeme</x:v>
      </x:c>
      <x:c r="Y978" s="11" t="str">
        <x:v>https://www.galvania.sk/byty/mam-zaujem-o-byt-A8.02/</x:v>
      </x:c>
      <x:c r="Z978" s="11" t="n">
        <x:v>46249.4134212037</x:v>
      </x:c>
      <x:c r="AA978" s="11" t="n">
        <x:v>46254.51251577547</x:v>
      </x:c>
      <x:c r="AB978" s="11" t="n">
        <x:v>46254.51251577547</x:v>
      </x:c>
      <x:c r="AC978" t="str">
        <x:v>galvania_rezidencie</x:v>
      </x:c>
    </x:row>
    <x:row r="979" ht="22" customHeight="1">
      <x:c r="A979" t="str">
        <x:v>Galvania Rezidencie</x:v>
      </x:c>
      <x:c r="B979" t="str">
        <x:v>A8.03</x:v>
      </x:c>
      <x:c r="C979" t="str">
        <x:v>coming_soon</x:v>
      </x:c>
      <x:c r="D979" t="str">
        <x:v>present</x:v>
      </x:c>
      <x:c r="E979" t="str">
        <x:v>baseline</x:v>
      </x:c>
      <x:c r="F979" s="11" t="n">
        <x:v>46249.4134212037</x:v>
      </x:c>
      <x:c r="G979" t="str">
        <x:v>Byt</x:v>
      </x:c>
      <x:c r="H979" s="12" t="n">
        <x:v>2</x:v>
      </x:c>
      <x:c r="I979" s="13" t="n">
        <x:v>8</x:v>
      </x:c>
      <x:c r="J979" t="str">
        <x:v>A</x:v>
      </x:c>
      <x:c r="K979" s="14" t="n">
        <x:v>53.63</x:v>
      </x:c>
      <x:c r="L979" s="14"/>
      <x:c r="M979" s="14"/>
      <x:c r="N979" s="14"/>
      <x:c r="O979" s="14"/>
      <x:c r="P979" s="14" t="n">
        <x:v>27.75</x:v>
      </x:c>
      <x:c r="Q979" s="14" t="n">
        <x:v>81.38</x:v>
      </x:c>
      <x:c r="R979" s="15"/>
      <x:c r="S979" s="15"/>
      <x:c r="T979" s="15"/>
      <x:c r="U979" s="16"/>
      <x:c r="V979" t="str">
        <x:v>Tatra Real</x:v>
      </x:c>
      <x:c r="W979" t="str">
        <x:v>Ružinov</x:v>
      </x:c>
      <x:c r="X979" s="11" t="str">
        <x:v>Pripravujeme</x:v>
      </x:c>
      <x:c r="Y979" s="11" t="str">
        <x:v>https://www.galvania.sk/byty/mam-zaujem-o-byt-A8.03/</x:v>
      </x:c>
      <x:c r="Z979" s="11" t="n">
        <x:v>46249.4134212037</x:v>
      </x:c>
      <x:c r="AA979" s="11" t="n">
        <x:v>46254.51251577547</x:v>
      </x:c>
      <x:c r="AB979" s="11" t="n">
        <x:v>46254.51251577547</x:v>
      </x:c>
      <x:c r="AC979" t="str">
        <x:v>galvania_rezidencie</x:v>
      </x:c>
    </x:row>
    <x:row r="980" ht="22" customHeight="1">
      <x:c r="A980" t="str">
        <x:v>Galvania Rezidencie</x:v>
      </x:c>
      <x:c r="B980" t="str">
        <x:v>A8.04</x:v>
      </x:c>
      <x:c r="C980" t="str">
        <x:v>coming_soon</x:v>
      </x:c>
      <x:c r="D980" t="str">
        <x:v>present</x:v>
      </x:c>
      <x:c r="E980" t="str">
        <x:v>baseline</x:v>
      </x:c>
      <x:c r="F980" s="11" t="n">
        <x:v>46249.4134212037</x:v>
      </x:c>
      <x:c r="G980" t="str">
        <x:v>Byt</x:v>
      </x:c>
      <x:c r="H980" s="12" t="n">
        <x:v>2</x:v>
      </x:c>
      <x:c r="I980" s="13" t="n">
        <x:v>8</x:v>
      </x:c>
      <x:c r="J980" t="str">
        <x:v>A</x:v>
      </x:c>
      <x:c r="K980" s="14" t="n">
        <x:v>50.93</x:v>
      </x:c>
      <x:c r="L980" s="14"/>
      <x:c r="M980" s="14"/>
      <x:c r="N980" s="14"/>
      <x:c r="O980" s="14"/>
      <x:c r="P980" s="14" t="n">
        <x:v>27.93</x:v>
      </x:c>
      <x:c r="Q980" s="14" t="n">
        <x:v>78.86</x:v>
      </x:c>
      <x:c r="R980" s="15"/>
      <x:c r="S980" s="15"/>
      <x:c r="T980" s="15"/>
      <x:c r="U980" s="16"/>
      <x:c r="V980" t="str">
        <x:v>Tatra Real</x:v>
      </x:c>
      <x:c r="W980" t="str">
        <x:v>Ružinov</x:v>
      </x:c>
      <x:c r="X980" s="11" t="str">
        <x:v>Pripravujeme</x:v>
      </x:c>
      <x:c r="Y980" s="11" t="str">
        <x:v>https://www.galvania.sk/byty/mam-zaujem-o-byt-A8.04/</x:v>
      </x:c>
      <x:c r="Z980" s="11" t="n">
        <x:v>46249.4134212037</x:v>
      </x:c>
      <x:c r="AA980" s="11" t="n">
        <x:v>46254.51251577547</x:v>
      </x:c>
      <x:c r="AB980" s="11" t="n">
        <x:v>46254.51251577547</x:v>
      </x:c>
      <x:c r="AC980" t="str">
        <x:v>galvania_rezidencie</x:v>
      </x:c>
    </x:row>
    <x:row r="981" ht="22" customHeight="1">
      <x:c r="A981" t="str">
        <x:v>Galvania Rezidencie</x:v>
      </x:c>
      <x:c r="B981" t="str">
        <x:v>A8.05</x:v>
      </x:c>
      <x:c r="C981" t="str">
        <x:v>pre_reserved</x:v>
      </x:c>
      <x:c r="D981" t="str">
        <x:v>present</x:v>
      </x:c>
      <x:c r="E981" t="str">
        <x:v>baseline</x:v>
      </x:c>
      <x:c r="F981" s="11" t="n">
        <x:v>46249.4134212037</x:v>
      </x:c>
      <x:c r="G981" t="str">
        <x:v>Byt</x:v>
      </x:c>
      <x:c r="H981" s="12" t="n">
        <x:v>3</x:v>
      </x:c>
      <x:c r="I981" s="13" t="n">
        <x:v>8</x:v>
      </x:c>
      <x:c r="J981" t="str">
        <x:v>A</x:v>
      </x:c>
      <x:c r="K981" s="14" t="n">
        <x:v>75.29</x:v>
      </x:c>
      <x:c r="L981" s="14"/>
      <x:c r="M981" s="14"/>
      <x:c r="N981" s="14"/>
      <x:c r="O981" s="14"/>
      <x:c r="P981" s="14" t="n">
        <x:v>72.36</x:v>
      </x:c>
      <x:c r="Q981" s="14" t="n">
        <x:v>147.65</x:v>
      </x:c>
      <x:c r="R981" s="15"/>
      <x:c r="S981" s="15"/>
      <x:c r="T981" s="15"/>
      <x:c r="U981" s="16"/>
      <x:c r="V981" t="str">
        <x:v>Tatra Real</x:v>
      </x:c>
      <x:c r="W981" t="str">
        <x:v>Ružinov</x:v>
      </x:c>
      <x:c r="X981" s="11" t="str">
        <x:v>Predrezervovaný</x:v>
      </x:c>
      <x:c r="Y981" s="11" t="str">
        <x:v>https://www.galvania.sk/byty/mam-zaujem-o-byt-A8.05/</x:v>
      </x:c>
      <x:c r="Z981" s="11" t="n">
        <x:v>46249.4134212037</x:v>
      </x:c>
      <x:c r="AA981" s="11" t="n">
        <x:v>46254.51251577547</x:v>
      </x:c>
      <x:c r="AB981" s="11" t="n">
        <x:v>46254.51251577547</x:v>
      </x:c>
      <x:c r="AC981" t="str">
        <x:v>galvania_rezidencie</x:v>
      </x:c>
    </x:row>
    <x:row r="982" ht="22" customHeight="1">
      <x:c r="A982" t="str">
        <x:v>Galvania Rezidencie</x:v>
      </x:c>
      <x:c r="B982" t="str">
        <x:v>B1.01</x:v>
      </x:c>
      <x:c r="C982" t="str">
        <x:v>coming_soon</x:v>
      </x:c>
      <x:c r="D982" t="str">
        <x:v>present</x:v>
      </x:c>
      <x:c r="E982" t="str">
        <x:v>baseline</x:v>
      </x:c>
      <x:c r="F982" s="11" t="n">
        <x:v>46249.4134212037</x:v>
      </x:c>
      <x:c r="G982" t="str">
        <x:v>Byt</x:v>
      </x:c>
      <x:c r="H982" s="12" t="n">
        <x:v>2</x:v>
      </x:c>
      <x:c r="I982" s="13" t="n">
        <x:v>1</x:v>
      </x:c>
      <x:c r="J982" t="str">
        <x:v>B</x:v>
      </x:c>
      <x:c r="K982" s="14" t="n">
        <x:v>49.37</x:v>
      </x:c>
      <x:c r="L982" s="14"/>
      <x:c r="M982" s="14"/>
      <x:c r="N982" s="14"/>
      <x:c r="O982" s="14"/>
      <x:c r="P982" s="14" t="n">
        <x:v>13.31</x:v>
      </x:c>
      <x:c r="Q982" s="14" t="n">
        <x:v>62.68</x:v>
      </x:c>
      <x:c r="R982" s="15"/>
      <x:c r="S982" s="15"/>
      <x:c r="T982" s="15"/>
      <x:c r="U982" s="16"/>
      <x:c r="V982" t="str">
        <x:v>Tatra Real</x:v>
      </x:c>
      <x:c r="W982" t="str">
        <x:v>Ružinov</x:v>
      </x:c>
      <x:c r="X982" s="11" t="str">
        <x:v>Čoskoro</x:v>
      </x:c>
      <x:c r="Y982" s="11" t="str">
        <x:v>https://www.galvania.sk/byty/mam-zaujem-o-byt-B1.01/</x:v>
      </x:c>
      <x:c r="Z982" s="11" t="n">
        <x:v>46249.4134212037</x:v>
      </x:c>
      <x:c r="AA982" s="11" t="n">
        <x:v>46254.51251577547</x:v>
      </x:c>
      <x:c r="AB982" s="11" t="n">
        <x:v>46254.51251577547</x:v>
      </x:c>
      <x:c r="AC982" t="str">
        <x:v>galvania_rezidencie</x:v>
      </x:c>
    </x:row>
    <x:row r="983" ht="22" customHeight="1">
      <x:c r="A983" t="str">
        <x:v>Galvania Rezidencie</x:v>
      </x:c>
      <x:c r="B983" t="str">
        <x:v>B1.02</x:v>
      </x:c>
      <x:c r="C983" t="str">
        <x:v>coming_soon</x:v>
      </x:c>
      <x:c r="D983" t="str">
        <x:v>present</x:v>
      </x:c>
      <x:c r="E983" t="str">
        <x:v>baseline</x:v>
      </x:c>
      <x:c r="F983" s="11" t="n">
        <x:v>46249.4134212037</x:v>
      </x:c>
      <x:c r="G983" t="str">
        <x:v>Byt</x:v>
      </x:c>
      <x:c r="H983" s="12" t="n">
        <x:v>1</x:v>
      </x:c>
      <x:c r="I983" s="13" t="n">
        <x:v>1</x:v>
      </x:c>
      <x:c r="J983" t="str">
        <x:v>B</x:v>
      </x:c>
      <x:c r="K983" s="14" t="n">
        <x:v>37.16</x:v>
      </x:c>
      <x:c r="L983" s="14"/>
      <x:c r="M983" s="14"/>
      <x:c r="N983" s="14"/>
      <x:c r="O983" s="14"/>
      <x:c r="P983" s="14" t="n">
        <x:v>10.38</x:v>
      </x:c>
      <x:c r="Q983" s="14" t="n">
        <x:v>47.54</x:v>
      </x:c>
      <x:c r="R983" s="15"/>
      <x:c r="S983" s="15"/>
      <x:c r="T983" s="15"/>
      <x:c r="U983" s="16"/>
      <x:c r="V983" t="str">
        <x:v>Tatra Real</x:v>
      </x:c>
      <x:c r="W983" t="str">
        <x:v>Ružinov</x:v>
      </x:c>
      <x:c r="X983" s="11" t="str">
        <x:v>Čoskoro</x:v>
      </x:c>
      <x:c r="Y983" s="11" t="str">
        <x:v>https://www.galvania.sk/byty/mam-zaujem-o-byt-B1.02/</x:v>
      </x:c>
      <x:c r="Z983" s="11" t="n">
        <x:v>46249.4134212037</x:v>
      </x:c>
      <x:c r="AA983" s="11" t="n">
        <x:v>46254.51251577547</x:v>
      </x:c>
      <x:c r="AB983" s="11" t="n">
        <x:v>46254.51251577547</x:v>
      </x:c>
      <x:c r="AC983" t="str">
        <x:v>galvania_rezidencie</x:v>
      </x:c>
    </x:row>
    <x:row r="984" ht="22" customHeight="1">
      <x:c r="A984" t="str">
        <x:v>Galvania Rezidencie</x:v>
      </x:c>
      <x:c r="B984" t="str">
        <x:v>B1.03</x:v>
      </x:c>
      <x:c r="C984" t="str">
        <x:v>coming_soon</x:v>
      </x:c>
      <x:c r="D984" t="str">
        <x:v>present</x:v>
      </x:c>
      <x:c r="E984" t="str">
        <x:v>baseline</x:v>
      </x:c>
      <x:c r="F984" s="11" t="n">
        <x:v>46249.4134212037</x:v>
      </x:c>
      <x:c r="G984" t="str">
        <x:v>Byt</x:v>
      </x:c>
      <x:c r="H984" s="12" t="n">
        <x:v>2</x:v>
      </x:c>
      <x:c r="I984" s="13" t="n">
        <x:v>1</x:v>
      </x:c>
      <x:c r="J984" t="str">
        <x:v>B</x:v>
      </x:c>
      <x:c r="K984" s="14" t="n">
        <x:v>48.66</x:v>
      </x:c>
      <x:c r="L984" s="14"/>
      <x:c r="M984" s="14"/>
      <x:c r="N984" s="14"/>
      <x:c r="O984" s="14"/>
      <x:c r="P984" s="14" t="n">
        <x:v>37.12</x:v>
      </x:c>
      <x:c r="Q984" s="14" t="n">
        <x:v>85.78</x:v>
      </x:c>
      <x:c r="R984" s="15"/>
      <x:c r="S984" s="15"/>
      <x:c r="T984" s="15"/>
      <x:c r="U984" s="16"/>
      <x:c r="V984" t="str">
        <x:v>Tatra Real</x:v>
      </x:c>
      <x:c r="W984" t="str">
        <x:v>Ružinov</x:v>
      </x:c>
      <x:c r="X984" s="11" t="str">
        <x:v>Čoskoro</x:v>
      </x:c>
      <x:c r="Y984" s="11" t="str">
        <x:v>https://www.galvania.sk/byty/mam-zaujem-o-byt-B1.03/</x:v>
      </x:c>
      <x:c r="Z984" s="11" t="n">
        <x:v>46249.4134212037</x:v>
      </x:c>
      <x:c r="AA984" s="11" t="n">
        <x:v>46254.51251577547</x:v>
      </x:c>
      <x:c r="AB984" s="11" t="n">
        <x:v>46254.51251577547</x:v>
      </x:c>
      <x:c r="AC984" t="str">
        <x:v>galvania_rezidencie</x:v>
      </x:c>
    </x:row>
    <x:row r="985" ht="22" customHeight="1">
      <x:c r="A985" t="str">
        <x:v>Galvania Rezidencie</x:v>
      </x:c>
      <x:c r="B985" t="str">
        <x:v>B1.04</x:v>
      </x:c>
      <x:c r="C985" t="str">
        <x:v>coming_soon</x:v>
      </x:c>
      <x:c r="D985" t="str">
        <x:v>present</x:v>
      </x:c>
      <x:c r="E985" t="str">
        <x:v>baseline</x:v>
      </x:c>
      <x:c r="F985" s="11" t="n">
        <x:v>46249.4134212037</x:v>
      </x:c>
      <x:c r="G985" t="str">
        <x:v>Byt</x:v>
      </x:c>
      <x:c r="H985" s="12" t="n">
        <x:v>2</x:v>
      </x:c>
      <x:c r="I985" s="13" t="n">
        <x:v>1</x:v>
      </x:c>
      <x:c r="J985" t="str">
        <x:v>B</x:v>
      </x:c>
      <x:c r="K985" s="14" t="n">
        <x:v>44.47</x:v>
      </x:c>
      <x:c r="L985" s="14"/>
      <x:c r="M985" s="14"/>
      <x:c r="N985" s="14"/>
      <x:c r="O985" s="14"/>
      <x:c r="P985" s="14" t="n">
        <x:v>37.75</x:v>
      </x:c>
      <x:c r="Q985" s="14" t="n">
        <x:v>82.22</x:v>
      </x:c>
      <x:c r="R985" s="15"/>
      <x:c r="S985" s="15"/>
      <x:c r="T985" s="15"/>
      <x:c r="U985" s="16"/>
      <x:c r="V985" t="str">
        <x:v>Tatra Real</x:v>
      </x:c>
      <x:c r="W985" t="str">
        <x:v>Ružinov</x:v>
      </x:c>
      <x:c r="X985" s="11" t="str">
        <x:v>Čoskoro</x:v>
      </x:c>
      <x:c r="Y985" s="11" t="str">
        <x:v>https://www.galvania.sk/byty/mam-zaujem-o-byt-B1.04/</x:v>
      </x:c>
      <x:c r="Z985" s="11" t="n">
        <x:v>46249.4134212037</x:v>
      </x:c>
      <x:c r="AA985" s="11" t="n">
        <x:v>46254.51251577547</x:v>
      </x:c>
      <x:c r="AB985" s="11" t="n">
        <x:v>46254.51251577547</x:v>
      </x:c>
      <x:c r="AC985" t="str">
        <x:v>galvania_rezidencie</x:v>
      </x:c>
    </x:row>
    <x:row r="986" ht="22" customHeight="1">
      <x:c r="A986" t="str">
        <x:v>Galvania Rezidencie</x:v>
      </x:c>
      <x:c r="B986" t="str">
        <x:v>B1.05</x:v>
      </x:c>
      <x:c r="C986" t="str">
        <x:v>coming_soon</x:v>
      </x:c>
      <x:c r="D986" t="str">
        <x:v>present</x:v>
      </x:c>
      <x:c r="E986" t="str">
        <x:v>baseline</x:v>
      </x:c>
      <x:c r="F986" s="11" t="n">
        <x:v>46249.4134212037</x:v>
      </x:c>
      <x:c r="G986" t="str">
        <x:v>Byt</x:v>
      </x:c>
      <x:c r="H986" s="12" t="n">
        <x:v>2</x:v>
      </x:c>
      <x:c r="I986" s="13" t="n">
        <x:v>1</x:v>
      </x:c>
      <x:c r="J986" t="str">
        <x:v>B</x:v>
      </x:c>
      <x:c r="K986" s="14" t="n">
        <x:v>48.32</x:v>
      </x:c>
      <x:c r="L986" s="14"/>
      <x:c r="M986" s="14"/>
      <x:c r="N986" s="14"/>
      <x:c r="O986" s="14"/>
      <x:c r="P986" s="14" t="n">
        <x:v>36.79</x:v>
      </x:c>
      <x:c r="Q986" s="14" t="n">
        <x:v>85.11</x:v>
      </x:c>
      <x:c r="R986" s="15"/>
      <x:c r="S986" s="15"/>
      <x:c r="T986" s="15"/>
      <x:c r="U986" s="16"/>
      <x:c r="V986" t="str">
        <x:v>Tatra Real</x:v>
      </x:c>
      <x:c r="W986" t="str">
        <x:v>Ružinov</x:v>
      </x:c>
      <x:c r="X986" s="11" t="str">
        <x:v>Čoskoro</x:v>
      </x:c>
      <x:c r="Y986" s="11" t="str">
        <x:v>https://www.galvania.sk/byty/mam-zaujem-o-byt-B1.05/</x:v>
      </x:c>
      <x:c r="Z986" s="11" t="n">
        <x:v>46249.4134212037</x:v>
      </x:c>
      <x:c r="AA986" s="11" t="n">
        <x:v>46254.51251577547</x:v>
      </x:c>
      <x:c r="AB986" s="11" t="n">
        <x:v>46254.51251577547</x:v>
      </x:c>
      <x:c r="AC986" t="str">
        <x:v>galvania_rezidencie</x:v>
      </x:c>
    </x:row>
    <x:row r="987" ht="22" customHeight="1">
      <x:c r="A987" t="str">
        <x:v>Galvania Rezidencie</x:v>
      </x:c>
      <x:c r="B987" t="str">
        <x:v>B1.06</x:v>
      </x:c>
      <x:c r="C987" t="str">
        <x:v>coming_soon</x:v>
      </x:c>
      <x:c r="D987" t="str">
        <x:v>present</x:v>
      </x:c>
      <x:c r="E987" t="str">
        <x:v>baseline</x:v>
      </x:c>
      <x:c r="F987" s="11" t="n">
        <x:v>46249.4134212037</x:v>
      </x:c>
      <x:c r="G987" t="str">
        <x:v>Byt</x:v>
      </x:c>
      <x:c r="H987" s="12" t="n">
        <x:v>1</x:v>
      </x:c>
      <x:c r="I987" s="13" t="n">
        <x:v>1</x:v>
      </x:c>
      <x:c r="J987" t="str">
        <x:v>B</x:v>
      </x:c>
      <x:c r="K987" s="14" t="n">
        <x:v>29.25</x:v>
      </x:c>
      <x:c r="L987" s="14"/>
      <x:c r="M987" s="14"/>
      <x:c r="N987" s="14"/>
      <x:c r="O987" s="14"/>
      <x:c r="P987" s="14" t="n">
        <x:v>22.64</x:v>
      </x:c>
      <x:c r="Q987" s="14" t="n">
        <x:v>51.89</x:v>
      </x:c>
      <x:c r="R987" s="15"/>
      <x:c r="S987" s="15"/>
      <x:c r="T987" s="15"/>
      <x:c r="U987" s="16"/>
      <x:c r="V987" t="str">
        <x:v>Tatra Real</x:v>
      </x:c>
      <x:c r="W987" t="str">
        <x:v>Ružinov</x:v>
      </x:c>
      <x:c r="X987" s="11" t="str">
        <x:v>Čoskoro</x:v>
      </x:c>
      <x:c r="Y987" s="11" t="str">
        <x:v>https://www.galvania.sk/byty/mam-zaujem-o-byt-B1.06/</x:v>
      </x:c>
      <x:c r="Z987" s="11" t="n">
        <x:v>46249.4134212037</x:v>
      </x:c>
      <x:c r="AA987" s="11" t="n">
        <x:v>46254.51251577547</x:v>
      </x:c>
      <x:c r="AB987" s="11" t="n">
        <x:v>46254.51251577547</x:v>
      </x:c>
      <x:c r="AC987" t="str">
        <x:v>galvania_rezidencie</x:v>
      </x:c>
    </x:row>
    <x:row r="988" ht="22" customHeight="1">
      <x:c r="A988" t="str">
        <x:v>Galvania Rezidencie</x:v>
      </x:c>
      <x:c r="B988" t="str">
        <x:v>B1.07</x:v>
      </x:c>
      <x:c r="C988" t="str">
        <x:v>coming_soon</x:v>
      </x:c>
      <x:c r="D988" t="str">
        <x:v>present</x:v>
      </x:c>
      <x:c r="E988" t="str">
        <x:v>baseline</x:v>
      </x:c>
      <x:c r="F988" s="11" t="n">
        <x:v>46249.4134212037</x:v>
      </x:c>
      <x:c r="G988" t="str">
        <x:v>Byt</x:v>
      </x:c>
      <x:c r="H988" s="12" t="n">
        <x:v>2</x:v>
      </x:c>
      <x:c r="I988" s="13" t="n">
        <x:v>1</x:v>
      </x:c>
      <x:c r="J988" t="str">
        <x:v>B</x:v>
      </x:c>
      <x:c r="K988" s="14" t="n">
        <x:v>48.42</x:v>
      </x:c>
      <x:c r="L988" s="14"/>
      <x:c r="M988" s="14"/>
      <x:c r="N988" s="14"/>
      <x:c r="O988" s="14"/>
      <x:c r="P988" s="14" t="n">
        <x:v>35.98</x:v>
      </x:c>
      <x:c r="Q988" s="14" t="n">
        <x:v>84.4</x:v>
      </x:c>
      <x:c r="R988" s="15"/>
      <x:c r="S988" s="15"/>
      <x:c r="T988" s="15"/>
      <x:c r="U988" s="16"/>
      <x:c r="V988" t="str">
        <x:v>Tatra Real</x:v>
      </x:c>
      <x:c r="W988" t="str">
        <x:v>Ružinov</x:v>
      </x:c>
      <x:c r="X988" s="11" t="str">
        <x:v>Čoskoro</x:v>
      </x:c>
      <x:c r="Y988" s="11" t="str">
        <x:v>https://www.galvania.sk/byty/mam-zaujem-o-byt-B1.07/</x:v>
      </x:c>
      <x:c r="Z988" s="11" t="n">
        <x:v>46249.4134212037</x:v>
      </x:c>
      <x:c r="AA988" s="11" t="n">
        <x:v>46254.51251577547</x:v>
      </x:c>
      <x:c r="AB988" s="11" t="n">
        <x:v>46254.51251577547</x:v>
      </x:c>
      <x:c r="AC988" t="str">
        <x:v>galvania_rezidencie</x:v>
      </x:c>
    </x:row>
    <x:row r="989" ht="22" customHeight="1">
      <x:c r="A989" t="str">
        <x:v>Galvania Rezidencie</x:v>
      </x:c>
      <x:c r="B989" t="str">
        <x:v>B1.08</x:v>
      </x:c>
      <x:c r="C989" t="str">
        <x:v>coming_soon</x:v>
      </x:c>
      <x:c r="D989" t="str">
        <x:v>present</x:v>
      </x:c>
      <x:c r="E989" t="str">
        <x:v>baseline</x:v>
      </x:c>
      <x:c r="F989" s="11" t="n">
        <x:v>46249.4134212037</x:v>
      </x:c>
      <x:c r="G989" t="str">
        <x:v>Byt</x:v>
      </x:c>
      <x:c r="H989" s="12" t="n">
        <x:v>2</x:v>
      </x:c>
      <x:c r="I989" s="13" t="n">
        <x:v>1</x:v>
      </x:c>
      <x:c r="J989" t="str">
        <x:v>B</x:v>
      </x:c>
      <x:c r="K989" s="14" t="n">
        <x:v>48.32</x:v>
      </x:c>
      <x:c r="L989" s="14"/>
      <x:c r="M989" s="14"/>
      <x:c r="N989" s="14"/>
      <x:c r="O989" s="14"/>
      <x:c r="P989" s="14" t="n">
        <x:v>35.98</x:v>
      </x:c>
      <x:c r="Q989" s="14" t="n">
        <x:v>84.3</x:v>
      </x:c>
      <x:c r="R989" s="15"/>
      <x:c r="S989" s="15"/>
      <x:c r="T989" s="15"/>
      <x:c r="U989" s="16"/>
      <x:c r="V989" t="str">
        <x:v>Tatra Real</x:v>
      </x:c>
      <x:c r="W989" t="str">
        <x:v>Ružinov</x:v>
      </x:c>
      <x:c r="X989" s="11" t="str">
        <x:v>Čoskoro</x:v>
      </x:c>
      <x:c r="Y989" s="11" t="str">
        <x:v>https://www.galvania.sk/byty/mam-zaujem-o-byt-B1.08/</x:v>
      </x:c>
      <x:c r="Z989" s="11" t="n">
        <x:v>46249.4134212037</x:v>
      </x:c>
      <x:c r="AA989" s="11" t="n">
        <x:v>46254.51251577547</x:v>
      </x:c>
      <x:c r="AB989" s="11" t="n">
        <x:v>46254.51251577547</x:v>
      </x:c>
      <x:c r="AC989" t="str">
        <x:v>galvania_rezidencie</x:v>
      </x:c>
    </x:row>
    <x:row r="990" ht="22" customHeight="1">
      <x:c r="A990" t="str">
        <x:v>Galvania Rezidencie</x:v>
      </x:c>
      <x:c r="B990" t="str">
        <x:v>B1.09</x:v>
      </x:c>
      <x:c r="C990" t="str">
        <x:v>coming_soon</x:v>
      </x:c>
      <x:c r="D990" t="str">
        <x:v>present</x:v>
      </x:c>
      <x:c r="E990" t="str">
        <x:v>baseline</x:v>
      </x:c>
      <x:c r="F990" s="11" t="n">
        <x:v>46249.4134212037</x:v>
      </x:c>
      <x:c r="G990" t="str">
        <x:v>Byt</x:v>
      </x:c>
      <x:c r="H990" s="12" t="n">
        <x:v>2</x:v>
      </x:c>
      <x:c r="I990" s="13" t="n">
        <x:v>1</x:v>
      </x:c>
      <x:c r="J990" t="str">
        <x:v>B</x:v>
      </x:c>
      <x:c r="K990" s="14" t="n">
        <x:v>48.32</x:v>
      </x:c>
      <x:c r="L990" s="14"/>
      <x:c r="M990" s="14"/>
      <x:c r="N990" s="14"/>
      <x:c r="O990" s="14"/>
      <x:c r="P990" s="14" t="n">
        <x:v>35.98</x:v>
      </x:c>
      <x:c r="Q990" s="14" t="n">
        <x:v>84.3</x:v>
      </x:c>
      <x:c r="R990" s="15"/>
      <x:c r="S990" s="15"/>
      <x:c r="T990" s="15"/>
      <x:c r="U990" s="16"/>
      <x:c r="V990" t="str">
        <x:v>Tatra Real</x:v>
      </x:c>
      <x:c r="W990" t="str">
        <x:v>Ružinov</x:v>
      </x:c>
      <x:c r="X990" s="11" t="str">
        <x:v>Čoskoro</x:v>
      </x:c>
      <x:c r="Y990" s="11" t="str">
        <x:v>https://www.galvania.sk/byty/mam-zaujem-o-byt-B1.09/</x:v>
      </x:c>
      <x:c r="Z990" s="11" t="n">
        <x:v>46249.4134212037</x:v>
      </x:c>
      <x:c r="AA990" s="11" t="n">
        <x:v>46254.51251577547</x:v>
      </x:c>
      <x:c r="AB990" s="11" t="n">
        <x:v>46254.51251577547</x:v>
      </x:c>
      <x:c r="AC990" t="str">
        <x:v>galvania_rezidencie</x:v>
      </x:c>
    </x:row>
    <x:row r="991" ht="22" customHeight="1">
      <x:c r="A991" t="str">
        <x:v>Galvania Rezidencie</x:v>
      </x:c>
      <x:c r="B991" t="str">
        <x:v>B1.10</x:v>
      </x:c>
      <x:c r="C991" t="str">
        <x:v>coming_soon</x:v>
      </x:c>
      <x:c r="D991" t="str">
        <x:v>present</x:v>
      </x:c>
      <x:c r="E991" t="str">
        <x:v>baseline</x:v>
      </x:c>
      <x:c r="F991" s="11" t="n">
        <x:v>46249.4134212037</x:v>
      </x:c>
      <x:c r="G991" t="str">
        <x:v>Byt</x:v>
      </x:c>
      <x:c r="H991" s="12" t="n">
        <x:v>2</x:v>
      </x:c>
      <x:c r="I991" s="13" t="n">
        <x:v>1</x:v>
      </x:c>
      <x:c r="J991" t="str">
        <x:v>B</x:v>
      </x:c>
      <x:c r="K991" s="14" t="n">
        <x:v>48.31</x:v>
      </x:c>
      <x:c r="L991" s="14"/>
      <x:c r="M991" s="14"/>
      <x:c r="N991" s="14"/>
      <x:c r="O991" s="14"/>
      <x:c r="P991" s="14" t="n">
        <x:v>35.98</x:v>
      </x:c>
      <x:c r="Q991" s="14" t="n">
        <x:v>84.29</x:v>
      </x:c>
      <x:c r="R991" s="15"/>
      <x:c r="S991" s="15"/>
      <x:c r="T991" s="15"/>
      <x:c r="U991" s="16"/>
      <x:c r="V991" t="str">
        <x:v>Tatra Real</x:v>
      </x:c>
      <x:c r="W991" t="str">
        <x:v>Ružinov</x:v>
      </x:c>
      <x:c r="X991" s="11" t="str">
        <x:v>Čoskoro</x:v>
      </x:c>
      <x:c r="Y991" s="11" t="str">
        <x:v>https://www.galvania.sk/byty/mam-zaujem-o-byt-B1.10/</x:v>
      </x:c>
      <x:c r="Z991" s="11" t="n">
        <x:v>46249.4134212037</x:v>
      </x:c>
      <x:c r="AA991" s="11" t="n">
        <x:v>46254.51251577547</x:v>
      </x:c>
      <x:c r="AB991" s="11" t="n">
        <x:v>46254.51251577547</x:v>
      </x:c>
      <x:c r="AC991" t="str">
        <x:v>galvania_rezidencie</x:v>
      </x:c>
    </x:row>
    <x:row r="992" ht="22" customHeight="1">
      <x:c r="A992" t="str">
        <x:v>Galvania Rezidencie</x:v>
      </x:c>
      <x:c r="B992" t="str">
        <x:v>B1.11</x:v>
      </x:c>
      <x:c r="C992" t="str">
        <x:v>coming_soon</x:v>
      </x:c>
      <x:c r="D992" t="str">
        <x:v>present</x:v>
      </x:c>
      <x:c r="E992" t="str">
        <x:v>baseline</x:v>
      </x:c>
      <x:c r="F992" s="11" t="n">
        <x:v>46249.4134212037</x:v>
      </x:c>
      <x:c r="G992" t="str">
        <x:v>Apartmán</x:v>
      </x:c>
      <x:c r="H992" s="12" t="n">
        <x:v>2</x:v>
      </x:c>
      <x:c r="I992" s="13" t="n">
        <x:v>1</x:v>
      </x:c>
      <x:c r="J992" t="str">
        <x:v>B</x:v>
      </x:c>
      <x:c r="K992" s="14" t="n">
        <x:v>52.34</x:v>
      </x:c>
      <x:c r="L992" s="14"/>
      <x:c r="M992" s="14"/>
      <x:c r="N992" s="14"/>
      <x:c r="O992" s="14"/>
      <x:c r="P992" s="14" t="n">
        <x:v>30.98</x:v>
      </x:c>
      <x:c r="Q992" s="14" t="n">
        <x:v>83.32</x:v>
      </x:c>
      <x:c r="R992" s="15"/>
      <x:c r="S992" s="15"/>
      <x:c r="T992" s="15"/>
      <x:c r="U992" s="16"/>
      <x:c r="V992" t="str">
        <x:v>Tatra Real</x:v>
      </x:c>
      <x:c r="W992" t="str">
        <x:v>Ružinov</x:v>
      </x:c>
      <x:c r="X992" s="11" t="str">
        <x:v>Čoskoro</x:v>
      </x:c>
      <x:c r="Y992" s="11" t="str">
        <x:v>https://www.galvania.sk/byty/mam-zaujem-o-byt-B1.11/</x:v>
      </x:c>
      <x:c r="Z992" s="11" t="n">
        <x:v>46249.4134212037</x:v>
      </x:c>
      <x:c r="AA992" s="11" t="n">
        <x:v>46254.51251577547</x:v>
      </x:c>
      <x:c r="AB992" s="11" t="n">
        <x:v>46254.51251577547</x:v>
      </x:c>
      <x:c r="AC992" t="str">
        <x:v>galvania_rezidencie</x:v>
      </x:c>
    </x:row>
    <x:row r="993" ht="22" customHeight="1">
      <x:c r="A993" t="str">
        <x:v>Galvania Rezidencie</x:v>
      </x:c>
      <x:c r="B993" t="str">
        <x:v>B1.12</x:v>
      </x:c>
      <x:c r="C993" t="str">
        <x:v>coming_soon</x:v>
      </x:c>
      <x:c r="D993" t="str">
        <x:v>present</x:v>
      </x:c>
      <x:c r="E993" t="str">
        <x:v>baseline</x:v>
      </x:c>
      <x:c r="F993" s="11" t="n">
        <x:v>46249.4134212037</x:v>
      </x:c>
      <x:c r="G993" t="str">
        <x:v>Byt</x:v>
      </x:c>
      <x:c r="H993" s="12" t="n">
        <x:v>2</x:v>
      </x:c>
      <x:c r="I993" s="13" t="n">
        <x:v>1</x:v>
      </x:c>
      <x:c r="J993" t="str">
        <x:v>B</x:v>
      </x:c>
      <x:c r="K993" s="14" t="n">
        <x:v>53.46</x:v>
      </x:c>
      <x:c r="L993" s="14"/>
      <x:c r="M993" s="14"/>
      <x:c r="N993" s="14"/>
      <x:c r="O993" s="14"/>
      <x:c r="P993" s="14" t="n">
        <x:v>55.04</x:v>
      </x:c>
      <x:c r="Q993" s="14" t="n">
        <x:v>108.5</x:v>
      </x:c>
      <x:c r="R993" s="15"/>
      <x:c r="S993" s="15"/>
      <x:c r="T993" s="15"/>
      <x:c r="U993" s="16"/>
      <x:c r="V993" t="str">
        <x:v>Tatra Real</x:v>
      </x:c>
      <x:c r="W993" t="str">
        <x:v>Ružinov</x:v>
      </x:c>
      <x:c r="X993" s="11" t="str">
        <x:v>Čoskoro</x:v>
      </x:c>
      <x:c r="Y993" s="11" t="str">
        <x:v>https://www.galvania.sk/byty/mam-zaujem-o-byt-B1.12/</x:v>
      </x:c>
      <x:c r="Z993" s="11" t="n">
        <x:v>46249.4134212037</x:v>
      </x:c>
      <x:c r="AA993" s="11" t="n">
        <x:v>46254.51251577547</x:v>
      </x:c>
      <x:c r="AB993" s="11" t="n">
        <x:v>46254.51251577547</x:v>
      </x:c>
      <x:c r="AC993" t="str">
        <x:v>galvania_rezidencie</x:v>
      </x:c>
    </x:row>
    <x:row r="994" ht="22" customHeight="1">
      <x:c r="A994" t="str">
        <x:v>Galvania Rezidencie</x:v>
      </x:c>
      <x:c r="B994" t="str">
        <x:v>B1.13</x:v>
      </x:c>
      <x:c r="C994" t="str">
        <x:v>coming_soon</x:v>
      </x:c>
      <x:c r="D994" t="str">
        <x:v>present</x:v>
      </x:c>
      <x:c r="E994" t="str">
        <x:v>baseline</x:v>
      </x:c>
      <x:c r="F994" s="11" t="n">
        <x:v>46249.4134212037</x:v>
      </x:c>
      <x:c r="G994" t="str">
        <x:v>Byt</x:v>
      </x:c>
      <x:c r="H994" s="12" t="n">
        <x:v>2</x:v>
      </x:c>
      <x:c r="I994" s="13" t="n">
        <x:v>1</x:v>
      </x:c>
      <x:c r="J994" t="str">
        <x:v>B</x:v>
      </x:c>
      <x:c r="K994" s="14" t="n">
        <x:v>48.8</x:v>
      </x:c>
      <x:c r="L994" s="14"/>
      <x:c r="M994" s="14"/>
      <x:c r="N994" s="14"/>
      <x:c r="O994" s="14"/>
      <x:c r="P994" s="14" t="n">
        <x:v>53.16</x:v>
      </x:c>
      <x:c r="Q994" s="14" t="n">
        <x:v>101.96</x:v>
      </x:c>
      <x:c r="R994" s="15"/>
      <x:c r="S994" s="15"/>
      <x:c r="T994" s="15"/>
      <x:c r="U994" s="16"/>
      <x:c r="V994" t="str">
        <x:v>Tatra Real</x:v>
      </x:c>
      <x:c r="W994" t="str">
        <x:v>Ružinov</x:v>
      </x:c>
      <x:c r="X994" s="11" t="str">
        <x:v>Čoskoro</x:v>
      </x:c>
      <x:c r="Y994" s="11" t="str">
        <x:v>https://www.galvania.sk/byty/mam-zaujem-o-byt-B1.13/</x:v>
      </x:c>
      <x:c r="Z994" s="11" t="n">
        <x:v>46249.4134212037</x:v>
      </x:c>
      <x:c r="AA994" s="11" t="n">
        <x:v>46254.51251577547</x:v>
      </x:c>
      <x:c r="AB994" s="11" t="n">
        <x:v>46254.51251577547</x:v>
      </x:c>
      <x:c r="AC994" t="str">
        <x:v>galvania_rezidencie</x:v>
      </x:c>
    </x:row>
    <x:row r="995" ht="22" customHeight="1">
      <x:c r="A995" t="str">
        <x:v>Galvania Rezidencie</x:v>
      </x:c>
      <x:c r="B995" t="str">
        <x:v>B1.14</x:v>
      </x:c>
      <x:c r="C995" t="str">
        <x:v>coming_soon</x:v>
      </x:c>
      <x:c r="D995" t="str">
        <x:v>present</x:v>
      </x:c>
      <x:c r="E995" t="str">
        <x:v>baseline</x:v>
      </x:c>
      <x:c r="F995" s="11" t="n">
        <x:v>46249.4134212037</x:v>
      </x:c>
      <x:c r="G995" t="str">
        <x:v>Byt</x:v>
      </x:c>
      <x:c r="H995" s="12" t="n">
        <x:v>2</x:v>
      </x:c>
      <x:c r="I995" s="13" t="n">
        <x:v>1</x:v>
      </x:c>
      <x:c r="J995" t="str">
        <x:v>B</x:v>
      </x:c>
      <x:c r="K995" s="14" t="n">
        <x:v>49.31</x:v>
      </x:c>
      <x:c r="L995" s="14"/>
      <x:c r="M995" s="14"/>
      <x:c r="N995" s="14"/>
      <x:c r="O995" s="14"/>
      <x:c r="P995" s="14" t="n">
        <x:v>44.49</x:v>
      </x:c>
      <x:c r="Q995" s="14" t="n">
        <x:v>93.8</x:v>
      </x:c>
      <x:c r="R995" s="15"/>
      <x:c r="S995" s="15"/>
      <x:c r="T995" s="15"/>
      <x:c r="U995" s="16"/>
      <x:c r="V995" t="str">
        <x:v>Tatra Real</x:v>
      </x:c>
      <x:c r="W995" t="str">
        <x:v>Ružinov</x:v>
      </x:c>
      <x:c r="X995" s="11" t="str">
        <x:v>Čoskoro</x:v>
      </x:c>
      <x:c r="Y995" s="11" t="str">
        <x:v>https://www.galvania.sk/byty/mam-zaujem-o-byt-B1.14/</x:v>
      </x:c>
      <x:c r="Z995" s="11" t="n">
        <x:v>46249.4134212037</x:v>
      </x:c>
      <x:c r="AA995" s="11" t="n">
        <x:v>46254.51251577547</x:v>
      </x:c>
      <x:c r="AB995" s="11" t="n">
        <x:v>46254.51251577547</x:v>
      </x:c>
      <x:c r="AC995" t="str">
        <x:v>galvania_rezidencie</x:v>
      </x:c>
    </x:row>
    <x:row r="996" ht="22" customHeight="1">
      <x:c r="A996" t="str">
        <x:v>Galvania Rezidencie</x:v>
      </x:c>
      <x:c r="B996" t="str">
        <x:v>B1.15</x:v>
      </x:c>
      <x:c r="C996" t="str">
        <x:v>coming_soon</x:v>
      </x:c>
      <x:c r="D996" t="str">
        <x:v>present</x:v>
      </x:c>
      <x:c r="E996" t="str">
        <x:v>baseline</x:v>
      </x:c>
      <x:c r="F996" s="11" t="n">
        <x:v>46249.4134212037</x:v>
      </x:c>
      <x:c r="G996" t="str">
        <x:v>Byt</x:v>
      </x:c>
      <x:c r="H996" s="12" t="n">
        <x:v>2</x:v>
      </x:c>
      <x:c r="I996" s="13" t="n">
        <x:v>1</x:v>
      </x:c>
      <x:c r="J996" t="str">
        <x:v>B</x:v>
      </x:c>
      <x:c r="K996" s="14" t="n">
        <x:v>49.31</x:v>
      </x:c>
      <x:c r="L996" s="14"/>
      <x:c r="M996" s="14"/>
      <x:c r="N996" s="14"/>
      <x:c r="O996" s="14"/>
      <x:c r="P996" s="14" t="n">
        <x:v>35.81</x:v>
      </x:c>
      <x:c r="Q996" s="14" t="n">
        <x:v>85.12</x:v>
      </x:c>
      <x:c r="R996" s="15"/>
      <x:c r="S996" s="15"/>
      <x:c r="T996" s="15"/>
      <x:c r="U996" s="16"/>
      <x:c r="V996" t="str">
        <x:v>Tatra Real</x:v>
      </x:c>
      <x:c r="W996" t="str">
        <x:v>Ružinov</x:v>
      </x:c>
      <x:c r="X996" s="11" t="str">
        <x:v>Čoskoro</x:v>
      </x:c>
      <x:c r="Y996" s="11" t="str">
        <x:v>https://www.galvania.sk/byty/mam-zaujem-o-byt-B1.15/</x:v>
      </x:c>
      <x:c r="Z996" s="11" t="n">
        <x:v>46249.4134212037</x:v>
      </x:c>
      <x:c r="AA996" s="11" t="n">
        <x:v>46254.51251577547</x:v>
      </x:c>
      <x:c r="AB996" s="11" t="n">
        <x:v>46254.51251577547</x:v>
      </x:c>
      <x:c r="AC996" t="str">
        <x:v>galvania_rezidencie</x:v>
      </x:c>
    </x:row>
    <x:row r="997" ht="22" customHeight="1">
      <x:c r="A997" t="str">
        <x:v>Galvania Rezidencie</x:v>
      </x:c>
      <x:c r="B997" t="str">
        <x:v>B1.16</x:v>
      </x:c>
      <x:c r="C997" t="str">
        <x:v>coming_soon</x:v>
      </x:c>
      <x:c r="D997" t="str">
        <x:v>present</x:v>
      </x:c>
      <x:c r="E997" t="str">
        <x:v>baseline</x:v>
      </x:c>
      <x:c r="F997" s="11" t="n">
        <x:v>46249.4134212037</x:v>
      </x:c>
      <x:c r="G997" t="str">
        <x:v>Byt</x:v>
      </x:c>
      <x:c r="H997" s="12" t="n">
        <x:v>2</x:v>
      </x:c>
      <x:c r="I997" s="13" t="n">
        <x:v>1</x:v>
      </x:c>
      <x:c r="J997" t="str">
        <x:v>B</x:v>
      </x:c>
      <x:c r="K997" s="14" t="n">
        <x:v>49.41</x:v>
      </x:c>
      <x:c r="L997" s="14"/>
      <x:c r="M997" s="14"/>
      <x:c r="N997" s="14"/>
      <x:c r="O997" s="14"/>
      <x:c r="P997" s="14" t="n">
        <x:v>26.5</x:v>
      </x:c>
      <x:c r="Q997" s="14" t="n">
        <x:v>75.91</x:v>
      </x:c>
      <x:c r="R997" s="15"/>
      <x:c r="S997" s="15"/>
      <x:c r="T997" s="15"/>
      <x:c r="U997" s="16"/>
      <x:c r="V997" t="str">
        <x:v>Tatra Real</x:v>
      </x:c>
      <x:c r="W997" t="str">
        <x:v>Ružinov</x:v>
      </x:c>
      <x:c r="X997" s="11" t="str">
        <x:v>Čoskoro</x:v>
      </x:c>
      <x:c r="Y997" s="11" t="str">
        <x:v>https://www.galvania.sk/byty/mam-zaujem-o-byt-B1.16/</x:v>
      </x:c>
      <x:c r="Z997" s="11" t="n">
        <x:v>46249.4134212037</x:v>
      </x:c>
      <x:c r="AA997" s="11" t="n">
        <x:v>46254.51251577547</x:v>
      </x:c>
      <x:c r="AB997" s="11" t="n">
        <x:v>46254.51251577547</x:v>
      </x:c>
      <x:c r="AC997" t="str">
        <x:v>galvania_rezidencie</x:v>
      </x:c>
    </x:row>
    <x:row r="998" ht="22" customHeight="1">
      <x:c r="A998" t="str">
        <x:v>Galvania Rezidencie</x:v>
      </x:c>
      <x:c r="B998" t="str">
        <x:v>B2.01</x:v>
      </x:c>
      <x:c r="C998" t="str">
        <x:v>coming_soon</x:v>
      </x:c>
      <x:c r="D998" t="str">
        <x:v>present</x:v>
      </x:c>
      <x:c r="E998" t="str">
        <x:v>baseline</x:v>
      </x:c>
      <x:c r="F998" s="11" t="n">
        <x:v>46249.4134212037</x:v>
      </x:c>
      <x:c r="G998" t="str">
        <x:v>Byt</x:v>
      </x:c>
      <x:c r="H998" s="12" t="n">
        <x:v>2</x:v>
      </x:c>
      <x:c r="I998" s="13" t="n">
        <x:v>2</x:v>
      </x:c>
      <x:c r="J998" t="str">
        <x:v>B</x:v>
      </x:c>
      <x:c r="K998" s="14" t="n">
        <x:v>49.63</x:v>
      </x:c>
      <x:c r="L998" s="14"/>
      <x:c r="M998" s="14"/>
      <x:c r="N998" s="14"/>
      <x:c r="O998" s="14"/>
      <x:c r="P998" s="14" t="n">
        <x:v>6.53</x:v>
      </x:c>
      <x:c r="Q998" s="14" t="n">
        <x:v>56.16</x:v>
      </x:c>
      <x:c r="R998" s="15"/>
      <x:c r="S998" s="15"/>
      <x:c r="T998" s="15"/>
      <x:c r="U998" s="16"/>
      <x:c r="V998" t="str">
        <x:v>Tatra Real</x:v>
      </x:c>
      <x:c r="W998" t="str">
        <x:v>Ružinov</x:v>
      </x:c>
      <x:c r="X998" s="11" t="str">
        <x:v>Čoskoro</x:v>
      </x:c>
      <x:c r="Y998" s="11" t="str">
        <x:v>https://www.galvania.sk/byty/mam-zaujem-o-byt-B2.01/</x:v>
      </x:c>
      <x:c r="Z998" s="11" t="n">
        <x:v>46249.4134212037</x:v>
      </x:c>
      <x:c r="AA998" s="11" t="n">
        <x:v>46254.51251577547</x:v>
      </x:c>
      <x:c r="AB998" s="11" t="n">
        <x:v>46254.51251577547</x:v>
      </x:c>
      <x:c r="AC998" t="str">
        <x:v>galvania_rezidencie</x:v>
      </x:c>
    </x:row>
    <x:row r="999" ht="22" customHeight="1">
      <x:c r="A999" t="str">
        <x:v>Galvania Rezidencie</x:v>
      </x:c>
      <x:c r="B999" t="str">
        <x:v>B2.02</x:v>
      </x:c>
      <x:c r="C999" t="str">
        <x:v>coming_soon</x:v>
      </x:c>
      <x:c r="D999" t="str">
        <x:v>present</x:v>
      </x:c>
      <x:c r="E999" t="str">
        <x:v>baseline</x:v>
      </x:c>
      <x:c r="F999" s="11" t="n">
        <x:v>46249.4134212037</x:v>
      </x:c>
      <x:c r="G999" t="str">
        <x:v>Byt</x:v>
      </x:c>
      <x:c r="H999" s="12" t="n">
        <x:v>1</x:v>
      </x:c>
      <x:c r="I999" s="13" t="n">
        <x:v>2</x:v>
      </x:c>
      <x:c r="J999" t="str">
        <x:v>B</x:v>
      </x:c>
      <x:c r="K999" s="14" t="n">
        <x:v>37.13</x:v>
      </x:c>
      <x:c r="L999" s="14"/>
      <x:c r="M999" s="14"/>
      <x:c r="N999" s="14"/>
      <x:c r="O999" s="14"/>
      <x:c r="P999" s="14" t="n">
        <x:v>3.95</x:v>
      </x:c>
      <x:c r="Q999" s="14" t="n">
        <x:v>41.08</x:v>
      </x:c>
      <x:c r="R999" s="15"/>
      <x:c r="S999" s="15"/>
      <x:c r="T999" s="15"/>
      <x:c r="U999" s="16"/>
      <x:c r="V999" t="str">
        <x:v>Tatra Real</x:v>
      </x:c>
      <x:c r="W999" t="str">
        <x:v>Ružinov</x:v>
      </x:c>
      <x:c r="X999" s="11" t="str">
        <x:v>Čoskoro</x:v>
      </x:c>
      <x:c r="Y999" s="11" t="str">
        <x:v>https://www.galvania.sk/byty/mam-zaujem-o-byt-B2.02/</x:v>
      </x:c>
      <x:c r="Z999" s="11" t="n">
        <x:v>46249.4134212037</x:v>
      </x:c>
      <x:c r="AA999" s="11" t="n">
        <x:v>46254.51251577547</x:v>
      </x:c>
      <x:c r="AB999" s="11" t="n">
        <x:v>46254.51251577547</x:v>
      </x:c>
      <x:c r="AC999" t="str">
        <x:v>galvania_rezidencie</x:v>
      </x:c>
    </x:row>
    <x:row r="1000" ht="22" customHeight="1">
      <x:c r="A1000" t="str">
        <x:v>Galvania Rezidencie</x:v>
      </x:c>
      <x:c r="B1000" t="str">
        <x:v>B2.03</x:v>
      </x:c>
      <x:c r="C1000" t="str">
        <x:v>coming_soon</x:v>
      </x:c>
      <x:c r="D1000" t="str">
        <x:v>present</x:v>
      </x:c>
      <x:c r="E1000" t="str">
        <x:v>baseline</x:v>
      </x:c>
      <x:c r="F1000" s="11" t="n">
        <x:v>46249.4134212037</x:v>
      </x:c>
      <x:c r="G1000" t="str">
        <x:v>Byt</x:v>
      </x:c>
      <x:c r="H1000" s="12" t="n">
        <x:v>2</x:v>
      </x:c>
      <x:c r="I1000" s="13" t="n">
        <x:v>2</x:v>
      </x:c>
      <x:c r="J1000" t="str">
        <x:v>B</x:v>
      </x:c>
      <x:c r="K1000" s="14" t="n">
        <x:v>48.75</x:v>
      </x:c>
      <x:c r="L1000" s="14"/>
      <x:c r="M1000" s="14"/>
      <x:c r="N1000" s="14"/>
      <x:c r="O1000" s="14"/>
      <x:c r="P1000" s="14" t="n">
        <x:v>11.31</x:v>
      </x:c>
      <x:c r="Q1000" s="14" t="n">
        <x:v>60.06</x:v>
      </x:c>
      <x:c r="R1000" s="15"/>
      <x:c r="S1000" s="15"/>
      <x:c r="T1000" s="15"/>
      <x:c r="U1000" s="16"/>
      <x:c r="V1000" t="str">
        <x:v>Tatra Real</x:v>
      </x:c>
      <x:c r="W1000" t="str">
        <x:v>Ružinov</x:v>
      </x:c>
      <x:c r="X1000" s="11" t="str">
        <x:v>Čoskoro</x:v>
      </x:c>
      <x:c r="Y1000" s="11" t="str">
        <x:v>https://www.galvania.sk/byty/mam-zaujem-o-byt-B2.03/</x:v>
      </x:c>
      <x:c r="Z1000" s="11" t="n">
        <x:v>46249.4134212037</x:v>
      </x:c>
      <x:c r="AA1000" s="11" t="n">
        <x:v>46254.51251577547</x:v>
      </x:c>
      <x:c r="AB1000" s="11" t="n">
        <x:v>46254.51251577547</x:v>
      </x:c>
      <x:c r="AC1000" t="str">
        <x:v>galvania_rezidencie</x:v>
      </x:c>
    </x:row>
    <x:row r="1001" ht="22" customHeight="1">
      <x:c r="A1001" t="str">
        <x:v>Galvania Rezidencie</x:v>
      </x:c>
      <x:c r="B1001" t="str">
        <x:v>B2.04</x:v>
      </x:c>
      <x:c r="C1001" t="str">
        <x:v>coming_soon</x:v>
      </x:c>
      <x:c r="D1001" t="str">
        <x:v>present</x:v>
      </x:c>
      <x:c r="E1001" t="str">
        <x:v>baseline</x:v>
      </x:c>
      <x:c r="F1001" s="11" t="n">
        <x:v>46249.4134212037</x:v>
      </x:c>
      <x:c r="G1001" t="str">
        <x:v>Byt</x:v>
      </x:c>
      <x:c r="H1001" s="12" t="n">
        <x:v>3</x:v>
      </x:c>
      <x:c r="I1001" s="13" t="n">
        <x:v>2</x:v>
      </x:c>
      <x:c r="J1001" t="str">
        <x:v>B</x:v>
      </x:c>
      <x:c r="K1001" s="14" t="n">
        <x:v>64.09</x:v>
      </x:c>
      <x:c r="L1001" s="14"/>
      <x:c r="M1001" s="14"/>
      <x:c r="N1001" s="14"/>
      <x:c r="O1001" s="14"/>
      <x:c r="P1001" s="14" t="n">
        <x:v>21.25</x:v>
      </x:c>
      <x:c r="Q1001" s="14" t="n">
        <x:v>85.34</x:v>
      </x:c>
      <x:c r="R1001" s="15"/>
      <x:c r="S1001" s="15"/>
      <x:c r="T1001" s="15"/>
      <x:c r="U1001" s="16"/>
      <x:c r="V1001" t="str">
        <x:v>Tatra Real</x:v>
      </x:c>
      <x:c r="W1001" t="str">
        <x:v>Ružinov</x:v>
      </x:c>
      <x:c r="X1001" s="11" t="str">
        <x:v>Čoskoro</x:v>
      </x:c>
      <x:c r="Y1001" s="11" t="str">
        <x:v>https://www.galvania.sk/byty/mam-zaujem-o-byt-B2.04/</x:v>
      </x:c>
      <x:c r="Z1001" s="11" t="n">
        <x:v>46249.4134212037</x:v>
      </x:c>
      <x:c r="AA1001" s="11" t="n">
        <x:v>46254.51251577547</x:v>
      </x:c>
      <x:c r="AB1001" s="11" t="n">
        <x:v>46254.51251577547</x:v>
      </x:c>
      <x:c r="AC1001" t="str">
        <x:v>galvania_rezidencie</x:v>
      </x:c>
    </x:row>
    <x:row r="1002" ht="22" customHeight="1">
      <x:c r="A1002" t="str">
        <x:v>Galvania Rezidencie</x:v>
      </x:c>
      <x:c r="B1002" t="str">
        <x:v>B2.05</x:v>
      </x:c>
      <x:c r="C1002" t="str">
        <x:v>coming_soon</x:v>
      </x:c>
      <x:c r="D1002" t="str">
        <x:v>present</x:v>
      </x:c>
      <x:c r="E1002" t="str">
        <x:v>baseline</x:v>
      </x:c>
      <x:c r="F1002" s="11" t="n">
        <x:v>46249.4134212037</x:v>
      </x:c>
      <x:c r="G1002" t="str">
        <x:v>Byt</x:v>
      </x:c>
      <x:c r="H1002" s="12" t="n">
        <x:v>2</x:v>
      </x:c>
      <x:c r="I1002" s="13" t="n">
        <x:v>2</x:v>
      </x:c>
      <x:c r="J1002" t="str">
        <x:v>B</x:v>
      </x:c>
      <x:c r="K1002" s="14" t="n">
        <x:v>48.51</x:v>
      </x:c>
      <x:c r="L1002" s="14"/>
      <x:c r="M1002" s="14"/>
      <x:c r="N1002" s="14"/>
      <x:c r="O1002" s="14"/>
      <x:c r="P1002" s="14" t="n">
        <x:v>10.92</x:v>
      </x:c>
      <x:c r="Q1002" s="14" t="n">
        <x:v>59.43</x:v>
      </x:c>
      <x:c r="R1002" s="15"/>
      <x:c r="S1002" s="15"/>
      <x:c r="T1002" s="15"/>
      <x:c r="U1002" s="16"/>
      <x:c r="V1002" t="str">
        <x:v>Tatra Real</x:v>
      </x:c>
      <x:c r="W1002" t="str">
        <x:v>Ružinov</x:v>
      </x:c>
      <x:c r="X1002" s="11" t="str">
        <x:v>Čoskoro</x:v>
      </x:c>
      <x:c r="Y1002" s="11" t="str">
        <x:v>https://www.galvania.sk/byty/mam-zaujem-o-byt-B2.05/</x:v>
      </x:c>
      <x:c r="Z1002" s="11" t="n">
        <x:v>46249.4134212037</x:v>
      </x:c>
      <x:c r="AA1002" s="11" t="n">
        <x:v>46254.51251577547</x:v>
      </x:c>
      <x:c r="AB1002" s="11" t="n">
        <x:v>46254.51251577547</x:v>
      </x:c>
      <x:c r="AC1002" t="str">
        <x:v>galvania_rezidencie</x:v>
      </x:c>
    </x:row>
    <x:row r="1003" ht="22" customHeight="1">
      <x:c r="A1003" t="str">
        <x:v>Galvania Rezidencie</x:v>
      </x:c>
      <x:c r="B1003" t="str">
        <x:v>B2.06</x:v>
      </x:c>
      <x:c r="C1003" t="str">
        <x:v>coming_soon</x:v>
      </x:c>
      <x:c r="D1003" t="str">
        <x:v>present</x:v>
      </x:c>
      <x:c r="E1003" t="str">
        <x:v>baseline</x:v>
      </x:c>
      <x:c r="F1003" s="11" t="n">
        <x:v>46249.4134212037</x:v>
      </x:c>
      <x:c r="G1003" t="str">
        <x:v>Byt</x:v>
      </x:c>
      <x:c r="H1003" s="12" t="n">
        <x:v>2</x:v>
      </x:c>
      <x:c r="I1003" s="13" t="n">
        <x:v>2</x:v>
      </x:c>
      <x:c r="J1003" t="str">
        <x:v>B</x:v>
      </x:c>
      <x:c r="K1003" s="14" t="n">
        <x:v>48.51</x:v>
      </x:c>
      <x:c r="L1003" s="14"/>
      <x:c r="M1003" s="14"/>
      <x:c r="N1003" s="14"/>
      <x:c r="O1003" s="14"/>
      <x:c r="P1003" s="14" t="n">
        <x:v>10.92</x:v>
      </x:c>
      <x:c r="Q1003" s="14" t="n">
        <x:v>59.43</x:v>
      </x:c>
      <x:c r="R1003" s="15"/>
      <x:c r="S1003" s="15"/>
      <x:c r="T1003" s="15"/>
      <x:c r="U1003" s="16"/>
      <x:c r="V1003" t="str">
        <x:v>Tatra Real</x:v>
      </x:c>
      <x:c r="W1003" t="str">
        <x:v>Ružinov</x:v>
      </x:c>
      <x:c r="X1003" s="11" t="str">
        <x:v>Čoskoro</x:v>
      </x:c>
      <x:c r="Y1003" s="11" t="str">
        <x:v>https://www.galvania.sk/byty/mam-zaujem-o-byt-B2.06/</x:v>
      </x:c>
      <x:c r="Z1003" s="11" t="n">
        <x:v>46249.4134212037</x:v>
      </x:c>
      <x:c r="AA1003" s="11" t="n">
        <x:v>46254.51251577547</x:v>
      </x:c>
      <x:c r="AB1003" s="11" t="n">
        <x:v>46254.51251577547</x:v>
      </x:c>
      <x:c r="AC1003" t="str">
        <x:v>galvania_rezidencie</x:v>
      </x:c>
    </x:row>
    <x:row r="1004" ht="22" customHeight="1">
      <x:c r="A1004" t="str">
        <x:v>Galvania Rezidencie</x:v>
      </x:c>
      <x:c r="B1004" t="str">
        <x:v>B2.07</x:v>
      </x:c>
      <x:c r="C1004" t="str">
        <x:v>coming_soon</x:v>
      </x:c>
      <x:c r="D1004" t="str">
        <x:v>present</x:v>
      </x:c>
      <x:c r="E1004" t="str">
        <x:v>baseline</x:v>
      </x:c>
      <x:c r="F1004" s="11" t="n">
        <x:v>46249.4134212037</x:v>
      </x:c>
      <x:c r="G1004" t="str">
        <x:v>Byt</x:v>
      </x:c>
      <x:c r="H1004" s="12" t="n">
        <x:v>2</x:v>
      </x:c>
      <x:c r="I1004" s="13" t="n">
        <x:v>2</x:v>
      </x:c>
      <x:c r="J1004" t="str">
        <x:v>B</x:v>
      </x:c>
      <x:c r="K1004" s="14" t="n">
        <x:v>48.51</x:v>
      </x:c>
      <x:c r="L1004" s="14"/>
      <x:c r="M1004" s="14"/>
      <x:c r="N1004" s="14"/>
      <x:c r="O1004" s="14"/>
      <x:c r="P1004" s="14" t="n">
        <x:v>11.05</x:v>
      </x:c>
      <x:c r="Q1004" s="14" t="n">
        <x:v>59.56</x:v>
      </x:c>
      <x:c r="R1004" s="15"/>
      <x:c r="S1004" s="15"/>
      <x:c r="T1004" s="15"/>
      <x:c r="U1004" s="16"/>
      <x:c r="V1004" t="str">
        <x:v>Tatra Real</x:v>
      </x:c>
      <x:c r="W1004" t="str">
        <x:v>Ružinov</x:v>
      </x:c>
      <x:c r="X1004" s="11" t="str">
        <x:v>Čoskoro</x:v>
      </x:c>
      <x:c r="Y1004" s="11" t="str">
        <x:v>https://www.galvania.sk/byty/mam-zaujem-o-byt-B2.07/</x:v>
      </x:c>
      <x:c r="Z1004" s="11" t="n">
        <x:v>46249.4134212037</x:v>
      </x:c>
      <x:c r="AA1004" s="11" t="n">
        <x:v>46254.51251577547</x:v>
      </x:c>
      <x:c r="AB1004" s="11" t="n">
        <x:v>46254.51251577547</x:v>
      </x:c>
      <x:c r="AC1004" t="str">
        <x:v>galvania_rezidencie</x:v>
      </x:c>
    </x:row>
    <x:row r="1005" ht="22" customHeight="1">
      <x:c r="A1005" t="str">
        <x:v>Galvania Rezidencie</x:v>
      </x:c>
      <x:c r="B1005" t="str">
        <x:v>B2.08</x:v>
      </x:c>
      <x:c r="C1005" t="str">
        <x:v>coming_soon</x:v>
      </x:c>
      <x:c r="D1005" t="str">
        <x:v>present</x:v>
      </x:c>
      <x:c r="E1005" t="str">
        <x:v>baseline</x:v>
      </x:c>
      <x:c r="F1005" s="11" t="n">
        <x:v>46249.4134212037</x:v>
      </x:c>
      <x:c r="G1005" t="str">
        <x:v>Byt</x:v>
      </x:c>
      <x:c r="H1005" s="12" t="n">
        <x:v>2</x:v>
      </x:c>
      <x:c r="I1005" s="13" t="n">
        <x:v>2</x:v>
      </x:c>
      <x:c r="J1005" t="str">
        <x:v>B</x:v>
      </x:c>
      <x:c r="K1005" s="14" t="n">
        <x:v>48.51</x:v>
      </x:c>
      <x:c r="L1005" s="14"/>
      <x:c r="M1005" s="14"/>
      <x:c r="N1005" s="14"/>
      <x:c r="O1005" s="14"/>
      <x:c r="P1005" s="14" t="n">
        <x:v>10.9</x:v>
      </x:c>
      <x:c r="Q1005" s="14" t="n">
        <x:v>59.41</x:v>
      </x:c>
      <x:c r="R1005" s="15"/>
      <x:c r="S1005" s="15"/>
      <x:c r="T1005" s="15"/>
      <x:c r="U1005" s="16"/>
      <x:c r="V1005" t="str">
        <x:v>Tatra Real</x:v>
      </x:c>
      <x:c r="W1005" t="str">
        <x:v>Ružinov</x:v>
      </x:c>
      <x:c r="X1005" s="11" t="str">
        <x:v>Čoskoro</x:v>
      </x:c>
      <x:c r="Y1005" s="11" t="str">
        <x:v>https://www.galvania.sk/byty/mam-zaujem-o-byt-B2.08/</x:v>
      </x:c>
      <x:c r="Z1005" s="11" t="n">
        <x:v>46249.4134212037</x:v>
      </x:c>
      <x:c r="AA1005" s="11" t="n">
        <x:v>46254.51251577547</x:v>
      </x:c>
      <x:c r="AB1005" s="11" t="n">
        <x:v>46254.51251577547</x:v>
      </x:c>
      <x:c r="AC1005" t="str">
        <x:v>galvania_rezidencie</x:v>
      </x:c>
    </x:row>
    <x:row r="1006" ht="22" customHeight="1">
      <x:c r="A1006" t="str">
        <x:v>Galvania Rezidencie</x:v>
      </x:c>
      <x:c r="B1006" t="str">
        <x:v>B2.09</x:v>
      </x:c>
      <x:c r="C1006" t="str">
        <x:v>coming_soon</x:v>
      </x:c>
      <x:c r="D1006" t="str">
        <x:v>present</x:v>
      </x:c>
      <x:c r="E1006" t="str">
        <x:v>baseline</x:v>
      </x:c>
      <x:c r="F1006" s="11" t="n">
        <x:v>46249.4134212037</x:v>
      </x:c>
      <x:c r="G1006" t="str">
        <x:v>Byt</x:v>
      </x:c>
      <x:c r="H1006" s="12" t="n">
        <x:v>2</x:v>
      </x:c>
      <x:c r="I1006" s="13" t="n">
        <x:v>2</x:v>
      </x:c>
      <x:c r="J1006" t="str">
        <x:v>B</x:v>
      </x:c>
      <x:c r="K1006" s="14" t="n">
        <x:v>48.5</x:v>
      </x:c>
      <x:c r="L1006" s="14"/>
      <x:c r="M1006" s="14"/>
      <x:c r="N1006" s="14"/>
      <x:c r="O1006" s="14"/>
      <x:c r="P1006" s="14" t="n">
        <x:v>10.9</x:v>
      </x:c>
      <x:c r="Q1006" s="14" t="n">
        <x:v>59.4</x:v>
      </x:c>
      <x:c r="R1006" s="15"/>
      <x:c r="S1006" s="15"/>
      <x:c r="T1006" s="15"/>
      <x:c r="U1006" s="16"/>
      <x:c r="V1006" t="str">
        <x:v>Tatra Real</x:v>
      </x:c>
      <x:c r="W1006" t="str">
        <x:v>Ružinov</x:v>
      </x:c>
      <x:c r="X1006" s="11" t="str">
        <x:v>Čoskoro</x:v>
      </x:c>
      <x:c r="Y1006" s="11" t="str">
        <x:v>https://www.galvania.sk/byty/mam-zaujem-o-byt-B2.09/</x:v>
      </x:c>
      <x:c r="Z1006" s="11" t="n">
        <x:v>46249.4134212037</x:v>
      </x:c>
      <x:c r="AA1006" s="11" t="n">
        <x:v>46254.51251577547</x:v>
      </x:c>
      <x:c r="AB1006" s="11" t="n">
        <x:v>46254.51251577547</x:v>
      </x:c>
      <x:c r="AC1006" t="str">
        <x:v>galvania_rezidencie</x:v>
      </x:c>
    </x:row>
    <x:row r="1007" ht="22" customHeight="1">
      <x:c r="A1007" t="str">
        <x:v>Galvania Rezidencie</x:v>
      </x:c>
      <x:c r="B1007" t="str">
        <x:v>B2.10</x:v>
      </x:c>
      <x:c r="C1007" t="str">
        <x:v>coming_soon</x:v>
      </x:c>
      <x:c r="D1007" t="str">
        <x:v>present</x:v>
      </x:c>
      <x:c r="E1007" t="str">
        <x:v>baseline</x:v>
      </x:c>
      <x:c r="F1007" s="11" t="n">
        <x:v>46249.4134212037</x:v>
      </x:c>
      <x:c r="G1007" t="str">
        <x:v>Byt</x:v>
      </x:c>
      <x:c r="H1007" s="12" t="n">
        <x:v>2</x:v>
      </x:c>
      <x:c r="I1007" s="13" t="n">
        <x:v>2</x:v>
      </x:c>
      <x:c r="J1007" t="str">
        <x:v>B</x:v>
      </x:c>
      <x:c r="K1007" s="14" t="n">
        <x:v>48.51</x:v>
      </x:c>
      <x:c r="L1007" s="14"/>
      <x:c r="M1007" s="14"/>
      <x:c r="N1007" s="14"/>
      <x:c r="O1007" s="14"/>
      <x:c r="P1007" s="14" t="n">
        <x:v>11.11</x:v>
      </x:c>
      <x:c r="Q1007" s="14" t="n">
        <x:v>59.62</x:v>
      </x:c>
      <x:c r="R1007" s="15"/>
      <x:c r="S1007" s="15"/>
      <x:c r="T1007" s="15"/>
      <x:c r="U1007" s="16"/>
      <x:c r="V1007" t="str">
        <x:v>Tatra Real</x:v>
      </x:c>
      <x:c r="W1007" t="str">
        <x:v>Ružinov</x:v>
      </x:c>
      <x:c r="X1007" s="11" t="str">
        <x:v>Čoskoro</x:v>
      </x:c>
      <x:c r="Y1007" s="11" t="str">
        <x:v>https://www.galvania.sk/byty/mam-zaujem-o-byt-B2.10/</x:v>
      </x:c>
      <x:c r="Z1007" s="11" t="n">
        <x:v>46249.4134212037</x:v>
      </x:c>
      <x:c r="AA1007" s="11" t="n">
        <x:v>46254.51251577547</x:v>
      </x:c>
      <x:c r="AB1007" s="11" t="n">
        <x:v>46254.51251577547</x:v>
      </x:c>
      <x:c r="AC1007" t="str">
        <x:v>galvania_rezidencie</x:v>
      </x:c>
    </x:row>
    <x:row r="1008" ht="22" customHeight="1">
      <x:c r="A1008" t="str">
        <x:v>Galvania Rezidencie</x:v>
      </x:c>
      <x:c r="B1008" t="str">
        <x:v>B2.11</x:v>
      </x:c>
      <x:c r="C1008" t="str">
        <x:v>coming_soon</x:v>
      </x:c>
      <x:c r="D1008" t="str">
        <x:v>present</x:v>
      </x:c>
      <x:c r="E1008" t="str">
        <x:v>baseline</x:v>
      </x:c>
      <x:c r="F1008" s="11" t="n">
        <x:v>46249.4134212037</x:v>
      </x:c>
      <x:c r="G1008" t="str">
        <x:v>Apartmán</x:v>
      </x:c>
      <x:c r="H1008" s="12" t="n">
        <x:v>2</x:v>
      </x:c>
      <x:c r="I1008" s="13" t="n">
        <x:v>2</x:v>
      </x:c>
      <x:c r="J1008" t="str">
        <x:v>B</x:v>
      </x:c>
      <x:c r="K1008" s="14" t="n">
        <x:v>52.5</x:v>
      </x:c>
      <x:c r="L1008" s="14"/>
      <x:c r="M1008" s="14"/>
      <x:c r="N1008" s="14"/>
      <x:c r="O1008" s="14"/>
      <x:c r="P1008" s="14" t="n">
        <x:v>9.88</x:v>
      </x:c>
      <x:c r="Q1008" s="14" t="n">
        <x:v>62.38</x:v>
      </x:c>
      <x:c r="R1008" s="15"/>
      <x:c r="S1008" s="15"/>
      <x:c r="T1008" s="15"/>
      <x:c r="U1008" s="16"/>
      <x:c r="V1008" t="str">
        <x:v>Tatra Real</x:v>
      </x:c>
      <x:c r="W1008" t="str">
        <x:v>Ružinov</x:v>
      </x:c>
      <x:c r="X1008" s="11" t="str">
        <x:v>Čoskoro</x:v>
      </x:c>
      <x:c r="Y1008" s="11" t="str">
        <x:v>https://www.galvania.sk/byty/mam-zaujem-o-byt-B2.11/</x:v>
      </x:c>
      <x:c r="Z1008" s="11" t="n">
        <x:v>46249.4134212037</x:v>
      </x:c>
      <x:c r="AA1008" s="11" t="n">
        <x:v>46254.51251577547</x:v>
      </x:c>
      <x:c r="AB1008" s="11" t="n">
        <x:v>46254.51251577547</x:v>
      </x:c>
      <x:c r="AC1008" t="str">
        <x:v>galvania_rezidencie</x:v>
      </x:c>
    </x:row>
    <x:row r="1009" ht="22" customHeight="1">
      <x:c r="A1009" t="str">
        <x:v>Galvania Rezidencie</x:v>
      </x:c>
      <x:c r="B1009" t="str">
        <x:v>B2.12</x:v>
      </x:c>
      <x:c r="C1009" t="str">
        <x:v>coming_soon</x:v>
      </x:c>
      <x:c r="D1009" t="str">
        <x:v>present</x:v>
      </x:c>
      <x:c r="E1009" t="str">
        <x:v>baseline</x:v>
      </x:c>
      <x:c r="F1009" s="11" t="n">
        <x:v>46249.4134212037</x:v>
      </x:c>
      <x:c r="G1009" t="str">
        <x:v>Byt</x:v>
      </x:c>
      <x:c r="H1009" s="12" t="n">
        <x:v>2</x:v>
      </x:c>
      <x:c r="I1009" s="13" t="n">
        <x:v>2</x:v>
      </x:c>
      <x:c r="J1009" t="str">
        <x:v>B</x:v>
      </x:c>
      <x:c r="K1009" s="14" t="n">
        <x:v>53.63</x:v>
      </x:c>
      <x:c r="L1009" s="14"/>
      <x:c r="M1009" s="14"/>
      <x:c r="N1009" s="14"/>
      <x:c r="O1009" s="14"/>
      <x:c r="P1009" s="14" t="n">
        <x:v>5.16</x:v>
      </x:c>
      <x:c r="Q1009" s="14" t="n">
        <x:v>58.79</x:v>
      </x:c>
      <x:c r="R1009" s="15"/>
      <x:c r="S1009" s="15"/>
      <x:c r="T1009" s="15"/>
      <x:c r="U1009" s="16"/>
      <x:c r="V1009" t="str">
        <x:v>Tatra Real</x:v>
      </x:c>
      <x:c r="W1009" t="str">
        <x:v>Ružinov</x:v>
      </x:c>
      <x:c r="X1009" s="11" t="str">
        <x:v>Čoskoro</x:v>
      </x:c>
      <x:c r="Y1009" s="11" t="str">
        <x:v>https://www.galvania.sk/byty/mam-zaujem-o-byt-B2.12/</x:v>
      </x:c>
      <x:c r="Z1009" s="11" t="n">
        <x:v>46249.4134212037</x:v>
      </x:c>
      <x:c r="AA1009" s="11" t="n">
        <x:v>46254.51251577547</x:v>
      </x:c>
      <x:c r="AB1009" s="11" t="n">
        <x:v>46254.51251577547</x:v>
      </x:c>
      <x:c r="AC1009" t="str">
        <x:v>galvania_rezidencie</x:v>
      </x:c>
    </x:row>
    <x:row r="1010" ht="22" customHeight="1">
      <x:c r="A1010" t="str">
        <x:v>Galvania Rezidencie</x:v>
      </x:c>
      <x:c r="B1010" t="str">
        <x:v>B2.13</x:v>
      </x:c>
      <x:c r="C1010" t="str">
        <x:v>coming_soon</x:v>
      </x:c>
      <x:c r="D1010" t="str">
        <x:v>present</x:v>
      </x:c>
      <x:c r="E1010" t="str">
        <x:v>baseline</x:v>
      </x:c>
      <x:c r="F1010" s="11" t="n">
        <x:v>46249.4134212037</x:v>
      </x:c>
      <x:c r="G1010" t="str">
        <x:v>Byt</x:v>
      </x:c>
      <x:c r="H1010" s="12" t="n">
        <x:v>2</x:v>
      </x:c>
      <x:c r="I1010" s="13" t="n">
        <x:v>2</x:v>
      </x:c>
      <x:c r="J1010" t="str">
        <x:v>B</x:v>
      </x:c>
      <x:c r="K1010" s="14" t="n">
        <x:v>48.99</x:v>
      </x:c>
      <x:c r="L1010" s="14"/>
      <x:c r="M1010" s="14"/>
      <x:c r="N1010" s="14"/>
      <x:c r="O1010" s="14"/>
      <x:c r="P1010" s="14" t="n">
        <x:v>10.72</x:v>
      </x:c>
      <x:c r="Q1010" s="14" t="n">
        <x:v>59.71</x:v>
      </x:c>
      <x:c r="R1010" s="15"/>
      <x:c r="S1010" s="15"/>
      <x:c r="T1010" s="15"/>
      <x:c r="U1010" s="16"/>
      <x:c r="V1010" t="str">
        <x:v>Tatra Real</x:v>
      </x:c>
      <x:c r="W1010" t="str">
        <x:v>Ružinov</x:v>
      </x:c>
      <x:c r="X1010" s="11" t="str">
        <x:v>Čoskoro</x:v>
      </x:c>
      <x:c r="Y1010" s="11" t="str">
        <x:v>https://www.galvania.sk/byty/mam-zaujem-o-byt-B2.13/</x:v>
      </x:c>
      <x:c r="Z1010" s="11" t="n">
        <x:v>46249.4134212037</x:v>
      </x:c>
      <x:c r="AA1010" s="11" t="n">
        <x:v>46254.51251577547</x:v>
      </x:c>
      <x:c r="AB1010" s="11" t="n">
        <x:v>46254.51251577547</x:v>
      </x:c>
      <x:c r="AC1010" t="str">
        <x:v>galvania_rezidencie</x:v>
      </x:c>
    </x:row>
    <x:row r="1011" ht="22" customHeight="1">
      <x:c r="A1011" t="str">
        <x:v>Galvania Rezidencie</x:v>
      </x:c>
      <x:c r="B1011" t="str">
        <x:v>B2.14</x:v>
      </x:c>
      <x:c r="C1011" t="str">
        <x:v>coming_soon</x:v>
      </x:c>
      <x:c r="D1011" t="str">
        <x:v>present</x:v>
      </x:c>
      <x:c r="E1011" t="str">
        <x:v>baseline</x:v>
      </x:c>
      <x:c r="F1011" s="11" t="n">
        <x:v>46249.4134212037</x:v>
      </x:c>
      <x:c r="G1011" t="str">
        <x:v>Byt</x:v>
      </x:c>
      <x:c r="H1011" s="12" t="n">
        <x:v>2</x:v>
      </x:c>
      <x:c r="I1011" s="13" t="n">
        <x:v>2</x:v>
      </x:c>
      <x:c r="J1011" t="str">
        <x:v>B</x:v>
      </x:c>
      <x:c r="K1011" s="14" t="n">
        <x:v>49.5</x:v>
      </x:c>
      <x:c r="L1011" s="14"/>
      <x:c r="M1011" s="14"/>
      <x:c r="N1011" s="14"/>
      <x:c r="O1011" s="14"/>
      <x:c r="P1011" s="14" t="n">
        <x:v>10.73</x:v>
      </x:c>
      <x:c r="Q1011" s="14" t="n">
        <x:v>60.23</x:v>
      </x:c>
      <x:c r="R1011" s="15"/>
      <x:c r="S1011" s="15"/>
      <x:c r="T1011" s="15"/>
      <x:c r="U1011" s="16"/>
      <x:c r="V1011" t="str">
        <x:v>Tatra Real</x:v>
      </x:c>
      <x:c r="W1011" t="str">
        <x:v>Ružinov</x:v>
      </x:c>
      <x:c r="X1011" s="11" t="str">
        <x:v>Čoskoro</x:v>
      </x:c>
      <x:c r="Y1011" s="11" t="str">
        <x:v>https://www.galvania.sk/byty/mam-zaujem-o-byt-B2.14/</x:v>
      </x:c>
      <x:c r="Z1011" s="11" t="n">
        <x:v>46249.4134212037</x:v>
      </x:c>
      <x:c r="AA1011" s="11" t="n">
        <x:v>46254.51251577547</x:v>
      </x:c>
      <x:c r="AB1011" s="11" t="n">
        <x:v>46254.51251577547</x:v>
      </x:c>
      <x:c r="AC1011" t="str">
        <x:v>galvania_rezidencie</x:v>
      </x:c>
    </x:row>
    <x:row r="1012" ht="22" customHeight="1">
      <x:c r="A1012" t="str">
        <x:v>Galvania Rezidencie</x:v>
      </x:c>
      <x:c r="B1012" t="str">
        <x:v>B2.15</x:v>
      </x:c>
      <x:c r="C1012" t="str">
        <x:v>coming_soon</x:v>
      </x:c>
      <x:c r="D1012" t="str">
        <x:v>present</x:v>
      </x:c>
      <x:c r="E1012" t="str">
        <x:v>baseline</x:v>
      </x:c>
      <x:c r="F1012" s="11" t="n">
        <x:v>46249.4134212037</x:v>
      </x:c>
      <x:c r="G1012" t="str">
        <x:v>Byt</x:v>
      </x:c>
      <x:c r="H1012" s="12" t="n">
        <x:v>2</x:v>
      </x:c>
      <x:c r="I1012" s="13" t="n">
        <x:v>2</x:v>
      </x:c>
      <x:c r="J1012" t="str">
        <x:v>B</x:v>
      </x:c>
      <x:c r="K1012" s="14" t="n">
        <x:v>49.5</x:v>
      </x:c>
      <x:c r="L1012" s="14"/>
      <x:c r="M1012" s="14"/>
      <x:c r="N1012" s="14"/>
      <x:c r="O1012" s="14"/>
      <x:c r="P1012" s="14" t="n">
        <x:v>5.57</x:v>
      </x:c>
      <x:c r="Q1012" s="14" t="n">
        <x:v>55.07</x:v>
      </x:c>
      <x:c r="R1012" s="15"/>
      <x:c r="S1012" s="15"/>
      <x:c r="T1012" s="15"/>
      <x:c r="U1012" s="16"/>
      <x:c r="V1012" t="str">
        <x:v>Tatra Real</x:v>
      </x:c>
      <x:c r="W1012" t="str">
        <x:v>Ružinov</x:v>
      </x:c>
      <x:c r="X1012" s="11" t="str">
        <x:v>Čoskoro</x:v>
      </x:c>
      <x:c r="Y1012" s="11" t="str">
        <x:v>https://www.galvania.sk/byty/mam-zaujem-o-byt-B2.15/</x:v>
      </x:c>
      <x:c r="Z1012" s="11" t="n">
        <x:v>46249.4134212037</x:v>
      </x:c>
      <x:c r="AA1012" s="11" t="n">
        <x:v>46254.51251577547</x:v>
      </x:c>
      <x:c r="AB1012" s="11" t="n">
        <x:v>46254.51251577547</x:v>
      </x:c>
      <x:c r="AC1012" t="str">
        <x:v>galvania_rezidencie</x:v>
      </x:c>
    </x:row>
    <x:row r="1013" ht="22" customHeight="1">
      <x:c r="A1013" t="str">
        <x:v>Galvania Rezidencie</x:v>
      </x:c>
      <x:c r="B1013" t="str">
        <x:v>B2.16</x:v>
      </x:c>
      <x:c r="C1013" t="str">
        <x:v>coming_soon</x:v>
      </x:c>
      <x:c r="D1013" t="str">
        <x:v>present</x:v>
      </x:c>
      <x:c r="E1013" t="str">
        <x:v>baseline</x:v>
      </x:c>
      <x:c r="F1013" s="11" t="n">
        <x:v>46249.4134212037</x:v>
      </x:c>
      <x:c r="G1013" t="str">
        <x:v>Byt</x:v>
      </x:c>
      <x:c r="H1013" s="12" t="n">
        <x:v>2</x:v>
      </x:c>
      <x:c r="I1013" s="13" t="n">
        <x:v>2</x:v>
      </x:c>
      <x:c r="J1013" t="str">
        <x:v>B</x:v>
      </x:c>
      <x:c r="K1013" s="14" t="n">
        <x:v>49.5</x:v>
      </x:c>
      <x:c r="L1013" s="14"/>
      <x:c r="M1013" s="14"/>
      <x:c r="N1013" s="14"/>
      <x:c r="O1013" s="14"/>
      <x:c r="P1013" s="14" t="n">
        <x:v>3.57</x:v>
      </x:c>
      <x:c r="Q1013" s="14" t="n">
        <x:v>53.07</x:v>
      </x:c>
      <x:c r="R1013" s="15"/>
      <x:c r="S1013" s="15"/>
      <x:c r="T1013" s="15"/>
      <x:c r="U1013" s="16"/>
      <x:c r="V1013" t="str">
        <x:v>Tatra Real</x:v>
      </x:c>
      <x:c r="W1013" t="str">
        <x:v>Ružinov</x:v>
      </x:c>
      <x:c r="X1013" s="11" t="str">
        <x:v>Čoskoro</x:v>
      </x:c>
      <x:c r="Y1013" s="11" t="str">
        <x:v>https://www.galvania.sk/byty/mam-zaujem-o-byt-B2.16/</x:v>
      </x:c>
      <x:c r="Z1013" s="11" t="n">
        <x:v>46249.4134212037</x:v>
      </x:c>
      <x:c r="AA1013" s="11" t="n">
        <x:v>46254.51251577547</x:v>
      </x:c>
      <x:c r="AB1013" s="11" t="n">
        <x:v>46254.51251577547</x:v>
      </x:c>
      <x:c r="AC1013" t="str">
        <x:v>galvania_rezidencie</x:v>
      </x:c>
    </x:row>
    <x:row r="1014" ht="22" customHeight="1">
      <x:c r="A1014" t="str">
        <x:v>Galvania Rezidencie</x:v>
      </x:c>
      <x:c r="B1014" t="str">
        <x:v>B3.01</x:v>
      </x:c>
      <x:c r="C1014" t="str">
        <x:v>coming_soon</x:v>
      </x:c>
      <x:c r="D1014" t="str">
        <x:v>present</x:v>
      </x:c>
      <x:c r="E1014" t="str">
        <x:v>baseline</x:v>
      </x:c>
      <x:c r="F1014" s="11" t="n">
        <x:v>46249.4134212037</x:v>
      </x:c>
      <x:c r="G1014" t="str">
        <x:v>Byt</x:v>
      </x:c>
      <x:c r="H1014" s="12" t="n">
        <x:v>2</x:v>
      </x:c>
      <x:c r="I1014" s="13" t="n">
        <x:v>3</x:v>
      </x:c>
      <x:c r="J1014" t="str">
        <x:v>B</x:v>
      </x:c>
      <x:c r="K1014" s="14" t="n">
        <x:v>49.06</x:v>
      </x:c>
      <x:c r="L1014" s="14"/>
      <x:c r="M1014" s="14"/>
      <x:c r="N1014" s="14"/>
      <x:c r="O1014" s="14"/>
      <x:c r="P1014" s="14" t="n">
        <x:v>6.53</x:v>
      </x:c>
      <x:c r="Q1014" s="14" t="n">
        <x:v>55.59</x:v>
      </x:c>
      <x:c r="R1014" s="15"/>
      <x:c r="S1014" s="15"/>
      <x:c r="T1014" s="15"/>
      <x:c r="U1014" s="16"/>
      <x:c r="V1014" t="str">
        <x:v>Tatra Real</x:v>
      </x:c>
      <x:c r="W1014" t="str">
        <x:v>Ružinov</x:v>
      </x:c>
      <x:c r="X1014" s="11" t="str">
        <x:v>Čoskoro</x:v>
      </x:c>
      <x:c r="Y1014" s="11" t="str">
        <x:v>https://www.galvania.sk/byty/mam-zaujem-o-byt-B3.01/</x:v>
      </x:c>
      <x:c r="Z1014" s="11" t="n">
        <x:v>46249.4134212037</x:v>
      </x:c>
      <x:c r="AA1014" s="11" t="n">
        <x:v>46254.51251577547</x:v>
      </x:c>
      <x:c r="AB1014" s="11" t="n">
        <x:v>46254.51251577547</x:v>
      </x:c>
      <x:c r="AC1014" t="str">
        <x:v>galvania_rezidencie</x:v>
      </x:c>
    </x:row>
    <x:row r="1015" ht="22" customHeight="1">
      <x:c r="A1015" t="str">
        <x:v>Galvania Rezidencie</x:v>
      </x:c>
      <x:c r="B1015" t="str">
        <x:v>B3.02</x:v>
      </x:c>
      <x:c r="C1015" t="str">
        <x:v>coming_soon</x:v>
      </x:c>
      <x:c r="D1015" t="str">
        <x:v>present</x:v>
      </x:c>
      <x:c r="E1015" t="str">
        <x:v>baseline</x:v>
      </x:c>
      <x:c r="F1015" s="11" t="n">
        <x:v>46249.4134212037</x:v>
      </x:c>
      <x:c r="G1015" t="str">
        <x:v>Byt</x:v>
      </x:c>
      <x:c r="H1015" s="12" t="n">
        <x:v>1</x:v>
      </x:c>
      <x:c r="I1015" s="13" t="n">
        <x:v>3</x:v>
      </x:c>
      <x:c r="J1015" t="str">
        <x:v>B</x:v>
      </x:c>
      <x:c r="K1015" s="14" t="n">
        <x:v>37.16</x:v>
      </x:c>
      <x:c r="L1015" s="14"/>
      <x:c r="M1015" s="14"/>
      <x:c r="N1015" s="14"/>
      <x:c r="O1015" s="14"/>
      <x:c r="P1015" s="14" t="n">
        <x:v>3.95</x:v>
      </x:c>
      <x:c r="Q1015" s="14" t="n">
        <x:v>41.11</x:v>
      </x:c>
      <x:c r="R1015" s="15"/>
      <x:c r="S1015" s="15"/>
      <x:c r="T1015" s="15"/>
      <x:c r="U1015" s="16"/>
      <x:c r="V1015" t="str">
        <x:v>Tatra Real</x:v>
      </x:c>
      <x:c r="W1015" t="str">
        <x:v>Ružinov</x:v>
      </x:c>
      <x:c r="X1015" s="11" t="str">
        <x:v>Čoskoro</x:v>
      </x:c>
      <x:c r="Y1015" s="11" t="str">
        <x:v>https://www.galvania.sk/byty/mam-zaujem-o-byt-B3.02/</x:v>
      </x:c>
      <x:c r="Z1015" s="11" t="n">
        <x:v>46249.4134212037</x:v>
      </x:c>
      <x:c r="AA1015" s="11" t="n">
        <x:v>46254.51251577547</x:v>
      </x:c>
      <x:c r="AB1015" s="11" t="n">
        <x:v>46254.51251577547</x:v>
      </x:c>
      <x:c r="AC1015" t="str">
        <x:v>galvania_rezidencie</x:v>
      </x:c>
    </x:row>
    <x:row r="1016" ht="22" customHeight="1">
      <x:c r="A1016" t="str">
        <x:v>Galvania Rezidencie</x:v>
      </x:c>
      <x:c r="B1016" t="str">
        <x:v>B3.03</x:v>
      </x:c>
      <x:c r="C1016" t="str">
        <x:v>coming_soon</x:v>
      </x:c>
      <x:c r="D1016" t="str">
        <x:v>present</x:v>
      </x:c>
      <x:c r="E1016" t="str">
        <x:v>baseline</x:v>
      </x:c>
      <x:c r="F1016" s="11" t="n">
        <x:v>46249.4134212037</x:v>
      </x:c>
      <x:c r="G1016" t="str">
        <x:v>Byt</x:v>
      </x:c>
      <x:c r="H1016" s="12" t="n">
        <x:v>2</x:v>
      </x:c>
      <x:c r="I1016" s="13" t="n">
        <x:v>3</x:v>
      </x:c>
      <x:c r="J1016" t="str">
        <x:v>B</x:v>
      </x:c>
      <x:c r="K1016" s="14" t="n">
        <x:v>48.74</x:v>
      </x:c>
      <x:c r="L1016" s="14"/>
      <x:c r="M1016" s="14"/>
      <x:c r="N1016" s="14"/>
      <x:c r="O1016" s="14"/>
      <x:c r="P1016" s="14" t="n">
        <x:v>11.31</x:v>
      </x:c>
      <x:c r="Q1016" s="14" t="n">
        <x:v>60.05</x:v>
      </x:c>
      <x:c r="R1016" s="15"/>
      <x:c r="S1016" s="15"/>
      <x:c r="T1016" s="15"/>
      <x:c r="U1016" s="16"/>
      <x:c r="V1016" t="str">
        <x:v>Tatra Real</x:v>
      </x:c>
      <x:c r="W1016" t="str">
        <x:v>Ružinov</x:v>
      </x:c>
      <x:c r="X1016" s="11" t="str">
        <x:v>Čoskoro</x:v>
      </x:c>
      <x:c r="Y1016" s="11" t="str">
        <x:v>https://www.galvania.sk/byty/mam-zaujem-o-byt-B3.03/</x:v>
      </x:c>
      <x:c r="Z1016" s="11" t="n">
        <x:v>46249.4134212037</x:v>
      </x:c>
      <x:c r="AA1016" s="11" t="n">
        <x:v>46254.51251577547</x:v>
      </x:c>
      <x:c r="AB1016" s="11" t="n">
        <x:v>46254.51251577547</x:v>
      </x:c>
      <x:c r="AC1016" t="str">
        <x:v>galvania_rezidencie</x:v>
      </x:c>
    </x:row>
    <x:row r="1017" ht="22" customHeight="1">
      <x:c r="A1017" t="str">
        <x:v>Galvania Rezidencie</x:v>
      </x:c>
      <x:c r="B1017" t="str">
        <x:v>B3.04</x:v>
      </x:c>
      <x:c r="C1017" t="str">
        <x:v>coming_soon</x:v>
      </x:c>
      <x:c r="D1017" t="str">
        <x:v>present</x:v>
      </x:c>
      <x:c r="E1017" t="str">
        <x:v>baseline</x:v>
      </x:c>
      <x:c r="F1017" s="11" t="n">
        <x:v>46249.4134212037</x:v>
      </x:c>
      <x:c r="G1017" t="str">
        <x:v>Byt</x:v>
      </x:c>
      <x:c r="H1017" s="12" t="n">
        <x:v>3</x:v>
      </x:c>
      <x:c r="I1017" s="13" t="n">
        <x:v>3</x:v>
      </x:c>
      <x:c r="J1017" t="str">
        <x:v>B</x:v>
      </x:c>
      <x:c r="K1017" s="14" t="n">
        <x:v>64.1</x:v>
      </x:c>
      <x:c r="L1017" s="14"/>
      <x:c r="M1017" s="14"/>
      <x:c r="N1017" s="14"/>
      <x:c r="O1017" s="14"/>
      <x:c r="P1017" s="14" t="n">
        <x:v>21.25</x:v>
      </x:c>
      <x:c r="Q1017" s="14" t="n">
        <x:v>85.35</x:v>
      </x:c>
      <x:c r="R1017" s="15"/>
      <x:c r="S1017" s="15"/>
      <x:c r="T1017" s="15"/>
      <x:c r="U1017" s="16"/>
      <x:c r="V1017" t="str">
        <x:v>Tatra Real</x:v>
      </x:c>
      <x:c r="W1017" t="str">
        <x:v>Ružinov</x:v>
      </x:c>
      <x:c r="X1017" s="11" t="str">
        <x:v>Čoskoro</x:v>
      </x:c>
      <x:c r="Y1017" s="11" t="str">
        <x:v>https://www.galvania.sk/byty/mam-zaujem-o-byt-B3.04/</x:v>
      </x:c>
      <x:c r="Z1017" s="11" t="n">
        <x:v>46249.4134212037</x:v>
      </x:c>
      <x:c r="AA1017" s="11" t="n">
        <x:v>46254.51251577547</x:v>
      </x:c>
      <x:c r="AB1017" s="11" t="n">
        <x:v>46254.51251577547</x:v>
      </x:c>
      <x:c r="AC1017" t="str">
        <x:v>galvania_rezidencie</x:v>
      </x:c>
    </x:row>
    <x:row r="1018" ht="22" customHeight="1">
      <x:c r="A1018" t="str">
        <x:v>Galvania Rezidencie</x:v>
      </x:c>
      <x:c r="B1018" t="str">
        <x:v>B3.05</x:v>
      </x:c>
      <x:c r="C1018" t="str">
        <x:v>coming_soon</x:v>
      </x:c>
      <x:c r="D1018" t="str">
        <x:v>present</x:v>
      </x:c>
      <x:c r="E1018" t="str">
        <x:v>baseline</x:v>
      </x:c>
      <x:c r="F1018" s="11" t="n">
        <x:v>46249.4134212037</x:v>
      </x:c>
      <x:c r="G1018" t="str">
        <x:v>Byt</x:v>
      </x:c>
      <x:c r="H1018" s="12" t="n">
        <x:v>2</x:v>
      </x:c>
      <x:c r="I1018" s="13" t="n">
        <x:v>3</x:v>
      </x:c>
      <x:c r="J1018" t="str">
        <x:v>B</x:v>
      </x:c>
      <x:c r="K1018" s="14" t="n">
        <x:v>48.01</x:v>
      </x:c>
      <x:c r="L1018" s="14"/>
      <x:c r="M1018" s="14"/>
      <x:c r="N1018" s="14"/>
      <x:c r="O1018" s="14"/>
      <x:c r="P1018" s="14" t="n">
        <x:v>10.92</x:v>
      </x:c>
      <x:c r="Q1018" s="14" t="n">
        <x:v>58.93</x:v>
      </x:c>
      <x:c r="R1018" s="15"/>
      <x:c r="S1018" s="15"/>
      <x:c r="T1018" s="15"/>
      <x:c r="U1018" s="16"/>
      <x:c r="V1018" t="str">
        <x:v>Tatra Real</x:v>
      </x:c>
      <x:c r="W1018" t="str">
        <x:v>Ružinov</x:v>
      </x:c>
      <x:c r="X1018" s="11" t="str">
        <x:v>Čoskoro</x:v>
      </x:c>
      <x:c r="Y1018" s="11" t="str">
        <x:v>https://www.galvania.sk/byty/mam-zaujem-o-byt-B3.05/</x:v>
      </x:c>
      <x:c r="Z1018" s="11" t="n">
        <x:v>46249.4134212037</x:v>
      </x:c>
      <x:c r="AA1018" s="11" t="n">
        <x:v>46254.51251577547</x:v>
      </x:c>
      <x:c r="AB1018" s="11" t="n">
        <x:v>46254.51251577547</x:v>
      </x:c>
      <x:c r="AC1018" t="str">
        <x:v>galvania_rezidencie</x:v>
      </x:c>
    </x:row>
    <x:row r="1019" ht="22" customHeight="1">
      <x:c r="A1019" t="str">
        <x:v>Galvania Rezidencie</x:v>
      </x:c>
      <x:c r="B1019" t="str">
        <x:v>B3.06</x:v>
      </x:c>
      <x:c r="C1019" t="str">
        <x:v>coming_soon</x:v>
      </x:c>
      <x:c r="D1019" t="str">
        <x:v>present</x:v>
      </x:c>
      <x:c r="E1019" t="str">
        <x:v>baseline</x:v>
      </x:c>
      <x:c r="F1019" s="11" t="n">
        <x:v>46249.4134212037</x:v>
      </x:c>
      <x:c r="G1019" t="str">
        <x:v>Byt</x:v>
      </x:c>
      <x:c r="H1019" s="12" t="n">
        <x:v>2</x:v>
      </x:c>
      <x:c r="I1019" s="13" t="n">
        <x:v>3</x:v>
      </x:c>
      <x:c r="J1019" t="str">
        <x:v>B</x:v>
      </x:c>
      <x:c r="K1019" s="14" t="n">
        <x:v>48.01</x:v>
      </x:c>
      <x:c r="L1019" s="14"/>
      <x:c r="M1019" s="14"/>
      <x:c r="N1019" s="14"/>
      <x:c r="O1019" s="14"/>
      <x:c r="P1019" s="14" t="n">
        <x:v>10.92</x:v>
      </x:c>
      <x:c r="Q1019" s="14" t="n">
        <x:v>58.93</x:v>
      </x:c>
      <x:c r="R1019" s="15"/>
      <x:c r="S1019" s="15"/>
      <x:c r="T1019" s="15"/>
      <x:c r="U1019" s="16"/>
      <x:c r="V1019" t="str">
        <x:v>Tatra Real</x:v>
      </x:c>
      <x:c r="W1019" t="str">
        <x:v>Ružinov</x:v>
      </x:c>
      <x:c r="X1019" s="11" t="str">
        <x:v>Čoskoro</x:v>
      </x:c>
      <x:c r="Y1019" s="11" t="str">
        <x:v>https://www.galvania.sk/byty/mam-zaujem-o-byt-B3.06/</x:v>
      </x:c>
      <x:c r="Z1019" s="11" t="n">
        <x:v>46249.4134212037</x:v>
      </x:c>
      <x:c r="AA1019" s="11" t="n">
        <x:v>46254.51251577547</x:v>
      </x:c>
      <x:c r="AB1019" s="11" t="n">
        <x:v>46254.51251577547</x:v>
      </x:c>
      <x:c r="AC1019" t="str">
        <x:v>galvania_rezidencie</x:v>
      </x:c>
    </x:row>
    <x:row r="1020" ht="22" customHeight="1">
      <x:c r="A1020" t="str">
        <x:v>Galvania Rezidencie</x:v>
      </x:c>
      <x:c r="B1020" t="str">
        <x:v>B3.07</x:v>
      </x:c>
      <x:c r="C1020" t="str">
        <x:v>coming_soon</x:v>
      </x:c>
      <x:c r="D1020" t="str">
        <x:v>present</x:v>
      </x:c>
      <x:c r="E1020" t="str">
        <x:v>baseline</x:v>
      </x:c>
      <x:c r="F1020" s="11" t="n">
        <x:v>46249.4134212037</x:v>
      </x:c>
      <x:c r="G1020" t="str">
        <x:v>Byt</x:v>
      </x:c>
      <x:c r="H1020" s="12" t="n">
        <x:v>2</x:v>
      </x:c>
      <x:c r="I1020" s="13" t="n">
        <x:v>3</x:v>
      </x:c>
      <x:c r="J1020" t="str">
        <x:v>B</x:v>
      </x:c>
      <x:c r="K1020" s="14" t="n">
        <x:v>48.01</x:v>
      </x:c>
      <x:c r="L1020" s="14"/>
      <x:c r="M1020" s="14"/>
      <x:c r="N1020" s="14"/>
      <x:c r="O1020" s="14"/>
      <x:c r="P1020" s="14" t="n">
        <x:v>11.05</x:v>
      </x:c>
      <x:c r="Q1020" s="14" t="n">
        <x:v>59.06</x:v>
      </x:c>
      <x:c r="R1020" s="15"/>
      <x:c r="S1020" s="15"/>
      <x:c r="T1020" s="15"/>
      <x:c r="U1020" s="16"/>
      <x:c r="V1020" t="str">
        <x:v>Tatra Real</x:v>
      </x:c>
      <x:c r="W1020" t="str">
        <x:v>Ružinov</x:v>
      </x:c>
      <x:c r="X1020" s="11" t="str">
        <x:v>Čoskoro</x:v>
      </x:c>
      <x:c r="Y1020" s="11" t="str">
        <x:v>https://www.galvania.sk/byty/mam-zaujem-o-byt-B3.07/</x:v>
      </x:c>
      <x:c r="Z1020" s="11" t="n">
        <x:v>46249.4134212037</x:v>
      </x:c>
      <x:c r="AA1020" s="11" t="n">
        <x:v>46254.51251577547</x:v>
      </x:c>
      <x:c r="AB1020" s="11" t="n">
        <x:v>46254.51251577547</x:v>
      </x:c>
      <x:c r="AC1020" t="str">
        <x:v>galvania_rezidencie</x:v>
      </x:c>
    </x:row>
    <x:row r="1021" ht="22" customHeight="1">
      <x:c r="A1021" t="str">
        <x:v>Galvania Rezidencie</x:v>
      </x:c>
      <x:c r="B1021" t="str">
        <x:v>B3.08</x:v>
      </x:c>
      <x:c r="C1021" t="str">
        <x:v>coming_soon</x:v>
      </x:c>
      <x:c r="D1021" t="str">
        <x:v>present</x:v>
      </x:c>
      <x:c r="E1021" t="str">
        <x:v>baseline</x:v>
      </x:c>
      <x:c r="F1021" s="11" t="n">
        <x:v>46249.4134212037</x:v>
      </x:c>
      <x:c r="G1021" t="str">
        <x:v>Byt</x:v>
      </x:c>
      <x:c r="H1021" s="12" t="n">
        <x:v>2</x:v>
      </x:c>
      <x:c r="I1021" s="13" t="n">
        <x:v>3</x:v>
      </x:c>
      <x:c r="J1021" t="str">
        <x:v>B</x:v>
      </x:c>
      <x:c r="K1021" s="14" t="n">
        <x:v>48.01</x:v>
      </x:c>
      <x:c r="L1021" s="14"/>
      <x:c r="M1021" s="14"/>
      <x:c r="N1021" s="14"/>
      <x:c r="O1021" s="14"/>
      <x:c r="P1021" s="14" t="n">
        <x:v>10.9</x:v>
      </x:c>
      <x:c r="Q1021" s="14" t="n">
        <x:v>58.91</x:v>
      </x:c>
      <x:c r="R1021" s="15"/>
      <x:c r="S1021" s="15"/>
      <x:c r="T1021" s="15"/>
      <x:c r="U1021" s="16"/>
      <x:c r="V1021" t="str">
        <x:v>Tatra Real</x:v>
      </x:c>
      <x:c r="W1021" t="str">
        <x:v>Ružinov</x:v>
      </x:c>
      <x:c r="X1021" s="11" t="str">
        <x:v>Čoskoro</x:v>
      </x:c>
      <x:c r="Y1021" s="11" t="str">
        <x:v>https://www.galvania.sk/byty/mam-zaujem-o-byt-B3.08/</x:v>
      </x:c>
      <x:c r="Z1021" s="11" t="n">
        <x:v>46249.4134212037</x:v>
      </x:c>
      <x:c r="AA1021" s="11" t="n">
        <x:v>46254.51251577547</x:v>
      </x:c>
      <x:c r="AB1021" s="11" t="n">
        <x:v>46254.51251577547</x:v>
      </x:c>
      <x:c r="AC1021" t="str">
        <x:v>galvania_rezidencie</x:v>
      </x:c>
    </x:row>
    <x:row r="1022" ht="22" customHeight="1">
      <x:c r="A1022" t="str">
        <x:v>Galvania Rezidencie</x:v>
      </x:c>
      <x:c r="B1022" t="str">
        <x:v>B3.09</x:v>
      </x:c>
      <x:c r="C1022" t="str">
        <x:v>coming_soon</x:v>
      </x:c>
      <x:c r="D1022" t="str">
        <x:v>present</x:v>
      </x:c>
      <x:c r="E1022" t="str">
        <x:v>baseline</x:v>
      </x:c>
      <x:c r="F1022" s="11" t="n">
        <x:v>46249.4134212037</x:v>
      </x:c>
      <x:c r="G1022" t="str">
        <x:v>Byt</x:v>
      </x:c>
      <x:c r="H1022" s="12" t="n">
        <x:v>2</x:v>
      </x:c>
      <x:c r="I1022" s="13" t="n">
        <x:v>3</x:v>
      </x:c>
      <x:c r="J1022" t="str">
        <x:v>B</x:v>
      </x:c>
      <x:c r="K1022" s="14" t="n">
        <x:v>48.01</x:v>
      </x:c>
      <x:c r="L1022" s="14"/>
      <x:c r="M1022" s="14"/>
      <x:c r="N1022" s="14"/>
      <x:c r="O1022" s="14"/>
      <x:c r="P1022" s="14" t="n">
        <x:v>10.9</x:v>
      </x:c>
      <x:c r="Q1022" s="14" t="n">
        <x:v>58.91</x:v>
      </x:c>
      <x:c r="R1022" s="15"/>
      <x:c r="S1022" s="15"/>
      <x:c r="T1022" s="15"/>
      <x:c r="U1022" s="16"/>
      <x:c r="V1022" t="str">
        <x:v>Tatra Real</x:v>
      </x:c>
      <x:c r="W1022" t="str">
        <x:v>Ružinov</x:v>
      </x:c>
      <x:c r="X1022" s="11" t="str">
        <x:v>Čoskoro</x:v>
      </x:c>
      <x:c r="Y1022" s="11" t="str">
        <x:v>https://www.galvania.sk/byty/mam-zaujem-o-byt-B3.09/</x:v>
      </x:c>
      <x:c r="Z1022" s="11" t="n">
        <x:v>46249.4134212037</x:v>
      </x:c>
      <x:c r="AA1022" s="11" t="n">
        <x:v>46254.51251577547</x:v>
      </x:c>
      <x:c r="AB1022" s="11" t="n">
        <x:v>46254.51251577547</x:v>
      </x:c>
      <x:c r="AC1022" t="str">
        <x:v>galvania_rezidencie</x:v>
      </x:c>
    </x:row>
    <x:row r="1023" ht="22" customHeight="1">
      <x:c r="A1023" t="str">
        <x:v>Galvania Rezidencie</x:v>
      </x:c>
      <x:c r="B1023" t="str">
        <x:v>B3.10</x:v>
      </x:c>
      <x:c r="C1023" t="str">
        <x:v>coming_soon</x:v>
      </x:c>
      <x:c r="D1023" t="str">
        <x:v>present</x:v>
      </x:c>
      <x:c r="E1023" t="str">
        <x:v>baseline</x:v>
      </x:c>
      <x:c r="F1023" s="11" t="n">
        <x:v>46249.4134212037</x:v>
      </x:c>
      <x:c r="G1023" t="str">
        <x:v>Byt</x:v>
      </x:c>
      <x:c r="H1023" s="12" t="n">
        <x:v>2</x:v>
      </x:c>
      <x:c r="I1023" s="13" t="n">
        <x:v>3</x:v>
      </x:c>
      <x:c r="J1023" t="str">
        <x:v>B</x:v>
      </x:c>
      <x:c r="K1023" s="14" t="n">
        <x:v>48.01</x:v>
      </x:c>
      <x:c r="L1023" s="14"/>
      <x:c r="M1023" s="14"/>
      <x:c r="N1023" s="14"/>
      <x:c r="O1023" s="14"/>
      <x:c r="P1023" s="14" t="n">
        <x:v>11.11</x:v>
      </x:c>
      <x:c r="Q1023" s="14" t="n">
        <x:v>59.12</x:v>
      </x:c>
      <x:c r="R1023" s="15"/>
      <x:c r="S1023" s="15"/>
      <x:c r="T1023" s="15"/>
      <x:c r="U1023" s="16"/>
      <x:c r="V1023" t="str">
        <x:v>Tatra Real</x:v>
      </x:c>
      <x:c r="W1023" t="str">
        <x:v>Ružinov</x:v>
      </x:c>
      <x:c r="X1023" s="11" t="str">
        <x:v>Čoskoro</x:v>
      </x:c>
      <x:c r="Y1023" s="11" t="str">
        <x:v>https://www.galvania.sk/byty/mam-zaujem-o-byt-B3.10/</x:v>
      </x:c>
      <x:c r="Z1023" s="11" t="n">
        <x:v>46249.4134212037</x:v>
      </x:c>
      <x:c r="AA1023" s="11" t="n">
        <x:v>46254.51251577547</x:v>
      </x:c>
      <x:c r="AB1023" s="11" t="n">
        <x:v>46254.51251577547</x:v>
      </x:c>
      <x:c r="AC1023" t="str">
        <x:v>galvania_rezidencie</x:v>
      </x:c>
    </x:row>
    <x:row r="1024" ht="22" customHeight="1">
      <x:c r="A1024" t="str">
        <x:v>Galvania Rezidencie</x:v>
      </x:c>
      <x:c r="B1024" t="str">
        <x:v>B3.11</x:v>
      </x:c>
      <x:c r="C1024" t="str">
        <x:v>coming_soon</x:v>
      </x:c>
      <x:c r="D1024" t="str">
        <x:v>present</x:v>
      </x:c>
      <x:c r="E1024" t="str">
        <x:v>baseline</x:v>
      </x:c>
      <x:c r="F1024" s="11" t="n">
        <x:v>46249.4134212037</x:v>
      </x:c>
      <x:c r="G1024" t="str">
        <x:v>Apartmán</x:v>
      </x:c>
      <x:c r="H1024" s="12" t="n">
        <x:v>2</x:v>
      </x:c>
      <x:c r="I1024" s="13" t="n">
        <x:v>3</x:v>
      </x:c>
      <x:c r="J1024" t="str">
        <x:v>B</x:v>
      </x:c>
      <x:c r="K1024" s="14" t="n">
        <x:v>52.02</x:v>
      </x:c>
      <x:c r="L1024" s="14"/>
      <x:c r="M1024" s="14"/>
      <x:c r="N1024" s="14"/>
      <x:c r="O1024" s="14"/>
      <x:c r="P1024" s="14" t="n">
        <x:v>9.88</x:v>
      </x:c>
      <x:c r="Q1024" s="14" t="n">
        <x:v>61.9</x:v>
      </x:c>
      <x:c r="R1024" s="15"/>
      <x:c r="S1024" s="15"/>
      <x:c r="T1024" s="15"/>
      <x:c r="U1024" s="16"/>
      <x:c r="V1024" t="str">
        <x:v>Tatra Real</x:v>
      </x:c>
      <x:c r="W1024" t="str">
        <x:v>Ružinov</x:v>
      </x:c>
      <x:c r="X1024" s="11" t="str">
        <x:v>Čoskoro</x:v>
      </x:c>
      <x:c r="Y1024" s="11" t="str">
        <x:v>https://www.galvania.sk/byty/mam-zaujem-o-byt-B3.11/</x:v>
      </x:c>
      <x:c r="Z1024" s="11" t="n">
        <x:v>46249.4134212037</x:v>
      </x:c>
      <x:c r="AA1024" s="11" t="n">
        <x:v>46254.51251577547</x:v>
      </x:c>
      <x:c r="AB1024" s="11" t="n">
        <x:v>46254.51251577547</x:v>
      </x:c>
      <x:c r="AC1024" t="str">
        <x:v>galvania_rezidencie</x:v>
      </x:c>
    </x:row>
    <x:row r="1025" ht="22" customHeight="1">
      <x:c r="A1025" t="str">
        <x:v>Galvania Rezidencie</x:v>
      </x:c>
      <x:c r="B1025" t="str">
        <x:v>B3.12</x:v>
      </x:c>
      <x:c r="C1025" t="str">
        <x:v>coming_soon</x:v>
      </x:c>
      <x:c r="D1025" t="str">
        <x:v>present</x:v>
      </x:c>
      <x:c r="E1025" t="str">
        <x:v>baseline</x:v>
      </x:c>
      <x:c r="F1025" s="11" t="n">
        <x:v>46249.4134212037</x:v>
      </x:c>
      <x:c r="G1025" t="str">
        <x:v>Byt</x:v>
      </x:c>
      <x:c r="H1025" s="12" t="n">
        <x:v>2</x:v>
      </x:c>
      <x:c r="I1025" s="13" t="n">
        <x:v>3</x:v>
      </x:c>
      <x:c r="J1025" t="str">
        <x:v>B</x:v>
      </x:c>
      <x:c r="K1025" s="14" t="n">
        <x:v>53.14</x:v>
      </x:c>
      <x:c r="L1025" s="14"/>
      <x:c r="M1025" s="14"/>
      <x:c r="N1025" s="14"/>
      <x:c r="O1025" s="14"/>
      <x:c r="P1025" s="14" t="n">
        <x:v>5.16</x:v>
      </x:c>
      <x:c r="Q1025" s="14" t="n">
        <x:v>58.3</x:v>
      </x:c>
      <x:c r="R1025" s="15"/>
      <x:c r="S1025" s="15"/>
      <x:c r="T1025" s="15"/>
      <x:c r="U1025" s="16"/>
      <x:c r="V1025" t="str">
        <x:v>Tatra Real</x:v>
      </x:c>
      <x:c r="W1025" t="str">
        <x:v>Ružinov</x:v>
      </x:c>
      <x:c r="X1025" s="11" t="str">
        <x:v>Čoskoro</x:v>
      </x:c>
      <x:c r="Y1025" s="11" t="str">
        <x:v>https://www.galvania.sk/byty/mam-zaujem-o-byt-B3.12/</x:v>
      </x:c>
      <x:c r="Z1025" s="11" t="n">
        <x:v>46249.4134212037</x:v>
      </x:c>
      <x:c r="AA1025" s="11" t="n">
        <x:v>46254.51251577547</x:v>
      </x:c>
      <x:c r="AB1025" s="11" t="n">
        <x:v>46254.51251577547</x:v>
      </x:c>
      <x:c r="AC1025" t="str">
        <x:v>galvania_rezidencie</x:v>
      </x:c>
    </x:row>
    <x:row r="1026" ht="22" customHeight="1">
      <x:c r="A1026" t="str">
        <x:v>Galvania Rezidencie</x:v>
      </x:c>
      <x:c r="B1026" t="str">
        <x:v>B3.13</x:v>
      </x:c>
      <x:c r="C1026" t="str">
        <x:v>coming_soon</x:v>
      </x:c>
      <x:c r="D1026" t="str">
        <x:v>present</x:v>
      </x:c>
      <x:c r="E1026" t="str">
        <x:v>baseline</x:v>
      </x:c>
      <x:c r="F1026" s="11" t="n">
        <x:v>46249.4134212037</x:v>
      </x:c>
      <x:c r="G1026" t="str">
        <x:v>Byt</x:v>
      </x:c>
      <x:c r="H1026" s="12" t="n">
        <x:v>2</x:v>
      </x:c>
      <x:c r="I1026" s="13" t="n">
        <x:v>3</x:v>
      </x:c>
      <x:c r="J1026" t="str">
        <x:v>B</x:v>
      </x:c>
      <x:c r="K1026" s="14" t="n">
        <x:v>48.51</x:v>
      </x:c>
      <x:c r="L1026" s="14"/>
      <x:c r="M1026" s="14"/>
      <x:c r="N1026" s="14"/>
      <x:c r="O1026" s="14"/>
      <x:c r="P1026" s="14" t="n">
        <x:v>10.72</x:v>
      </x:c>
      <x:c r="Q1026" s="14" t="n">
        <x:v>59.23</x:v>
      </x:c>
      <x:c r="R1026" s="15"/>
      <x:c r="S1026" s="15"/>
      <x:c r="T1026" s="15"/>
      <x:c r="U1026" s="16"/>
      <x:c r="V1026" t="str">
        <x:v>Tatra Real</x:v>
      </x:c>
      <x:c r="W1026" t="str">
        <x:v>Ružinov</x:v>
      </x:c>
      <x:c r="X1026" s="11" t="str">
        <x:v>Čoskoro</x:v>
      </x:c>
      <x:c r="Y1026" s="11" t="str">
        <x:v>https://www.galvania.sk/byty/mam-zaujem-o-byt-B3.13/</x:v>
      </x:c>
      <x:c r="Z1026" s="11" t="n">
        <x:v>46249.4134212037</x:v>
      </x:c>
      <x:c r="AA1026" s="11" t="n">
        <x:v>46254.51251577547</x:v>
      </x:c>
      <x:c r="AB1026" s="11" t="n">
        <x:v>46254.51251577547</x:v>
      </x:c>
      <x:c r="AC1026" t="str">
        <x:v>galvania_rezidencie</x:v>
      </x:c>
    </x:row>
    <x:row r="1027" ht="22" customHeight="1">
      <x:c r="A1027" t="str">
        <x:v>Galvania Rezidencie</x:v>
      </x:c>
      <x:c r="B1027" t="str">
        <x:v>B3.14</x:v>
      </x:c>
      <x:c r="C1027" t="str">
        <x:v>coming_soon</x:v>
      </x:c>
      <x:c r="D1027" t="str">
        <x:v>present</x:v>
      </x:c>
      <x:c r="E1027" t="str">
        <x:v>baseline</x:v>
      </x:c>
      <x:c r="F1027" s="11" t="n">
        <x:v>46249.4134212037</x:v>
      </x:c>
      <x:c r="G1027" t="str">
        <x:v>Byt</x:v>
      </x:c>
      <x:c r="H1027" s="12" t="n">
        <x:v>2</x:v>
      </x:c>
      <x:c r="I1027" s="13" t="n">
        <x:v>3</x:v>
      </x:c>
      <x:c r="J1027" t="str">
        <x:v>B</x:v>
      </x:c>
      <x:c r="K1027" s="14" t="n">
        <x:v>49</x:v>
      </x:c>
      <x:c r="L1027" s="14"/>
      <x:c r="M1027" s="14"/>
      <x:c r="N1027" s="14"/>
      <x:c r="O1027" s="14"/>
      <x:c r="P1027" s="14" t="n">
        <x:v>10.73</x:v>
      </x:c>
      <x:c r="Q1027" s="14" t="n">
        <x:v>59.73</x:v>
      </x:c>
      <x:c r="R1027" s="15"/>
      <x:c r="S1027" s="15"/>
      <x:c r="T1027" s="15"/>
      <x:c r="U1027" s="16"/>
      <x:c r="V1027" t="str">
        <x:v>Tatra Real</x:v>
      </x:c>
      <x:c r="W1027" t="str">
        <x:v>Ružinov</x:v>
      </x:c>
      <x:c r="X1027" s="11" t="str">
        <x:v>Čoskoro</x:v>
      </x:c>
      <x:c r="Y1027" s="11" t="str">
        <x:v>https://www.galvania.sk/byty/mam-zaujem-o-byt-B3.14/</x:v>
      </x:c>
      <x:c r="Z1027" s="11" t="n">
        <x:v>46249.4134212037</x:v>
      </x:c>
      <x:c r="AA1027" s="11" t="n">
        <x:v>46254.51251577547</x:v>
      </x:c>
      <x:c r="AB1027" s="11" t="n">
        <x:v>46254.51251577547</x:v>
      </x:c>
      <x:c r="AC1027" t="str">
        <x:v>galvania_rezidencie</x:v>
      </x:c>
    </x:row>
    <x:row r="1028" ht="22" customHeight="1">
      <x:c r="A1028" t="str">
        <x:v>Galvania Rezidencie</x:v>
      </x:c>
      <x:c r="B1028" t="str">
        <x:v>B3.15</x:v>
      </x:c>
      <x:c r="C1028" t="str">
        <x:v>coming_soon</x:v>
      </x:c>
      <x:c r="D1028" t="str">
        <x:v>present</x:v>
      </x:c>
      <x:c r="E1028" t="str">
        <x:v>baseline</x:v>
      </x:c>
      <x:c r="F1028" s="11" t="n">
        <x:v>46249.4134212037</x:v>
      </x:c>
      <x:c r="G1028" t="str">
        <x:v>Byt</x:v>
      </x:c>
      <x:c r="H1028" s="12" t="n">
        <x:v>2</x:v>
      </x:c>
      <x:c r="I1028" s="13" t="n">
        <x:v>3</x:v>
      </x:c>
      <x:c r="J1028" t="str">
        <x:v>B</x:v>
      </x:c>
      <x:c r="K1028" s="14" t="n">
        <x:v>49</x:v>
      </x:c>
      <x:c r="L1028" s="14"/>
      <x:c r="M1028" s="14"/>
      <x:c r="N1028" s="14"/>
      <x:c r="O1028" s="14"/>
      <x:c r="P1028" s="14" t="n">
        <x:v>5.57</x:v>
      </x:c>
      <x:c r="Q1028" s="14" t="n">
        <x:v>54.57</x:v>
      </x:c>
      <x:c r="R1028" s="15"/>
      <x:c r="S1028" s="15"/>
      <x:c r="T1028" s="15"/>
      <x:c r="U1028" s="16"/>
      <x:c r="V1028" t="str">
        <x:v>Tatra Real</x:v>
      </x:c>
      <x:c r="W1028" t="str">
        <x:v>Ružinov</x:v>
      </x:c>
      <x:c r="X1028" s="11" t="str">
        <x:v>Čoskoro</x:v>
      </x:c>
      <x:c r="Y1028" s="11" t="str">
        <x:v>https://www.galvania.sk/byty/mam-zaujem-o-byt-B3.15/</x:v>
      </x:c>
      <x:c r="Z1028" s="11" t="n">
        <x:v>46249.4134212037</x:v>
      </x:c>
      <x:c r="AA1028" s="11" t="n">
        <x:v>46254.51251577547</x:v>
      </x:c>
      <x:c r="AB1028" s="11" t="n">
        <x:v>46254.51251577547</x:v>
      </x:c>
      <x:c r="AC1028" t="str">
        <x:v>galvania_rezidencie</x:v>
      </x:c>
    </x:row>
    <x:row r="1029" ht="22" customHeight="1">
      <x:c r="A1029" t="str">
        <x:v>Galvania Rezidencie</x:v>
      </x:c>
      <x:c r="B1029" t="str">
        <x:v>B3.16</x:v>
      </x:c>
      <x:c r="C1029" t="str">
        <x:v>coming_soon</x:v>
      </x:c>
      <x:c r="D1029" t="str">
        <x:v>present</x:v>
      </x:c>
      <x:c r="E1029" t="str">
        <x:v>baseline</x:v>
      </x:c>
      <x:c r="F1029" s="11" t="n">
        <x:v>46249.4134212037</x:v>
      </x:c>
      <x:c r="G1029" t="str">
        <x:v>Byt</x:v>
      </x:c>
      <x:c r="H1029" s="12" t="n">
        <x:v>2</x:v>
      </x:c>
      <x:c r="I1029" s="13" t="n">
        <x:v>3</x:v>
      </x:c>
      <x:c r="J1029" t="str">
        <x:v>B</x:v>
      </x:c>
      <x:c r="K1029" s="14" t="n">
        <x:v>49</x:v>
      </x:c>
      <x:c r="L1029" s="14"/>
      <x:c r="M1029" s="14"/>
      <x:c r="N1029" s="14"/>
      <x:c r="O1029" s="14"/>
      <x:c r="P1029" s="14" t="n">
        <x:v>3.57</x:v>
      </x:c>
      <x:c r="Q1029" s="14" t="n">
        <x:v>52.57</x:v>
      </x:c>
      <x:c r="R1029" s="15"/>
      <x:c r="S1029" s="15"/>
      <x:c r="T1029" s="15"/>
      <x:c r="U1029" s="16"/>
      <x:c r="V1029" t="str">
        <x:v>Tatra Real</x:v>
      </x:c>
      <x:c r="W1029" t="str">
        <x:v>Ružinov</x:v>
      </x:c>
      <x:c r="X1029" s="11" t="str">
        <x:v>Čoskoro</x:v>
      </x:c>
      <x:c r="Y1029" s="11" t="str">
        <x:v>https://www.galvania.sk/byty/mam-zaujem-o-byt-B3.16/</x:v>
      </x:c>
      <x:c r="Z1029" s="11" t="n">
        <x:v>46249.4134212037</x:v>
      </x:c>
      <x:c r="AA1029" s="11" t="n">
        <x:v>46254.51251577547</x:v>
      </x:c>
      <x:c r="AB1029" s="11" t="n">
        <x:v>46254.51251577547</x:v>
      </x:c>
      <x:c r="AC1029" t="str">
        <x:v>galvania_rezidencie</x:v>
      </x:c>
    </x:row>
    <x:row r="1030" ht="22" customHeight="1">
      <x:c r="A1030" t="str">
        <x:v>Galvania Rezidencie</x:v>
      </x:c>
      <x:c r="B1030" t="str">
        <x:v>B4.01</x:v>
      </x:c>
      <x:c r="C1030" t="str">
        <x:v>coming_soon</x:v>
      </x:c>
      <x:c r="D1030" t="str">
        <x:v>present</x:v>
      </x:c>
      <x:c r="E1030" t="str">
        <x:v>baseline</x:v>
      </x:c>
      <x:c r="F1030" s="11" t="n">
        <x:v>46249.4134212037</x:v>
      </x:c>
      <x:c r="G1030" t="str">
        <x:v>Byt</x:v>
      </x:c>
      <x:c r="H1030" s="12" t="n">
        <x:v>2</x:v>
      </x:c>
      <x:c r="I1030" s="13" t="n">
        <x:v>4</x:v>
      </x:c>
      <x:c r="J1030" t="str">
        <x:v>B</x:v>
      </x:c>
      <x:c r="K1030" s="14" t="n">
        <x:v>48.52</x:v>
      </x:c>
      <x:c r="L1030" s="14"/>
      <x:c r="M1030" s="14"/>
      <x:c r="N1030" s="14"/>
      <x:c r="O1030" s="14"/>
      <x:c r="P1030" s="14" t="n">
        <x:v>6.53</x:v>
      </x:c>
      <x:c r="Q1030" s="14" t="n">
        <x:v>55.05</x:v>
      </x:c>
      <x:c r="R1030" s="15"/>
      <x:c r="S1030" s="15"/>
      <x:c r="T1030" s="15"/>
      <x:c r="U1030" s="16"/>
      <x:c r="V1030" t="str">
        <x:v>Tatra Real</x:v>
      </x:c>
      <x:c r="W1030" t="str">
        <x:v>Ružinov</x:v>
      </x:c>
      <x:c r="X1030" s="11" t="str">
        <x:v>Čoskoro</x:v>
      </x:c>
      <x:c r="Y1030" s="11" t="str">
        <x:v>https://www.galvania.sk/byty/mam-zaujem-o-byt-B4.01/</x:v>
      </x:c>
      <x:c r="Z1030" s="11" t="n">
        <x:v>46249.4134212037</x:v>
      </x:c>
      <x:c r="AA1030" s="11" t="n">
        <x:v>46254.51251577547</x:v>
      </x:c>
      <x:c r="AB1030" s="11" t="n">
        <x:v>46254.51251577547</x:v>
      </x:c>
      <x:c r="AC1030" t="str">
        <x:v>galvania_rezidencie</x:v>
      </x:c>
    </x:row>
    <x:row r="1031" ht="22" customHeight="1">
      <x:c r="A1031" t="str">
        <x:v>Galvania Rezidencie</x:v>
      </x:c>
      <x:c r="B1031" t="str">
        <x:v>B4.02</x:v>
      </x:c>
      <x:c r="C1031" t="str">
        <x:v>coming_soon</x:v>
      </x:c>
      <x:c r="D1031" t="str">
        <x:v>present</x:v>
      </x:c>
      <x:c r="E1031" t="str">
        <x:v>baseline</x:v>
      </x:c>
      <x:c r="F1031" s="11" t="n">
        <x:v>46249.4134212037</x:v>
      </x:c>
      <x:c r="G1031" t="str">
        <x:v>Byt</x:v>
      </x:c>
      <x:c r="H1031" s="12" t="n">
        <x:v>1</x:v>
      </x:c>
      <x:c r="I1031" s="13" t="n">
        <x:v>4</x:v>
      </x:c>
      <x:c r="J1031" t="str">
        <x:v>B</x:v>
      </x:c>
      <x:c r="K1031" s="14" t="n">
        <x:v>36.27</x:v>
      </x:c>
      <x:c r="L1031" s="14"/>
      <x:c r="M1031" s="14"/>
      <x:c r="N1031" s="14"/>
      <x:c r="O1031" s="14"/>
      <x:c r="P1031" s="14" t="n">
        <x:v>3.94</x:v>
      </x:c>
      <x:c r="Q1031" s="14" t="n">
        <x:v>40.21</x:v>
      </x:c>
      <x:c r="R1031" s="15"/>
      <x:c r="S1031" s="15"/>
      <x:c r="T1031" s="15"/>
      <x:c r="U1031" s="16"/>
      <x:c r="V1031" t="str">
        <x:v>Tatra Real</x:v>
      </x:c>
      <x:c r="W1031" t="str">
        <x:v>Ružinov</x:v>
      </x:c>
      <x:c r="X1031" s="11" t="str">
        <x:v>Čoskoro</x:v>
      </x:c>
      <x:c r="Y1031" s="11" t="str">
        <x:v>https://www.galvania.sk/byty/mam-zaujem-o-byt-B4.02/</x:v>
      </x:c>
      <x:c r="Z1031" s="11" t="n">
        <x:v>46249.4134212037</x:v>
      </x:c>
      <x:c r="AA1031" s="11" t="n">
        <x:v>46254.51251577547</x:v>
      </x:c>
      <x:c r="AB1031" s="11" t="n">
        <x:v>46254.51251577547</x:v>
      </x:c>
      <x:c r="AC1031" t="str">
        <x:v>galvania_rezidencie</x:v>
      </x:c>
    </x:row>
    <x:row r="1032" ht="22" customHeight="1">
      <x:c r="A1032" t="str">
        <x:v>Galvania Rezidencie</x:v>
      </x:c>
      <x:c r="B1032" t="str">
        <x:v>B4.03</x:v>
      </x:c>
      <x:c r="C1032" t="str">
        <x:v>coming_soon</x:v>
      </x:c>
      <x:c r="D1032" t="str">
        <x:v>present</x:v>
      </x:c>
      <x:c r="E1032" t="str">
        <x:v>baseline</x:v>
      </x:c>
      <x:c r="F1032" s="11" t="n">
        <x:v>46249.4134212037</x:v>
      </x:c>
      <x:c r="G1032" t="str">
        <x:v>Byt</x:v>
      </x:c>
      <x:c r="H1032" s="12" t="n">
        <x:v>2</x:v>
      </x:c>
      <x:c r="I1032" s="13" t="n">
        <x:v>4</x:v>
      </x:c>
      <x:c r="J1032" t="str">
        <x:v>B</x:v>
      </x:c>
      <x:c r="K1032" s="14" t="n">
        <x:v>47.81</x:v>
      </x:c>
      <x:c r="L1032" s="14"/>
      <x:c r="M1032" s="14"/>
      <x:c r="N1032" s="14"/>
      <x:c r="O1032" s="14"/>
      <x:c r="P1032" s="14" t="n">
        <x:v>11.31</x:v>
      </x:c>
      <x:c r="Q1032" s="14" t="n">
        <x:v>59.12</x:v>
      </x:c>
      <x:c r="R1032" s="15"/>
      <x:c r="S1032" s="15"/>
      <x:c r="T1032" s="15"/>
      <x:c r="U1032" s="16"/>
      <x:c r="V1032" t="str">
        <x:v>Tatra Real</x:v>
      </x:c>
      <x:c r="W1032" t="str">
        <x:v>Ružinov</x:v>
      </x:c>
      <x:c r="X1032" s="11" t="str">
        <x:v>Čoskoro</x:v>
      </x:c>
      <x:c r="Y1032" s="11" t="str">
        <x:v>https://www.galvania.sk/byty/mam-zaujem-o-byt-B4.03/</x:v>
      </x:c>
      <x:c r="Z1032" s="11" t="n">
        <x:v>46249.4134212037</x:v>
      </x:c>
      <x:c r="AA1032" s="11" t="n">
        <x:v>46254.51251577547</x:v>
      </x:c>
      <x:c r="AB1032" s="11" t="n">
        <x:v>46254.51251577547</x:v>
      </x:c>
      <x:c r="AC1032" t="str">
        <x:v>galvania_rezidencie</x:v>
      </x:c>
    </x:row>
    <x:row r="1033" ht="22" customHeight="1">
      <x:c r="A1033" t="str">
        <x:v>Galvania Rezidencie</x:v>
      </x:c>
      <x:c r="B1033" t="str">
        <x:v>B4.04</x:v>
      </x:c>
      <x:c r="C1033" t="str">
        <x:v>coming_soon</x:v>
      </x:c>
      <x:c r="D1033" t="str">
        <x:v>present</x:v>
      </x:c>
      <x:c r="E1033" t="str">
        <x:v>baseline</x:v>
      </x:c>
      <x:c r="F1033" s="11" t="n">
        <x:v>46249.4134212037</x:v>
      </x:c>
      <x:c r="G1033" t="str">
        <x:v>Byt</x:v>
      </x:c>
      <x:c r="H1033" s="12" t="n">
        <x:v>3</x:v>
      </x:c>
      <x:c r="I1033" s="13" t="n">
        <x:v>4</x:v>
      </x:c>
      <x:c r="J1033" t="str">
        <x:v>B</x:v>
      </x:c>
      <x:c r="K1033" s="14" t="n">
        <x:v>62.82</x:v>
      </x:c>
      <x:c r="L1033" s="14"/>
      <x:c r="M1033" s="14"/>
      <x:c r="N1033" s="14"/>
      <x:c r="O1033" s="14"/>
      <x:c r="P1033" s="14" t="n">
        <x:v>21.26</x:v>
      </x:c>
      <x:c r="Q1033" s="14" t="n">
        <x:v>84.08</x:v>
      </x:c>
      <x:c r="R1033" s="15"/>
      <x:c r="S1033" s="15"/>
      <x:c r="T1033" s="15"/>
      <x:c r="U1033" s="16"/>
      <x:c r="V1033" t="str">
        <x:v>Tatra Real</x:v>
      </x:c>
      <x:c r="W1033" t="str">
        <x:v>Ružinov</x:v>
      </x:c>
      <x:c r="X1033" s="11" t="str">
        <x:v>Čoskoro</x:v>
      </x:c>
      <x:c r="Y1033" s="11" t="str">
        <x:v>https://www.galvania.sk/byty/mam-zaujem-o-byt-B4.04/</x:v>
      </x:c>
      <x:c r="Z1033" s="11" t="n">
        <x:v>46249.4134212037</x:v>
      </x:c>
      <x:c r="AA1033" s="11" t="n">
        <x:v>46254.51251577547</x:v>
      </x:c>
      <x:c r="AB1033" s="11" t="n">
        <x:v>46254.51251577547</x:v>
      </x:c>
      <x:c r="AC1033" t="str">
        <x:v>galvania_rezidencie</x:v>
      </x:c>
    </x:row>
    <x:row r="1034" ht="22" customHeight="1">
      <x:c r="A1034" t="str">
        <x:v>Galvania Rezidencie</x:v>
      </x:c>
      <x:c r="B1034" t="str">
        <x:v>B4.05</x:v>
      </x:c>
      <x:c r="C1034" t="str">
        <x:v>coming_soon</x:v>
      </x:c>
      <x:c r="D1034" t="str">
        <x:v>present</x:v>
      </x:c>
      <x:c r="E1034" t="str">
        <x:v>baseline</x:v>
      </x:c>
      <x:c r="F1034" s="11" t="n">
        <x:v>46249.4134212037</x:v>
      </x:c>
      <x:c r="G1034" t="str">
        <x:v>Byt</x:v>
      </x:c>
      <x:c r="H1034" s="12" t="n">
        <x:v>2</x:v>
      </x:c>
      <x:c r="I1034" s="13" t="n">
        <x:v>4</x:v>
      </x:c>
      <x:c r="J1034" t="str">
        <x:v>B</x:v>
      </x:c>
      <x:c r="K1034" s="14" t="n">
        <x:v>47.34</x:v>
      </x:c>
      <x:c r="L1034" s="14"/>
      <x:c r="M1034" s="14"/>
      <x:c r="N1034" s="14"/>
      <x:c r="O1034" s="14"/>
      <x:c r="P1034" s="14" t="n">
        <x:v>10.92</x:v>
      </x:c>
      <x:c r="Q1034" s="14" t="n">
        <x:v>58.26</x:v>
      </x:c>
      <x:c r="R1034" s="15"/>
      <x:c r="S1034" s="15"/>
      <x:c r="T1034" s="15"/>
      <x:c r="U1034" s="16"/>
      <x:c r="V1034" t="str">
        <x:v>Tatra Real</x:v>
      </x:c>
      <x:c r="W1034" t="str">
        <x:v>Ružinov</x:v>
      </x:c>
      <x:c r="X1034" s="11" t="str">
        <x:v>Čoskoro</x:v>
      </x:c>
      <x:c r="Y1034" s="11" t="str">
        <x:v>https://www.galvania.sk/byty/mam-zaujem-o-byt-B4.05/</x:v>
      </x:c>
      <x:c r="Z1034" s="11" t="n">
        <x:v>46249.4134212037</x:v>
      </x:c>
      <x:c r="AA1034" s="11" t="n">
        <x:v>46254.51251577547</x:v>
      </x:c>
      <x:c r="AB1034" s="11" t="n">
        <x:v>46254.51251577547</x:v>
      </x:c>
      <x:c r="AC1034" t="str">
        <x:v>galvania_rezidencie</x:v>
      </x:c>
    </x:row>
    <x:row r="1035" ht="22" customHeight="1">
      <x:c r="A1035" t="str">
        <x:v>Galvania Rezidencie</x:v>
      </x:c>
      <x:c r="B1035" t="str">
        <x:v>B4.06</x:v>
      </x:c>
      <x:c r="C1035" t="str">
        <x:v>coming_soon</x:v>
      </x:c>
      <x:c r="D1035" t="str">
        <x:v>present</x:v>
      </x:c>
      <x:c r="E1035" t="str">
        <x:v>baseline</x:v>
      </x:c>
      <x:c r="F1035" s="11" t="n">
        <x:v>46249.4134212037</x:v>
      </x:c>
      <x:c r="G1035" t="str">
        <x:v>Byt</x:v>
      </x:c>
      <x:c r="H1035" s="12" t="n">
        <x:v>2</x:v>
      </x:c>
      <x:c r="I1035" s="13" t="n">
        <x:v>4</x:v>
      </x:c>
      <x:c r="J1035" t="str">
        <x:v>B</x:v>
      </x:c>
      <x:c r="K1035" s="14" t="n">
        <x:v>47.34</x:v>
      </x:c>
      <x:c r="L1035" s="14"/>
      <x:c r="M1035" s="14"/>
      <x:c r="N1035" s="14"/>
      <x:c r="O1035" s="14"/>
      <x:c r="P1035" s="14" t="n">
        <x:v>10.92</x:v>
      </x:c>
      <x:c r="Q1035" s="14" t="n">
        <x:v>58.26</x:v>
      </x:c>
      <x:c r="R1035" s="15"/>
      <x:c r="S1035" s="15"/>
      <x:c r="T1035" s="15"/>
      <x:c r="U1035" s="16"/>
      <x:c r="V1035" t="str">
        <x:v>Tatra Real</x:v>
      </x:c>
      <x:c r="W1035" t="str">
        <x:v>Ružinov</x:v>
      </x:c>
      <x:c r="X1035" s="11" t="str">
        <x:v>Čoskoro</x:v>
      </x:c>
      <x:c r="Y1035" s="11" t="str">
        <x:v>https://www.galvania.sk/byty/mam-zaujem-o-byt-B4.06/</x:v>
      </x:c>
      <x:c r="Z1035" s="11" t="n">
        <x:v>46249.4134212037</x:v>
      </x:c>
      <x:c r="AA1035" s="11" t="n">
        <x:v>46254.51251577547</x:v>
      </x:c>
      <x:c r="AB1035" s="11" t="n">
        <x:v>46254.51251577547</x:v>
      </x:c>
      <x:c r="AC1035" t="str">
        <x:v>galvania_rezidencie</x:v>
      </x:c>
    </x:row>
    <x:row r="1036" ht="22" customHeight="1">
      <x:c r="A1036" t="str">
        <x:v>Galvania Rezidencie</x:v>
      </x:c>
      <x:c r="B1036" t="str">
        <x:v>B4.07</x:v>
      </x:c>
      <x:c r="C1036" t="str">
        <x:v>coming_soon</x:v>
      </x:c>
      <x:c r="D1036" t="str">
        <x:v>present</x:v>
      </x:c>
      <x:c r="E1036" t="str">
        <x:v>baseline</x:v>
      </x:c>
      <x:c r="F1036" s="11" t="n">
        <x:v>46249.4134212037</x:v>
      </x:c>
      <x:c r="G1036" t="str">
        <x:v>Byt</x:v>
      </x:c>
      <x:c r="H1036" s="12" t="n">
        <x:v>2</x:v>
      </x:c>
      <x:c r="I1036" s="13" t="n">
        <x:v>4</x:v>
      </x:c>
      <x:c r="J1036" t="str">
        <x:v>B</x:v>
      </x:c>
      <x:c r="K1036" s="14" t="n">
        <x:v>47.34</x:v>
      </x:c>
      <x:c r="L1036" s="14"/>
      <x:c r="M1036" s="14"/>
      <x:c r="N1036" s="14"/>
      <x:c r="O1036" s="14"/>
      <x:c r="P1036" s="14" t="n">
        <x:v>11.05</x:v>
      </x:c>
      <x:c r="Q1036" s="14" t="n">
        <x:v>58.39</x:v>
      </x:c>
      <x:c r="R1036" s="15"/>
      <x:c r="S1036" s="15"/>
      <x:c r="T1036" s="15"/>
      <x:c r="U1036" s="16"/>
      <x:c r="V1036" t="str">
        <x:v>Tatra Real</x:v>
      </x:c>
      <x:c r="W1036" t="str">
        <x:v>Ružinov</x:v>
      </x:c>
      <x:c r="X1036" s="11" t="str">
        <x:v>Čoskoro</x:v>
      </x:c>
      <x:c r="Y1036" s="11" t="str">
        <x:v>https://www.galvania.sk/byty/mam-zaujem-o-byt-B4.07/</x:v>
      </x:c>
      <x:c r="Z1036" s="11" t="n">
        <x:v>46249.4134212037</x:v>
      </x:c>
      <x:c r="AA1036" s="11" t="n">
        <x:v>46254.51251577547</x:v>
      </x:c>
      <x:c r="AB1036" s="11" t="n">
        <x:v>46254.51251577547</x:v>
      </x:c>
      <x:c r="AC1036" t="str">
        <x:v>galvania_rezidencie</x:v>
      </x:c>
    </x:row>
    <x:row r="1037" ht="22" customHeight="1">
      <x:c r="A1037" t="str">
        <x:v>Galvania Rezidencie</x:v>
      </x:c>
      <x:c r="B1037" t="str">
        <x:v>B4.08</x:v>
      </x:c>
      <x:c r="C1037" t="str">
        <x:v>coming_soon</x:v>
      </x:c>
      <x:c r="D1037" t="str">
        <x:v>present</x:v>
      </x:c>
      <x:c r="E1037" t="str">
        <x:v>baseline</x:v>
      </x:c>
      <x:c r="F1037" s="11" t="n">
        <x:v>46249.4134212037</x:v>
      </x:c>
      <x:c r="G1037" t="str">
        <x:v>Byt</x:v>
      </x:c>
      <x:c r="H1037" s="12" t="n">
        <x:v>2</x:v>
      </x:c>
      <x:c r="I1037" s="13" t="n">
        <x:v>4</x:v>
      </x:c>
      <x:c r="J1037" t="str">
        <x:v>B</x:v>
      </x:c>
      <x:c r="K1037" s="14" t="n">
        <x:v>47.34</x:v>
      </x:c>
      <x:c r="L1037" s="14"/>
      <x:c r="M1037" s="14"/>
      <x:c r="N1037" s="14"/>
      <x:c r="O1037" s="14"/>
      <x:c r="P1037" s="14" t="n">
        <x:v>10.9</x:v>
      </x:c>
      <x:c r="Q1037" s="14" t="n">
        <x:v>58.24</x:v>
      </x:c>
      <x:c r="R1037" s="15"/>
      <x:c r="S1037" s="15"/>
      <x:c r="T1037" s="15"/>
      <x:c r="U1037" s="16"/>
      <x:c r="V1037" t="str">
        <x:v>Tatra Real</x:v>
      </x:c>
      <x:c r="W1037" t="str">
        <x:v>Ružinov</x:v>
      </x:c>
      <x:c r="X1037" s="11" t="str">
        <x:v>Čoskoro</x:v>
      </x:c>
      <x:c r="Y1037" s="11" t="str">
        <x:v>https://www.galvania.sk/byty/mam-zaujem-o-byt-B4.08/</x:v>
      </x:c>
      <x:c r="Z1037" s="11" t="n">
        <x:v>46249.4134212037</x:v>
      </x:c>
      <x:c r="AA1037" s="11" t="n">
        <x:v>46254.51251577547</x:v>
      </x:c>
      <x:c r="AB1037" s="11" t="n">
        <x:v>46254.51251577547</x:v>
      </x:c>
      <x:c r="AC1037" t="str">
        <x:v>galvania_rezidencie</x:v>
      </x:c>
    </x:row>
    <x:row r="1038" ht="22" customHeight="1">
      <x:c r="A1038" t="str">
        <x:v>Galvania Rezidencie</x:v>
      </x:c>
      <x:c r="B1038" t="str">
        <x:v>B4.09</x:v>
      </x:c>
      <x:c r="C1038" t="str">
        <x:v>coming_soon</x:v>
      </x:c>
      <x:c r="D1038" t="str">
        <x:v>present</x:v>
      </x:c>
      <x:c r="E1038" t="str">
        <x:v>baseline</x:v>
      </x:c>
      <x:c r="F1038" s="11" t="n">
        <x:v>46249.4134212037</x:v>
      </x:c>
      <x:c r="G1038" t="str">
        <x:v>Byt</x:v>
      </x:c>
      <x:c r="H1038" s="12" t="n">
        <x:v>2</x:v>
      </x:c>
      <x:c r="I1038" s="13" t="n">
        <x:v>4</x:v>
      </x:c>
      <x:c r="J1038" t="str">
        <x:v>B</x:v>
      </x:c>
      <x:c r="K1038" s="14" t="n">
        <x:v>47.34</x:v>
      </x:c>
      <x:c r="L1038" s="14"/>
      <x:c r="M1038" s="14"/>
      <x:c r="N1038" s="14"/>
      <x:c r="O1038" s="14"/>
      <x:c r="P1038" s="14" t="n">
        <x:v>10.9</x:v>
      </x:c>
      <x:c r="Q1038" s="14" t="n">
        <x:v>58.24</x:v>
      </x:c>
      <x:c r="R1038" s="15"/>
      <x:c r="S1038" s="15"/>
      <x:c r="T1038" s="15"/>
      <x:c r="U1038" s="16"/>
      <x:c r="V1038" t="str">
        <x:v>Tatra Real</x:v>
      </x:c>
      <x:c r="W1038" t="str">
        <x:v>Ružinov</x:v>
      </x:c>
      <x:c r="X1038" s="11" t="str">
        <x:v>Čoskoro</x:v>
      </x:c>
      <x:c r="Y1038" s="11" t="str">
        <x:v>https://www.galvania.sk/byty/mam-zaujem-o-byt-B4.09/</x:v>
      </x:c>
      <x:c r="Z1038" s="11" t="n">
        <x:v>46249.4134212037</x:v>
      </x:c>
      <x:c r="AA1038" s="11" t="n">
        <x:v>46254.51251577547</x:v>
      </x:c>
      <x:c r="AB1038" s="11" t="n">
        <x:v>46254.51251577547</x:v>
      </x:c>
      <x:c r="AC1038" t="str">
        <x:v>galvania_rezidencie</x:v>
      </x:c>
    </x:row>
    <x:row r="1039" ht="22" customHeight="1">
      <x:c r="A1039" t="str">
        <x:v>Galvania Rezidencie</x:v>
      </x:c>
      <x:c r="B1039" t="str">
        <x:v>B4.10</x:v>
      </x:c>
      <x:c r="C1039" t="str">
        <x:v>coming_soon</x:v>
      </x:c>
      <x:c r="D1039" t="str">
        <x:v>present</x:v>
      </x:c>
      <x:c r="E1039" t="str">
        <x:v>baseline</x:v>
      </x:c>
      <x:c r="F1039" s="11" t="n">
        <x:v>46249.4134212037</x:v>
      </x:c>
      <x:c r="G1039" t="str">
        <x:v>Byt</x:v>
      </x:c>
      <x:c r="H1039" s="12" t="n">
        <x:v>2</x:v>
      </x:c>
      <x:c r="I1039" s="13" t="n">
        <x:v>4</x:v>
      </x:c>
      <x:c r="J1039" t="str">
        <x:v>B</x:v>
      </x:c>
      <x:c r="K1039" s="14" t="n">
        <x:v>47.34</x:v>
      </x:c>
      <x:c r="L1039" s="14"/>
      <x:c r="M1039" s="14"/>
      <x:c r="N1039" s="14"/>
      <x:c r="O1039" s="14"/>
      <x:c r="P1039" s="14" t="n">
        <x:v>11.11</x:v>
      </x:c>
      <x:c r="Q1039" s="14" t="n">
        <x:v>58.45</x:v>
      </x:c>
      <x:c r="R1039" s="15"/>
      <x:c r="S1039" s="15"/>
      <x:c r="T1039" s="15"/>
      <x:c r="U1039" s="16"/>
      <x:c r="V1039" t="str">
        <x:v>Tatra Real</x:v>
      </x:c>
      <x:c r="W1039" t="str">
        <x:v>Ružinov</x:v>
      </x:c>
      <x:c r="X1039" s="11" t="str">
        <x:v>Čoskoro</x:v>
      </x:c>
      <x:c r="Y1039" s="11" t="str">
        <x:v>https://www.galvania.sk/byty/mam-zaujem-o-byt-B4.10/</x:v>
      </x:c>
      <x:c r="Z1039" s="11" t="n">
        <x:v>46249.4134212037</x:v>
      </x:c>
      <x:c r="AA1039" s="11" t="n">
        <x:v>46254.51251577547</x:v>
      </x:c>
      <x:c r="AB1039" s="11" t="n">
        <x:v>46254.51251577547</x:v>
      </x:c>
      <x:c r="AC1039" t="str">
        <x:v>galvania_rezidencie</x:v>
      </x:c>
    </x:row>
    <x:row r="1040" ht="22" customHeight="1">
      <x:c r="A1040" t="str">
        <x:v>Galvania Rezidencie</x:v>
      </x:c>
      <x:c r="B1040" t="str">
        <x:v>B4.11</x:v>
      </x:c>
      <x:c r="C1040" t="str">
        <x:v>coming_soon</x:v>
      </x:c>
      <x:c r="D1040" t="str">
        <x:v>present</x:v>
      </x:c>
      <x:c r="E1040" t="str">
        <x:v>baseline</x:v>
      </x:c>
      <x:c r="F1040" s="11" t="n">
        <x:v>46249.4134212037</x:v>
      </x:c>
      <x:c r="G1040" t="str">
        <x:v>Apartmán</x:v>
      </x:c>
      <x:c r="H1040" s="12" t="n">
        <x:v>2</x:v>
      </x:c>
      <x:c r="I1040" s="13" t="n">
        <x:v>4</x:v>
      </x:c>
      <x:c r="J1040" t="str">
        <x:v>B</x:v>
      </x:c>
      <x:c r="K1040" s="14" t="n">
        <x:v>51.62</x:v>
      </x:c>
      <x:c r="L1040" s="14"/>
      <x:c r="M1040" s="14"/>
      <x:c r="N1040" s="14"/>
      <x:c r="O1040" s="14"/>
      <x:c r="P1040" s="14" t="n">
        <x:v>9.88</x:v>
      </x:c>
      <x:c r="Q1040" s="14" t="n">
        <x:v>61.5</x:v>
      </x:c>
      <x:c r="R1040" s="15"/>
      <x:c r="S1040" s="15"/>
      <x:c r="T1040" s="15"/>
      <x:c r="U1040" s="16"/>
      <x:c r="V1040" t="str">
        <x:v>Tatra Real</x:v>
      </x:c>
      <x:c r="W1040" t="str">
        <x:v>Ružinov</x:v>
      </x:c>
      <x:c r="X1040" s="11" t="str">
        <x:v>Čoskoro</x:v>
      </x:c>
      <x:c r="Y1040" s="11" t="str">
        <x:v>https://www.galvania.sk/byty/mam-zaujem-o-byt-B4.11/</x:v>
      </x:c>
      <x:c r="Z1040" s="11" t="n">
        <x:v>46249.4134212037</x:v>
      </x:c>
      <x:c r="AA1040" s="11" t="n">
        <x:v>46254.51251577547</x:v>
      </x:c>
      <x:c r="AB1040" s="11" t="n">
        <x:v>46254.51251577547</x:v>
      </x:c>
      <x:c r="AC1040" t="str">
        <x:v>galvania_rezidencie</x:v>
      </x:c>
    </x:row>
    <x:row r="1041" ht="22" customHeight="1">
      <x:c r="A1041" t="str">
        <x:v>Galvania Rezidencie</x:v>
      </x:c>
      <x:c r="B1041" t="str">
        <x:v>B4.12</x:v>
      </x:c>
      <x:c r="C1041" t="str">
        <x:v>coming_soon</x:v>
      </x:c>
      <x:c r="D1041" t="str">
        <x:v>present</x:v>
      </x:c>
      <x:c r="E1041" t="str">
        <x:v>baseline</x:v>
      </x:c>
      <x:c r="F1041" s="11" t="n">
        <x:v>46249.4134212037</x:v>
      </x:c>
      <x:c r="G1041" t="str">
        <x:v>Byt</x:v>
      </x:c>
      <x:c r="H1041" s="12" t="n">
        <x:v>2</x:v>
      </x:c>
      <x:c r="I1041" s="13" t="n">
        <x:v>4</x:v>
      </x:c>
      <x:c r="J1041" t="str">
        <x:v>B</x:v>
      </x:c>
      <x:c r="K1041" s="14" t="n">
        <x:v>52.55</x:v>
      </x:c>
      <x:c r="L1041" s="14"/>
      <x:c r="M1041" s="14"/>
      <x:c r="N1041" s="14"/>
      <x:c r="O1041" s="14"/>
      <x:c r="P1041" s="14" t="n">
        <x:v>5.16</x:v>
      </x:c>
      <x:c r="Q1041" s="14" t="n">
        <x:v>57.71</x:v>
      </x:c>
      <x:c r="R1041" s="15"/>
      <x:c r="S1041" s="15"/>
      <x:c r="T1041" s="15"/>
      <x:c r="U1041" s="16"/>
      <x:c r="V1041" t="str">
        <x:v>Tatra Real</x:v>
      </x:c>
      <x:c r="W1041" t="str">
        <x:v>Ružinov</x:v>
      </x:c>
      <x:c r="X1041" s="11" t="str">
        <x:v>Čoskoro</x:v>
      </x:c>
      <x:c r="Y1041" s="11" t="str">
        <x:v>https://www.galvania.sk/byty/mam-zaujem-o-byt-B4.12/</x:v>
      </x:c>
      <x:c r="Z1041" s="11" t="n">
        <x:v>46249.4134212037</x:v>
      </x:c>
      <x:c r="AA1041" s="11" t="n">
        <x:v>46254.51251577547</x:v>
      </x:c>
      <x:c r="AB1041" s="11" t="n">
        <x:v>46254.51251577547</x:v>
      </x:c>
      <x:c r="AC1041" t="str">
        <x:v>galvania_rezidencie</x:v>
      </x:c>
    </x:row>
    <x:row r="1042" ht="22" customHeight="1">
      <x:c r="A1042" t="str">
        <x:v>Galvania Rezidencie</x:v>
      </x:c>
      <x:c r="B1042" t="str">
        <x:v>B4.13</x:v>
      </x:c>
      <x:c r="C1042" t="str">
        <x:v>coming_soon</x:v>
      </x:c>
      <x:c r="D1042" t="str">
        <x:v>present</x:v>
      </x:c>
      <x:c r="E1042" t="str">
        <x:v>baseline</x:v>
      </x:c>
      <x:c r="F1042" s="11" t="n">
        <x:v>46249.4134212037</x:v>
      </x:c>
      <x:c r="G1042" t="str">
        <x:v>Byt</x:v>
      </x:c>
      <x:c r="H1042" s="12" t="n">
        <x:v>2</x:v>
      </x:c>
      <x:c r="I1042" s="13" t="n">
        <x:v>4</x:v>
      </x:c>
      <x:c r="J1042" t="str">
        <x:v>B</x:v>
      </x:c>
      <x:c r="K1042" s="14" t="n">
        <x:v>47.74</x:v>
      </x:c>
      <x:c r="L1042" s="14"/>
      <x:c r="M1042" s="14"/>
      <x:c r="N1042" s="14"/>
      <x:c r="O1042" s="14"/>
      <x:c r="P1042" s="14" t="n">
        <x:v>10.72</x:v>
      </x:c>
      <x:c r="Q1042" s="14" t="n">
        <x:v>58.46</x:v>
      </x:c>
      <x:c r="R1042" s="15"/>
      <x:c r="S1042" s="15"/>
      <x:c r="T1042" s="15"/>
      <x:c r="U1042" s="16"/>
      <x:c r="V1042" t="str">
        <x:v>Tatra Real</x:v>
      </x:c>
      <x:c r="W1042" t="str">
        <x:v>Ružinov</x:v>
      </x:c>
      <x:c r="X1042" s="11" t="str">
        <x:v>Čoskoro</x:v>
      </x:c>
      <x:c r="Y1042" s="11" t="str">
        <x:v>https://www.galvania.sk/byty/mam-zaujem-o-byt-B4.13/</x:v>
      </x:c>
      <x:c r="Z1042" s="11" t="n">
        <x:v>46249.4134212037</x:v>
      </x:c>
      <x:c r="AA1042" s="11" t="n">
        <x:v>46254.51251577547</x:v>
      </x:c>
      <x:c r="AB1042" s="11" t="n">
        <x:v>46254.51251577547</x:v>
      </x:c>
      <x:c r="AC1042" t="str">
        <x:v>galvania_rezidencie</x:v>
      </x:c>
    </x:row>
    <x:row r="1043" ht="22" customHeight="1">
      <x:c r="A1043" t="str">
        <x:v>Galvania Rezidencie</x:v>
      </x:c>
      <x:c r="B1043" t="str">
        <x:v>B4.14</x:v>
      </x:c>
      <x:c r="C1043" t="str">
        <x:v>coming_soon</x:v>
      </x:c>
      <x:c r="D1043" t="str">
        <x:v>present</x:v>
      </x:c>
      <x:c r="E1043" t="str">
        <x:v>baseline</x:v>
      </x:c>
      <x:c r="F1043" s="11" t="n">
        <x:v>46249.4134212037</x:v>
      </x:c>
      <x:c r="G1043" t="str">
        <x:v>Byt</x:v>
      </x:c>
      <x:c r="H1043" s="12" t="n">
        <x:v>2</x:v>
      </x:c>
      <x:c r="I1043" s="13" t="n">
        <x:v>4</x:v>
      </x:c>
      <x:c r="J1043" t="str">
        <x:v>B</x:v>
      </x:c>
      <x:c r="K1043" s="14" t="n">
        <x:v>48.23</x:v>
      </x:c>
      <x:c r="L1043" s="14"/>
      <x:c r="M1043" s="14"/>
      <x:c r="N1043" s="14"/>
      <x:c r="O1043" s="14"/>
      <x:c r="P1043" s="14" t="n">
        <x:v>10.73</x:v>
      </x:c>
      <x:c r="Q1043" s="14" t="n">
        <x:v>58.96</x:v>
      </x:c>
      <x:c r="R1043" s="15"/>
      <x:c r="S1043" s="15"/>
      <x:c r="T1043" s="15"/>
      <x:c r="U1043" s="16"/>
      <x:c r="V1043" t="str">
        <x:v>Tatra Real</x:v>
      </x:c>
      <x:c r="W1043" t="str">
        <x:v>Ružinov</x:v>
      </x:c>
      <x:c r="X1043" s="11" t="str">
        <x:v>Čoskoro</x:v>
      </x:c>
      <x:c r="Y1043" s="11" t="str">
        <x:v>https://www.galvania.sk/byty/mam-zaujem-o-byt-B4.14/</x:v>
      </x:c>
      <x:c r="Z1043" s="11" t="n">
        <x:v>46249.4134212037</x:v>
      </x:c>
      <x:c r="AA1043" s="11" t="n">
        <x:v>46254.51251577547</x:v>
      </x:c>
      <x:c r="AB1043" s="11" t="n">
        <x:v>46254.51251577547</x:v>
      </x:c>
      <x:c r="AC1043" t="str">
        <x:v>galvania_rezidencie</x:v>
      </x:c>
    </x:row>
    <x:row r="1044" ht="22" customHeight="1">
      <x:c r="A1044" t="str">
        <x:v>Galvania Rezidencie</x:v>
      </x:c>
      <x:c r="B1044" t="str">
        <x:v>B4.15</x:v>
      </x:c>
      <x:c r="C1044" t="str">
        <x:v>coming_soon</x:v>
      </x:c>
      <x:c r="D1044" t="str">
        <x:v>present</x:v>
      </x:c>
      <x:c r="E1044" t="str">
        <x:v>baseline</x:v>
      </x:c>
      <x:c r="F1044" s="11" t="n">
        <x:v>46249.4134212037</x:v>
      </x:c>
      <x:c r="G1044" t="str">
        <x:v>Byt</x:v>
      </x:c>
      <x:c r="H1044" s="12" t="n">
        <x:v>2</x:v>
      </x:c>
      <x:c r="I1044" s="13" t="n">
        <x:v>4</x:v>
      </x:c>
      <x:c r="J1044" t="str">
        <x:v>B</x:v>
      </x:c>
      <x:c r="K1044" s="14" t="n">
        <x:v>48.22</x:v>
      </x:c>
      <x:c r="L1044" s="14"/>
      <x:c r="M1044" s="14"/>
      <x:c r="N1044" s="14"/>
      <x:c r="O1044" s="14"/>
      <x:c r="P1044" s="14" t="n">
        <x:v>5.57</x:v>
      </x:c>
      <x:c r="Q1044" s="14" t="n">
        <x:v>53.79</x:v>
      </x:c>
      <x:c r="R1044" s="15"/>
      <x:c r="S1044" s="15"/>
      <x:c r="T1044" s="15"/>
      <x:c r="U1044" s="16"/>
      <x:c r="V1044" t="str">
        <x:v>Tatra Real</x:v>
      </x:c>
      <x:c r="W1044" t="str">
        <x:v>Ružinov</x:v>
      </x:c>
      <x:c r="X1044" s="11" t="str">
        <x:v>Čoskoro</x:v>
      </x:c>
      <x:c r="Y1044" s="11" t="str">
        <x:v>https://www.galvania.sk/byty/mam-zaujem-o-byt-B4.15/</x:v>
      </x:c>
      <x:c r="Z1044" s="11" t="n">
        <x:v>46249.4134212037</x:v>
      </x:c>
      <x:c r="AA1044" s="11" t="n">
        <x:v>46254.51251577547</x:v>
      </x:c>
      <x:c r="AB1044" s="11" t="n">
        <x:v>46254.51251577547</x:v>
      </x:c>
      <x:c r="AC1044" t="str">
        <x:v>galvania_rezidencie</x:v>
      </x:c>
    </x:row>
    <x:row r="1045" ht="22" customHeight="1">
      <x:c r="A1045" t="str">
        <x:v>Galvania Rezidencie</x:v>
      </x:c>
      <x:c r="B1045" t="str">
        <x:v>B4.16</x:v>
      </x:c>
      <x:c r="C1045" t="str">
        <x:v>coming_soon</x:v>
      </x:c>
      <x:c r="D1045" t="str">
        <x:v>present</x:v>
      </x:c>
      <x:c r="E1045" t="str">
        <x:v>baseline</x:v>
      </x:c>
      <x:c r="F1045" s="11" t="n">
        <x:v>46249.4134212037</x:v>
      </x:c>
      <x:c r="G1045" t="str">
        <x:v>Byt</x:v>
      </x:c>
      <x:c r="H1045" s="12" t="n">
        <x:v>2</x:v>
      </x:c>
      <x:c r="I1045" s="13" t="n">
        <x:v>4</x:v>
      </x:c>
      <x:c r="J1045" t="str">
        <x:v>B</x:v>
      </x:c>
      <x:c r="K1045" s="14" t="n">
        <x:v>48.5</x:v>
      </x:c>
      <x:c r="L1045" s="14"/>
      <x:c r="M1045" s="14"/>
      <x:c r="N1045" s="14"/>
      <x:c r="O1045" s="14"/>
      <x:c r="P1045" s="14" t="n">
        <x:v>3.57</x:v>
      </x:c>
      <x:c r="Q1045" s="14" t="n">
        <x:v>52.07</x:v>
      </x:c>
      <x:c r="R1045" s="15"/>
      <x:c r="S1045" s="15"/>
      <x:c r="T1045" s="15"/>
      <x:c r="U1045" s="16"/>
      <x:c r="V1045" t="str">
        <x:v>Tatra Real</x:v>
      </x:c>
      <x:c r="W1045" t="str">
        <x:v>Ružinov</x:v>
      </x:c>
      <x:c r="X1045" s="11" t="str">
        <x:v>Čoskoro</x:v>
      </x:c>
      <x:c r="Y1045" s="11" t="str">
        <x:v>https://www.galvania.sk/byty/mam-zaujem-o-byt-B4.16/</x:v>
      </x:c>
      <x:c r="Z1045" s="11" t="n">
        <x:v>46249.4134212037</x:v>
      </x:c>
      <x:c r="AA1045" s="11" t="n">
        <x:v>46254.51251577547</x:v>
      </x:c>
      <x:c r="AB1045" s="11" t="n">
        <x:v>46254.51251577547</x:v>
      </x:c>
      <x:c r="AC1045" t="str">
        <x:v>galvania_rezidencie</x:v>
      </x:c>
    </x:row>
    <x:row r="1046" ht="22" customHeight="1">
      <x:c r="A1046" t="str">
        <x:v>Galvania Rezidencie</x:v>
      </x:c>
      <x:c r="B1046" t="str">
        <x:v>B5.01</x:v>
      </x:c>
      <x:c r="C1046" t="str">
        <x:v>coming_soon</x:v>
      </x:c>
      <x:c r="D1046" t="str">
        <x:v>present</x:v>
      </x:c>
      <x:c r="E1046" t="str">
        <x:v>baseline</x:v>
      </x:c>
      <x:c r="F1046" s="11" t="n">
        <x:v>46249.4134212037</x:v>
      </x:c>
      <x:c r="G1046" t="str">
        <x:v>Byt</x:v>
      </x:c>
      <x:c r="H1046" s="12" t="n">
        <x:v>2</x:v>
      </x:c>
      <x:c r="I1046" s="13" t="n">
        <x:v>5</x:v>
      </x:c>
      <x:c r="J1046" t="str">
        <x:v>B</x:v>
      </x:c>
      <x:c r="K1046" s="14" t="n">
        <x:v>48.52</x:v>
      </x:c>
      <x:c r="L1046" s="14"/>
      <x:c r="M1046" s="14"/>
      <x:c r="N1046" s="14"/>
      <x:c r="O1046" s="14"/>
      <x:c r="P1046" s="14" t="n">
        <x:v>6.53</x:v>
      </x:c>
      <x:c r="Q1046" s="14" t="n">
        <x:v>55.05</x:v>
      </x:c>
      <x:c r="R1046" s="15"/>
      <x:c r="S1046" s="15"/>
      <x:c r="T1046" s="15"/>
      <x:c r="U1046" s="16"/>
      <x:c r="V1046" t="str">
        <x:v>Tatra Real</x:v>
      </x:c>
      <x:c r="W1046" t="str">
        <x:v>Ružinov</x:v>
      </x:c>
      <x:c r="X1046" s="11" t="str">
        <x:v>Čoskoro</x:v>
      </x:c>
      <x:c r="Y1046" s="11" t="str">
        <x:v>https://www.galvania.sk/byty/mam-zaujem-o-byt-B5.01/</x:v>
      </x:c>
      <x:c r="Z1046" s="11" t="n">
        <x:v>46249.4134212037</x:v>
      </x:c>
      <x:c r="AA1046" s="11" t="n">
        <x:v>46254.51251577547</x:v>
      </x:c>
      <x:c r="AB1046" s="11" t="n">
        <x:v>46254.51251577547</x:v>
      </x:c>
      <x:c r="AC1046" t="str">
        <x:v>galvania_rezidencie</x:v>
      </x:c>
    </x:row>
    <x:row r="1047" ht="22" customHeight="1">
      <x:c r="A1047" t="str">
        <x:v>Galvania Rezidencie</x:v>
      </x:c>
      <x:c r="B1047" t="str">
        <x:v>B5.02</x:v>
      </x:c>
      <x:c r="C1047" t="str">
        <x:v>coming_soon</x:v>
      </x:c>
      <x:c r="D1047" t="str">
        <x:v>present</x:v>
      </x:c>
      <x:c r="E1047" t="str">
        <x:v>baseline</x:v>
      </x:c>
      <x:c r="F1047" s="11" t="n">
        <x:v>46249.4134212037</x:v>
      </x:c>
      <x:c r="G1047" t="str">
        <x:v>Byt</x:v>
      </x:c>
      <x:c r="H1047" s="12" t="n">
        <x:v>1</x:v>
      </x:c>
      <x:c r="I1047" s="13" t="n">
        <x:v>5</x:v>
      </x:c>
      <x:c r="J1047" t="str">
        <x:v>B</x:v>
      </x:c>
      <x:c r="K1047" s="14" t="n">
        <x:v>36.28</x:v>
      </x:c>
      <x:c r="L1047" s="14"/>
      <x:c r="M1047" s="14"/>
      <x:c r="N1047" s="14"/>
      <x:c r="O1047" s="14"/>
      <x:c r="P1047" s="14" t="n">
        <x:v>3.94</x:v>
      </x:c>
      <x:c r="Q1047" s="14" t="n">
        <x:v>40.22</x:v>
      </x:c>
      <x:c r="R1047" s="15"/>
      <x:c r="S1047" s="15"/>
      <x:c r="T1047" s="15"/>
      <x:c r="U1047" s="16"/>
      <x:c r="V1047" t="str">
        <x:v>Tatra Real</x:v>
      </x:c>
      <x:c r="W1047" t="str">
        <x:v>Ružinov</x:v>
      </x:c>
      <x:c r="X1047" s="11" t="str">
        <x:v>Čoskoro</x:v>
      </x:c>
      <x:c r="Y1047" s="11" t="str">
        <x:v>https://www.galvania.sk/byty/mam-zaujem-o-byt-B5.02/</x:v>
      </x:c>
      <x:c r="Z1047" s="11" t="n">
        <x:v>46249.4134212037</x:v>
      </x:c>
      <x:c r="AA1047" s="11" t="n">
        <x:v>46254.51251577547</x:v>
      </x:c>
      <x:c r="AB1047" s="11" t="n">
        <x:v>46254.51251577547</x:v>
      </x:c>
      <x:c r="AC1047" t="str">
        <x:v>galvania_rezidencie</x:v>
      </x:c>
    </x:row>
    <x:row r="1048" ht="22" customHeight="1">
      <x:c r="A1048" t="str">
        <x:v>Galvania Rezidencie</x:v>
      </x:c>
      <x:c r="B1048" t="str">
        <x:v>B5.03</x:v>
      </x:c>
      <x:c r="C1048" t="str">
        <x:v>coming_soon</x:v>
      </x:c>
      <x:c r="D1048" t="str">
        <x:v>present</x:v>
      </x:c>
      <x:c r="E1048" t="str">
        <x:v>baseline</x:v>
      </x:c>
      <x:c r="F1048" s="11" t="n">
        <x:v>46249.4134212037</x:v>
      </x:c>
      <x:c r="G1048" t="str">
        <x:v>Byt</x:v>
      </x:c>
      <x:c r="H1048" s="12" t="n">
        <x:v>2</x:v>
      </x:c>
      <x:c r="I1048" s="13" t="n">
        <x:v>5</x:v>
      </x:c>
      <x:c r="J1048" t="str">
        <x:v>B</x:v>
      </x:c>
      <x:c r="K1048" s="14" t="n">
        <x:v>47.84</x:v>
      </x:c>
      <x:c r="L1048" s="14"/>
      <x:c r="M1048" s="14"/>
      <x:c r="N1048" s="14"/>
      <x:c r="O1048" s="14"/>
      <x:c r="P1048" s="14" t="n">
        <x:v>11.31</x:v>
      </x:c>
      <x:c r="Q1048" s="14" t="n">
        <x:v>59.15</x:v>
      </x:c>
      <x:c r="R1048" s="15"/>
      <x:c r="S1048" s="15"/>
      <x:c r="T1048" s="15"/>
      <x:c r="U1048" s="16"/>
      <x:c r="V1048" t="str">
        <x:v>Tatra Real</x:v>
      </x:c>
      <x:c r="W1048" t="str">
        <x:v>Ružinov</x:v>
      </x:c>
      <x:c r="X1048" s="11" t="str">
        <x:v>Čoskoro</x:v>
      </x:c>
      <x:c r="Y1048" s="11" t="str">
        <x:v>https://www.galvania.sk/byty/mam-zaujem-o-byt-B5.03/</x:v>
      </x:c>
      <x:c r="Z1048" s="11" t="n">
        <x:v>46249.4134212037</x:v>
      </x:c>
      <x:c r="AA1048" s="11" t="n">
        <x:v>46254.51251577547</x:v>
      </x:c>
      <x:c r="AB1048" s="11" t="n">
        <x:v>46254.51251577547</x:v>
      </x:c>
      <x:c r="AC1048" t="str">
        <x:v>galvania_rezidencie</x:v>
      </x:c>
    </x:row>
    <x:row r="1049" ht="22" customHeight="1">
      <x:c r="A1049" t="str">
        <x:v>Galvania Rezidencie</x:v>
      </x:c>
      <x:c r="B1049" t="str">
        <x:v>B5.04</x:v>
      </x:c>
      <x:c r="C1049" t="str">
        <x:v>coming_soon</x:v>
      </x:c>
      <x:c r="D1049" t="str">
        <x:v>present</x:v>
      </x:c>
      <x:c r="E1049" t="str">
        <x:v>baseline</x:v>
      </x:c>
      <x:c r="F1049" s="11" t="n">
        <x:v>46249.4134212037</x:v>
      </x:c>
      <x:c r="G1049" t="str">
        <x:v>Byt</x:v>
      </x:c>
      <x:c r="H1049" s="12" t="n">
        <x:v>3</x:v>
      </x:c>
      <x:c r="I1049" s="13" t="n">
        <x:v>5</x:v>
      </x:c>
      <x:c r="J1049" t="str">
        <x:v>B</x:v>
      </x:c>
      <x:c r="K1049" s="14" t="n">
        <x:v>62.79</x:v>
      </x:c>
      <x:c r="L1049" s="14"/>
      <x:c r="M1049" s="14"/>
      <x:c r="N1049" s="14"/>
      <x:c r="O1049" s="14"/>
      <x:c r="P1049" s="14" t="n">
        <x:v>21.26</x:v>
      </x:c>
      <x:c r="Q1049" s="14" t="n">
        <x:v>84.05</x:v>
      </x:c>
      <x:c r="R1049" s="15"/>
      <x:c r="S1049" s="15"/>
      <x:c r="T1049" s="15"/>
      <x:c r="U1049" s="16"/>
      <x:c r="V1049" t="str">
        <x:v>Tatra Real</x:v>
      </x:c>
      <x:c r="W1049" t="str">
        <x:v>Ružinov</x:v>
      </x:c>
      <x:c r="X1049" s="11" t="str">
        <x:v>Čoskoro</x:v>
      </x:c>
      <x:c r="Y1049" s="11" t="str">
        <x:v>https://www.galvania.sk/byty/mam-zaujem-o-byt-B5.04/</x:v>
      </x:c>
      <x:c r="Z1049" s="11" t="n">
        <x:v>46249.4134212037</x:v>
      </x:c>
      <x:c r="AA1049" s="11" t="n">
        <x:v>46254.51251577547</x:v>
      </x:c>
      <x:c r="AB1049" s="11" t="n">
        <x:v>46254.51251577547</x:v>
      </x:c>
      <x:c r="AC1049" t="str">
        <x:v>galvania_rezidencie</x:v>
      </x:c>
    </x:row>
    <x:row r="1050" ht="22" customHeight="1">
      <x:c r="A1050" t="str">
        <x:v>Galvania Rezidencie</x:v>
      </x:c>
      <x:c r="B1050" t="str">
        <x:v>B5.05</x:v>
      </x:c>
      <x:c r="C1050" t="str">
        <x:v>coming_soon</x:v>
      </x:c>
      <x:c r="D1050" t="str">
        <x:v>present</x:v>
      </x:c>
      <x:c r="E1050" t="str">
        <x:v>baseline</x:v>
      </x:c>
      <x:c r="F1050" s="11" t="n">
        <x:v>46249.4134212037</x:v>
      </x:c>
      <x:c r="G1050" t="str">
        <x:v>Byt</x:v>
      </x:c>
      <x:c r="H1050" s="12" t="n">
        <x:v>2</x:v>
      </x:c>
      <x:c r="I1050" s="13" t="n">
        <x:v>5</x:v>
      </x:c>
      <x:c r="J1050" t="str">
        <x:v>B</x:v>
      </x:c>
      <x:c r="K1050" s="14" t="n">
        <x:v>47.34</x:v>
      </x:c>
      <x:c r="L1050" s="14"/>
      <x:c r="M1050" s="14"/>
      <x:c r="N1050" s="14"/>
      <x:c r="O1050" s="14"/>
      <x:c r="P1050" s="14" t="n">
        <x:v>10.92</x:v>
      </x:c>
      <x:c r="Q1050" s="14" t="n">
        <x:v>58.26</x:v>
      </x:c>
      <x:c r="R1050" s="15"/>
      <x:c r="S1050" s="15"/>
      <x:c r="T1050" s="15"/>
      <x:c r="U1050" s="16"/>
      <x:c r="V1050" t="str">
        <x:v>Tatra Real</x:v>
      </x:c>
      <x:c r="W1050" t="str">
        <x:v>Ružinov</x:v>
      </x:c>
      <x:c r="X1050" s="11" t="str">
        <x:v>Čoskoro</x:v>
      </x:c>
      <x:c r="Y1050" s="11" t="str">
        <x:v>https://www.galvania.sk/byty/mam-zaujem-o-byt-B5.05/</x:v>
      </x:c>
      <x:c r="Z1050" s="11" t="n">
        <x:v>46249.4134212037</x:v>
      </x:c>
      <x:c r="AA1050" s="11" t="n">
        <x:v>46254.51251577547</x:v>
      </x:c>
      <x:c r="AB1050" s="11" t="n">
        <x:v>46254.51251577547</x:v>
      </x:c>
      <x:c r="AC1050" t="str">
        <x:v>galvania_rezidencie</x:v>
      </x:c>
    </x:row>
    <x:row r="1051" ht="22" customHeight="1">
      <x:c r="A1051" t="str">
        <x:v>Galvania Rezidencie</x:v>
      </x:c>
      <x:c r="B1051" t="str">
        <x:v>B5.06</x:v>
      </x:c>
      <x:c r="C1051" t="str">
        <x:v>coming_soon</x:v>
      </x:c>
      <x:c r="D1051" t="str">
        <x:v>present</x:v>
      </x:c>
      <x:c r="E1051" t="str">
        <x:v>baseline</x:v>
      </x:c>
      <x:c r="F1051" s="11" t="n">
        <x:v>46249.4134212037</x:v>
      </x:c>
      <x:c r="G1051" t="str">
        <x:v>Byt</x:v>
      </x:c>
      <x:c r="H1051" s="12" t="n">
        <x:v>2</x:v>
      </x:c>
      <x:c r="I1051" s="13" t="n">
        <x:v>5</x:v>
      </x:c>
      <x:c r="J1051" t="str">
        <x:v>B</x:v>
      </x:c>
      <x:c r="K1051" s="14" t="n">
        <x:v>47.34</x:v>
      </x:c>
      <x:c r="L1051" s="14"/>
      <x:c r="M1051" s="14"/>
      <x:c r="N1051" s="14"/>
      <x:c r="O1051" s="14"/>
      <x:c r="P1051" s="14" t="n">
        <x:v>10.92</x:v>
      </x:c>
      <x:c r="Q1051" s="14" t="n">
        <x:v>58.26</x:v>
      </x:c>
      <x:c r="R1051" s="15"/>
      <x:c r="S1051" s="15"/>
      <x:c r="T1051" s="15"/>
      <x:c r="U1051" s="16"/>
      <x:c r="V1051" t="str">
        <x:v>Tatra Real</x:v>
      </x:c>
      <x:c r="W1051" t="str">
        <x:v>Ružinov</x:v>
      </x:c>
      <x:c r="X1051" s="11" t="str">
        <x:v>Čoskoro</x:v>
      </x:c>
      <x:c r="Y1051" s="11" t="str">
        <x:v>https://www.galvania.sk/byty/mam-zaujem-o-byt-B5.06/</x:v>
      </x:c>
      <x:c r="Z1051" s="11" t="n">
        <x:v>46249.4134212037</x:v>
      </x:c>
      <x:c r="AA1051" s="11" t="n">
        <x:v>46254.51251577547</x:v>
      </x:c>
      <x:c r="AB1051" s="11" t="n">
        <x:v>46254.51251577547</x:v>
      </x:c>
      <x:c r="AC1051" t="str">
        <x:v>galvania_rezidencie</x:v>
      </x:c>
    </x:row>
    <x:row r="1052" ht="22" customHeight="1">
      <x:c r="A1052" t="str">
        <x:v>Galvania Rezidencie</x:v>
      </x:c>
      <x:c r="B1052" t="str">
        <x:v>B5.07</x:v>
      </x:c>
      <x:c r="C1052" t="str">
        <x:v>coming_soon</x:v>
      </x:c>
      <x:c r="D1052" t="str">
        <x:v>present</x:v>
      </x:c>
      <x:c r="E1052" t="str">
        <x:v>baseline</x:v>
      </x:c>
      <x:c r="F1052" s="11" t="n">
        <x:v>46249.4134212037</x:v>
      </x:c>
      <x:c r="G1052" t="str">
        <x:v>Byt</x:v>
      </x:c>
      <x:c r="H1052" s="12" t="n">
        <x:v>2</x:v>
      </x:c>
      <x:c r="I1052" s="13" t="n">
        <x:v>5</x:v>
      </x:c>
      <x:c r="J1052" t="str">
        <x:v>B</x:v>
      </x:c>
      <x:c r="K1052" s="14" t="n">
        <x:v>47.34</x:v>
      </x:c>
      <x:c r="L1052" s="14"/>
      <x:c r="M1052" s="14"/>
      <x:c r="N1052" s="14"/>
      <x:c r="O1052" s="14"/>
      <x:c r="P1052" s="14" t="n">
        <x:v>11.05</x:v>
      </x:c>
      <x:c r="Q1052" s="14" t="n">
        <x:v>58.39</x:v>
      </x:c>
      <x:c r="R1052" s="15"/>
      <x:c r="S1052" s="15"/>
      <x:c r="T1052" s="15"/>
      <x:c r="U1052" s="16"/>
      <x:c r="V1052" t="str">
        <x:v>Tatra Real</x:v>
      </x:c>
      <x:c r="W1052" t="str">
        <x:v>Ružinov</x:v>
      </x:c>
      <x:c r="X1052" s="11" t="str">
        <x:v>Čoskoro</x:v>
      </x:c>
      <x:c r="Y1052" s="11" t="str">
        <x:v>https://www.galvania.sk/byty/mam-zaujem-o-byt-B5.07/</x:v>
      </x:c>
      <x:c r="Z1052" s="11" t="n">
        <x:v>46249.4134212037</x:v>
      </x:c>
      <x:c r="AA1052" s="11" t="n">
        <x:v>46254.51251577547</x:v>
      </x:c>
      <x:c r="AB1052" s="11" t="n">
        <x:v>46254.51251577547</x:v>
      </x:c>
      <x:c r="AC1052" t="str">
        <x:v>galvania_rezidencie</x:v>
      </x:c>
    </x:row>
    <x:row r="1053" ht="22" customHeight="1">
      <x:c r="A1053" t="str">
        <x:v>Galvania Rezidencie</x:v>
      </x:c>
      <x:c r="B1053" t="str">
        <x:v>B5.08</x:v>
      </x:c>
      <x:c r="C1053" t="str">
        <x:v>coming_soon</x:v>
      </x:c>
      <x:c r="D1053" t="str">
        <x:v>present</x:v>
      </x:c>
      <x:c r="E1053" t="str">
        <x:v>baseline</x:v>
      </x:c>
      <x:c r="F1053" s="11" t="n">
        <x:v>46249.4134212037</x:v>
      </x:c>
      <x:c r="G1053" t="str">
        <x:v>Byt</x:v>
      </x:c>
      <x:c r="H1053" s="12" t="n">
        <x:v>2</x:v>
      </x:c>
      <x:c r="I1053" s="13" t="n">
        <x:v>5</x:v>
      </x:c>
      <x:c r="J1053" t="str">
        <x:v>B</x:v>
      </x:c>
      <x:c r="K1053" s="14" t="n">
        <x:v>47.34</x:v>
      </x:c>
      <x:c r="L1053" s="14"/>
      <x:c r="M1053" s="14"/>
      <x:c r="N1053" s="14"/>
      <x:c r="O1053" s="14"/>
      <x:c r="P1053" s="14" t="n">
        <x:v>10.9</x:v>
      </x:c>
      <x:c r="Q1053" s="14" t="n">
        <x:v>58.24</x:v>
      </x:c>
      <x:c r="R1053" s="15"/>
      <x:c r="S1053" s="15"/>
      <x:c r="T1053" s="15"/>
      <x:c r="U1053" s="16"/>
      <x:c r="V1053" t="str">
        <x:v>Tatra Real</x:v>
      </x:c>
      <x:c r="W1053" t="str">
        <x:v>Ružinov</x:v>
      </x:c>
      <x:c r="X1053" s="11" t="str">
        <x:v>Čoskoro</x:v>
      </x:c>
      <x:c r="Y1053" s="11" t="str">
        <x:v>https://www.galvania.sk/byty/mam-zaujem-o-byt-B5.08/</x:v>
      </x:c>
      <x:c r="Z1053" s="11" t="n">
        <x:v>46249.4134212037</x:v>
      </x:c>
      <x:c r="AA1053" s="11" t="n">
        <x:v>46254.51251577547</x:v>
      </x:c>
      <x:c r="AB1053" s="11" t="n">
        <x:v>46254.51251577547</x:v>
      </x:c>
      <x:c r="AC1053" t="str">
        <x:v>galvania_rezidencie</x:v>
      </x:c>
    </x:row>
    <x:row r="1054" ht="22" customHeight="1">
      <x:c r="A1054" t="str">
        <x:v>Galvania Rezidencie</x:v>
      </x:c>
      <x:c r="B1054" t="str">
        <x:v>B5.09</x:v>
      </x:c>
      <x:c r="C1054" t="str">
        <x:v>coming_soon</x:v>
      </x:c>
      <x:c r="D1054" t="str">
        <x:v>present</x:v>
      </x:c>
      <x:c r="E1054" t="str">
        <x:v>baseline</x:v>
      </x:c>
      <x:c r="F1054" s="11" t="n">
        <x:v>46249.4134212037</x:v>
      </x:c>
      <x:c r="G1054" t="str">
        <x:v>Byt</x:v>
      </x:c>
      <x:c r="H1054" s="12" t="n">
        <x:v>2</x:v>
      </x:c>
      <x:c r="I1054" s="13" t="n">
        <x:v>5</x:v>
      </x:c>
      <x:c r="J1054" t="str">
        <x:v>B</x:v>
      </x:c>
      <x:c r="K1054" s="14" t="n">
        <x:v>47.34</x:v>
      </x:c>
      <x:c r="L1054" s="14"/>
      <x:c r="M1054" s="14"/>
      <x:c r="N1054" s="14"/>
      <x:c r="O1054" s="14"/>
      <x:c r="P1054" s="14" t="n">
        <x:v>10.9</x:v>
      </x:c>
      <x:c r="Q1054" s="14" t="n">
        <x:v>58.24</x:v>
      </x:c>
      <x:c r="R1054" s="15"/>
      <x:c r="S1054" s="15"/>
      <x:c r="T1054" s="15"/>
      <x:c r="U1054" s="16"/>
      <x:c r="V1054" t="str">
        <x:v>Tatra Real</x:v>
      </x:c>
      <x:c r="W1054" t="str">
        <x:v>Ružinov</x:v>
      </x:c>
      <x:c r="X1054" s="11" t="str">
        <x:v>Čoskoro</x:v>
      </x:c>
      <x:c r="Y1054" s="11" t="str">
        <x:v>https://www.galvania.sk/byty/mam-zaujem-o-byt-B5.09/</x:v>
      </x:c>
      <x:c r="Z1054" s="11" t="n">
        <x:v>46249.4134212037</x:v>
      </x:c>
      <x:c r="AA1054" s="11" t="n">
        <x:v>46254.51251577547</x:v>
      </x:c>
      <x:c r="AB1054" s="11" t="n">
        <x:v>46254.51251577547</x:v>
      </x:c>
      <x:c r="AC1054" t="str">
        <x:v>galvania_rezidencie</x:v>
      </x:c>
    </x:row>
    <x:row r="1055" ht="22" customHeight="1">
      <x:c r="A1055" t="str">
        <x:v>Galvania Rezidencie</x:v>
      </x:c>
      <x:c r="B1055" t="str">
        <x:v>B5.10</x:v>
      </x:c>
      <x:c r="C1055" t="str">
        <x:v>coming_soon</x:v>
      </x:c>
      <x:c r="D1055" t="str">
        <x:v>present</x:v>
      </x:c>
      <x:c r="E1055" t="str">
        <x:v>baseline</x:v>
      </x:c>
      <x:c r="F1055" s="11" t="n">
        <x:v>46249.4134212037</x:v>
      </x:c>
      <x:c r="G1055" t="str">
        <x:v>Byt</x:v>
      </x:c>
      <x:c r="H1055" s="12" t="n">
        <x:v>2</x:v>
      </x:c>
      <x:c r="I1055" s="13" t="n">
        <x:v>5</x:v>
      </x:c>
      <x:c r="J1055" t="str">
        <x:v>B</x:v>
      </x:c>
      <x:c r="K1055" s="14" t="n">
        <x:v>47.34</x:v>
      </x:c>
      <x:c r="L1055" s="14"/>
      <x:c r="M1055" s="14"/>
      <x:c r="N1055" s="14"/>
      <x:c r="O1055" s="14"/>
      <x:c r="P1055" s="14" t="n">
        <x:v>11.11</x:v>
      </x:c>
      <x:c r="Q1055" s="14" t="n">
        <x:v>58.45</x:v>
      </x:c>
      <x:c r="R1055" s="15"/>
      <x:c r="S1055" s="15"/>
      <x:c r="T1055" s="15"/>
      <x:c r="U1055" s="16"/>
      <x:c r="V1055" t="str">
        <x:v>Tatra Real</x:v>
      </x:c>
      <x:c r="W1055" t="str">
        <x:v>Ružinov</x:v>
      </x:c>
      <x:c r="X1055" s="11" t="str">
        <x:v>Čoskoro</x:v>
      </x:c>
      <x:c r="Y1055" s="11" t="str">
        <x:v>https://www.galvania.sk/byty/mam-zaujem-o-byt-B5.10/</x:v>
      </x:c>
      <x:c r="Z1055" s="11" t="n">
        <x:v>46249.4134212037</x:v>
      </x:c>
      <x:c r="AA1055" s="11" t="n">
        <x:v>46254.51251577547</x:v>
      </x:c>
      <x:c r="AB1055" s="11" t="n">
        <x:v>46254.51251577547</x:v>
      </x:c>
      <x:c r="AC1055" t="str">
        <x:v>galvania_rezidencie</x:v>
      </x:c>
    </x:row>
    <x:row r="1056" ht="22" customHeight="1">
      <x:c r="A1056" t="str">
        <x:v>Galvania Rezidencie</x:v>
      </x:c>
      <x:c r="B1056" t="str">
        <x:v>B5.11</x:v>
      </x:c>
      <x:c r="C1056" t="str">
        <x:v>coming_soon</x:v>
      </x:c>
      <x:c r="D1056" t="str">
        <x:v>present</x:v>
      </x:c>
      <x:c r="E1056" t="str">
        <x:v>baseline</x:v>
      </x:c>
      <x:c r="F1056" s="11" t="n">
        <x:v>46249.4134212037</x:v>
      </x:c>
      <x:c r="G1056" t="str">
        <x:v>Apartmán</x:v>
      </x:c>
      <x:c r="H1056" s="12" t="n">
        <x:v>2</x:v>
      </x:c>
      <x:c r="I1056" s="13" t="n">
        <x:v>5</x:v>
      </x:c>
      <x:c r="J1056" t="str">
        <x:v>B</x:v>
      </x:c>
      <x:c r="K1056" s="14" t="n">
        <x:v>51.59</x:v>
      </x:c>
      <x:c r="L1056" s="14"/>
      <x:c r="M1056" s="14"/>
      <x:c r="N1056" s="14"/>
      <x:c r="O1056" s="14"/>
      <x:c r="P1056" s="14" t="n">
        <x:v>9.88</x:v>
      </x:c>
      <x:c r="Q1056" s="14" t="n">
        <x:v>61.47</x:v>
      </x:c>
      <x:c r="R1056" s="15"/>
      <x:c r="S1056" s="15"/>
      <x:c r="T1056" s="15"/>
      <x:c r="U1056" s="16"/>
      <x:c r="V1056" t="str">
        <x:v>Tatra Real</x:v>
      </x:c>
      <x:c r="W1056" t="str">
        <x:v>Ružinov</x:v>
      </x:c>
      <x:c r="X1056" s="11" t="str">
        <x:v>Čoskoro</x:v>
      </x:c>
      <x:c r="Y1056" s="11" t="str">
        <x:v>https://www.galvania.sk/byty/mam-zaujem-o-byt-B5.11/</x:v>
      </x:c>
      <x:c r="Z1056" s="11" t="n">
        <x:v>46249.4134212037</x:v>
      </x:c>
      <x:c r="AA1056" s="11" t="n">
        <x:v>46254.51251577547</x:v>
      </x:c>
      <x:c r="AB1056" s="11" t="n">
        <x:v>46254.51251577547</x:v>
      </x:c>
      <x:c r="AC1056" t="str">
        <x:v>galvania_rezidencie</x:v>
      </x:c>
    </x:row>
    <x:row r="1057" ht="22" customHeight="1">
      <x:c r="A1057" t="str">
        <x:v>Galvania Rezidencie</x:v>
      </x:c>
      <x:c r="B1057" t="str">
        <x:v>B5.12</x:v>
      </x:c>
      <x:c r="C1057" t="str">
        <x:v>coming_soon</x:v>
      </x:c>
      <x:c r="D1057" t="str">
        <x:v>present</x:v>
      </x:c>
      <x:c r="E1057" t="str">
        <x:v>baseline</x:v>
      </x:c>
      <x:c r="F1057" s="11" t="n">
        <x:v>46249.4134212037</x:v>
      </x:c>
      <x:c r="G1057" t="str">
        <x:v>Byt</x:v>
      </x:c>
      <x:c r="H1057" s="12" t="n">
        <x:v>2</x:v>
      </x:c>
      <x:c r="I1057" s="13" t="n">
        <x:v>5</x:v>
      </x:c>
      <x:c r="J1057" t="str">
        <x:v>B</x:v>
      </x:c>
      <x:c r="K1057" s="14" t="n">
        <x:v>52.55</x:v>
      </x:c>
      <x:c r="L1057" s="14"/>
      <x:c r="M1057" s="14"/>
      <x:c r="N1057" s="14"/>
      <x:c r="O1057" s="14"/>
      <x:c r="P1057" s="14" t="n">
        <x:v>5.16</x:v>
      </x:c>
      <x:c r="Q1057" s="14" t="n">
        <x:v>57.71</x:v>
      </x:c>
      <x:c r="R1057" s="15"/>
      <x:c r="S1057" s="15"/>
      <x:c r="T1057" s="15"/>
      <x:c r="U1057" s="16"/>
      <x:c r="V1057" t="str">
        <x:v>Tatra Real</x:v>
      </x:c>
      <x:c r="W1057" t="str">
        <x:v>Ružinov</x:v>
      </x:c>
      <x:c r="X1057" s="11" t="str">
        <x:v>Čoskoro</x:v>
      </x:c>
      <x:c r="Y1057" s="11" t="str">
        <x:v>https://www.galvania.sk/byty/mam-zaujem-o-byt-B5.12/</x:v>
      </x:c>
      <x:c r="Z1057" s="11" t="n">
        <x:v>46249.4134212037</x:v>
      </x:c>
      <x:c r="AA1057" s="11" t="n">
        <x:v>46254.51251577547</x:v>
      </x:c>
      <x:c r="AB1057" s="11" t="n">
        <x:v>46254.51251577547</x:v>
      </x:c>
      <x:c r="AC1057" t="str">
        <x:v>galvania_rezidencie</x:v>
      </x:c>
    </x:row>
    <x:row r="1058" ht="22" customHeight="1">
      <x:c r="A1058" t="str">
        <x:v>Galvania Rezidencie</x:v>
      </x:c>
      <x:c r="B1058" t="str">
        <x:v>B5.13</x:v>
      </x:c>
      <x:c r="C1058" t="str">
        <x:v>coming_soon</x:v>
      </x:c>
      <x:c r="D1058" t="str">
        <x:v>present</x:v>
      </x:c>
      <x:c r="E1058" t="str">
        <x:v>baseline</x:v>
      </x:c>
      <x:c r="F1058" s="11" t="n">
        <x:v>46249.4134212037</x:v>
      </x:c>
      <x:c r="G1058" t="str">
        <x:v>Byt</x:v>
      </x:c>
      <x:c r="H1058" s="12" t="n">
        <x:v>2</x:v>
      </x:c>
      <x:c r="I1058" s="13" t="n">
        <x:v>5</x:v>
      </x:c>
      <x:c r="J1058" t="str">
        <x:v>B</x:v>
      </x:c>
      <x:c r="K1058" s="14" t="n">
        <x:v>47.74</x:v>
      </x:c>
      <x:c r="L1058" s="14"/>
      <x:c r="M1058" s="14"/>
      <x:c r="N1058" s="14"/>
      <x:c r="O1058" s="14"/>
      <x:c r="P1058" s="14" t="n">
        <x:v>10.72</x:v>
      </x:c>
      <x:c r="Q1058" s="14" t="n">
        <x:v>58.46</x:v>
      </x:c>
      <x:c r="R1058" s="15"/>
      <x:c r="S1058" s="15"/>
      <x:c r="T1058" s="15"/>
      <x:c r="U1058" s="16"/>
      <x:c r="V1058" t="str">
        <x:v>Tatra Real</x:v>
      </x:c>
      <x:c r="W1058" t="str">
        <x:v>Ružinov</x:v>
      </x:c>
      <x:c r="X1058" s="11" t="str">
        <x:v>Čoskoro</x:v>
      </x:c>
      <x:c r="Y1058" s="11" t="str">
        <x:v>https://www.galvania.sk/byty/mam-zaujem-o-byt-B5.13/</x:v>
      </x:c>
      <x:c r="Z1058" s="11" t="n">
        <x:v>46249.4134212037</x:v>
      </x:c>
      <x:c r="AA1058" s="11" t="n">
        <x:v>46254.51251577547</x:v>
      </x:c>
      <x:c r="AB1058" s="11" t="n">
        <x:v>46254.51251577547</x:v>
      </x:c>
      <x:c r="AC1058" t="str">
        <x:v>galvania_rezidencie</x:v>
      </x:c>
    </x:row>
    <x:row r="1059" ht="22" customHeight="1">
      <x:c r="A1059" t="str">
        <x:v>Galvania Rezidencie</x:v>
      </x:c>
      <x:c r="B1059" t="str">
        <x:v>B5.14</x:v>
      </x:c>
      <x:c r="C1059" t="str">
        <x:v>coming_soon</x:v>
      </x:c>
      <x:c r="D1059" t="str">
        <x:v>present</x:v>
      </x:c>
      <x:c r="E1059" t="str">
        <x:v>baseline</x:v>
      </x:c>
      <x:c r="F1059" s="11" t="n">
        <x:v>46249.4134212037</x:v>
      </x:c>
      <x:c r="G1059" t="str">
        <x:v>Byt</x:v>
      </x:c>
      <x:c r="H1059" s="12" t="n">
        <x:v>2</x:v>
      </x:c>
      <x:c r="I1059" s="13" t="n">
        <x:v>5</x:v>
      </x:c>
      <x:c r="J1059" t="str">
        <x:v>B</x:v>
      </x:c>
      <x:c r="K1059" s="14" t="n">
        <x:v>48.23</x:v>
      </x:c>
      <x:c r="L1059" s="14"/>
      <x:c r="M1059" s="14"/>
      <x:c r="N1059" s="14"/>
      <x:c r="O1059" s="14"/>
      <x:c r="P1059" s="14" t="n">
        <x:v>10.73</x:v>
      </x:c>
      <x:c r="Q1059" s="14" t="n">
        <x:v>58.96</x:v>
      </x:c>
      <x:c r="R1059" s="15"/>
      <x:c r="S1059" s="15"/>
      <x:c r="T1059" s="15"/>
      <x:c r="U1059" s="16"/>
      <x:c r="V1059" t="str">
        <x:v>Tatra Real</x:v>
      </x:c>
      <x:c r="W1059" t="str">
        <x:v>Ružinov</x:v>
      </x:c>
      <x:c r="X1059" s="11" t="str">
        <x:v>Čoskoro</x:v>
      </x:c>
      <x:c r="Y1059" s="11" t="str">
        <x:v>https://www.galvania.sk/byty/mam-zaujem-o-byt-B5.14/</x:v>
      </x:c>
      <x:c r="Z1059" s="11" t="n">
        <x:v>46249.4134212037</x:v>
      </x:c>
      <x:c r="AA1059" s="11" t="n">
        <x:v>46254.51251577547</x:v>
      </x:c>
      <x:c r="AB1059" s="11" t="n">
        <x:v>46254.51251577547</x:v>
      </x:c>
      <x:c r="AC1059" t="str">
        <x:v>galvania_rezidencie</x:v>
      </x:c>
    </x:row>
    <x:row r="1060" ht="22" customHeight="1">
      <x:c r="A1060" t="str">
        <x:v>Galvania Rezidencie</x:v>
      </x:c>
      <x:c r="B1060" t="str">
        <x:v>B5.15</x:v>
      </x:c>
      <x:c r="C1060" t="str">
        <x:v>coming_soon</x:v>
      </x:c>
      <x:c r="D1060" t="str">
        <x:v>present</x:v>
      </x:c>
      <x:c r="E1060" t="str">
        <x:v>baseline</x:v>
      </x:c>
      <x:c r="F1060" s="11" t="n">
        <x:v>46249.4134212037</x:v>
      </x:c>
      <x:c r="G1060" t="str">
        <x:v>Byt</x:v>
      </x:c>
      <x:c r="H1060" s="12" t="n">
        <x:v>2</x:v>
      </x:c>
      <x:c r="I1060" s="13" t="n">
        <x:v>5</x:v>
      </x:c>
      <x:c r="J1060" t="str">
        <x:v>B</x:v>
      </x:c>
      <x:c r="K1060" s="14" t="n">
        <x:v>48.23</x:v>
      </x:c>
      <x:c r="L1060" s="14"/>
      <x:c r="M1060" s="14"/>
      <x:c r="N1060" s="14"/>
      <x:c r="O1060" s="14"/>
      <x:c r="P1060" s="14" t="n">
        <x:v>5.57</x:v>
      </x:c>
      <x:c r="Q1060" s="14" t="n">
        <x:v>53.8</x:v>
      </x:c>
      <x:c r="R1060" s="15"/>
      <x:c r="S1060" s="15"/>
      <x:c r="T1060" s="15"/>
      <x:c r="U1060" s="16"/>
      <x:c r="V1060" t="str">
        <x:v>Tatra Real</x:v>
      </x:c>
      <x:c r="W1060" t="str">
        <x:v>Ružinov</x:v>
      </x:c>
      <x:c r="X1060" s="11" t="str">
        <x:v>Čoskoro</x:v>
      </x:c>
      <x:c r="Y1060" s="11" t="str">
        <x:v>https://www.galvania.sk/byty/mam-zaujem-o-byt-B5.15/</x:v>
      </x:c>
      <x:c r="Z1060" s="11" t="n">
        <x:v>46249.4134212037</x:v>
      </x:c>
      <x:c r="AA1060" s="11" t="n">
        <x:v>46254.51251577547</x:v>
      </x:c>
      <x:c r="AB1060" s="11" t="n">
        <x:v>46254.51251577547</x:v>
      </x:c>
      <x:c r="AC1060" t="str">
        <x:v>galvania_rezidencie</x:v>
      </x:c>
    </x:row>
    <x:row r="1061" ht="22" customHeight="1">
      <x:c r="A1061" t="str">
        <x:v>Galvania Rezidencie</x:v>
      </x:c>
      <x:c r="B1061" t="str">
        <x:v>B5.16</x:v>
      </x:c>
      <x:c r="C1061" t="str">
        <x:v>coming_soon</x:v>
      </x:c>
      <x:c r="D1061" t="str">
        <x:v>present</x:v>
      </x:c>
      <x:c r="E1061" t="str">
        <x:v>baseline</x:v>
      </x:c>
      <x:c r="F1061" s="11" t="n">
        <x:v>46249.4134212037</x:v>
      </x:c>
      <x:c r="G1061" t="str">
        <x:v>Byt</x:v>
      </x:c>
      <x:c r="H1061" s="12" t="n">
        <x:v>2</x:v>
      </x:c>
      <x:c r="I1061" s="13" t="n">
        <x:v>5</x:v>
      </x:c>
      <x:c r="J1061" t="str">
        <x:v>B</x:v>
      </x:c>
      <x:c r="K1061" s="14" t="n">
        <x:v>48.5</x:v>
      </x:c>
      <x:c r="L1061" s="14"/>
      <x:c r="M1061" s="14"/>
      <x:c r="N1061" s="14"/>
      <x:c r="O1061" s="14"/>
      <x:c r="P1061" s="14" t="n">
        <x:v>3.57</x:v>
      </x:c>
      <x:c r="Q1061" s="14" t="n">
        <x:v>52.07</x:v>
      </x:c>
      <x:c r="R1061" s="15"/>
      <x:c r="S1061" s="15"/>
      <x:c r="T1061" s="15"/>
      <x:c r="U1061" s="16"/>
      <x:c r="V1061" t="str">
        <x:v>Tatra Real</x:v>
      </x:c>
      <x:c r="W1061" t="str">
        <x:v>Ružinov</x:v>
      </x:c>
      <x:c r="X1061" s="11" t="str">
        <x:v>Čoskoro</x:v>
      </x:c>
      <x:c r="Y1061" s="11" t="str">
        <x:v>https://www.galvania.sk/byty/mam-zaujem-o-byt-B5.16/</x:v>
      </x:c>
      <x:c r="Z1061" s="11" t="n">
        <x:v>46249.4134212037</x:v>
      </x:c>
      <x:c r="AA1061" s="11" t="n">
        <x:v>46254.51251577547</x:v>
      </x:c>
      <x:c r="AB1061" s="11" t="n">
        <x:v>46254.51251577547</x:v>
      </x:c>
      <x:c r="AC1061" t="str">
        <x:v>galvania_rezidencie</x:v>
      </x:c>
    </x:row>
    <x:row r="1062" ht="22" customHeight="1">
      <x:c r="A1062" t="str">
        <x:v>Galvania Rezidencie</x:v>
      </x:c>
      <x:c r="B1062" t="str">
        <x:v>B6.01</x:v>
      </x:c>
      <x:c r="C1062" t="str">
        <x:v>coming_soon</x:v>
      </x:c>
      <x:c r="D1062" t="str">
        <x:v>present</x:v>
      </x:c>
      <x:c r="E1062" t="str">
        <x:v>baseline</x:v>
      </x:c>
      <x:c r="F1062" s="11" t="n">
        <x:v>46249.4134212037</x:v>
      </x:c>
      <x:c r="G1062" t="str">
        <x:v>Byt</x:v>
      </x:c>
      <x:c r="H1062" s="12" t="n">
        <x:v>2</x:v>
      </x:c>
      <x:c r="I1062" s="13" t="n">
        <x:v>6</x:v>
      </x:c>
      <x:c r="J1062" t="str">
        <x:v>B</x:v>
      </x:c>
      <x:c r="K1062" s="14" t="n">
        <x:v>48.83</x:v>
      </x:c>
      <x:c r="L1062" s="14"/>
      <x:c r="M1062" s="14"/>
      <x:c r="N1062" s="14"/>
      <x:c r="O1062" s="14"/>
      <x:c r="P1062" s="14" t="n">
        <x:v>6.53</x:v>
      </x:c>
      <x:c r="Q1062" s="14" t="n">
        <x:v>55.36</x:v>
      </x:c>
      <x:c r="R1062" s="15"/>
      <x:c r="S1062" s="15"/>
      <x:c r="T1062" s="15"/>
      <x:c r="U1062" s="16"/>
      <x:c r="V1062" t="str">
        <x:v>Tatra Real</x:v>
      </x:c>
      <x:c r="W1062" t="str">
        <x:v>Ružinov</x:v>
      </x:c>
      <x:c r="X1062" s="11" t="str">
        <x:v>Čoskoro</x:v>
      </x:c>
      <x:c r="Y1062" s="11" t="str">
        <x:v>https://www.galvania.sk/byty/mam-zaujem-o-byt-B6.01/</x:v>
      </x:c>
      <x:c r="Z1062" s="11" t="n">
        <x:v>46249.4134212037</x:v>
      </x:c>
      <x:c r="AA1062" s="11" t="n">
        <x:v>46254.51251577547</x:v>
      </x:c>
      <x:c r="AB1062" s="11" t="n">
        <x:v>46254.51251577547</x:v>
      </x:c>
      <x:c r="AC1062" t="str">
        <x:v>galvania_rezidencie</x:v>
      </x:c>
    </x:row>
    <x:row r="1063" ht="22" customHeight="1">
      <x:c r="A1063" t="str">
        <x:v>Galvania Rezidencie</x:v>
      </x:c>
      <x:c r="B1063" t="str">
        <x:v>B6.02</x:v>
      </x:c>
      <x:c r="C1063" t="str">
        <x:v>coming_soon</x:v>
      </x:c>
      <x:c r="D1063" t="str">
        <x:v>present</x:v>
      </x:c>
      <x:c r="E1063" t="str">
        <x:v>baseline</x:v>
      </x:c>
      <x:c r="F1063" s="11" t="n">
        <x:v>46249.4134212037</x:v>
      </x:c>
      <x:c r="G1063" t="str">
        <x:v>Byt</x:v>
      </x:c>
      <x:c r="H1063" s="12" t="n">
        <x:v>1</x:v>
      </x:c>
      <x:c r="I1063" s="13" t="n">
        <x:v>6</x:v>
      </x:c>
      <x:c r="J1063" t="str">
        <x:v>B</x:v>
      </x:c>
      <x:c r="K1063" s="14" t="n">
        <x:v>36.44</x:v>
      </x:c>
      <x:c r="L1063" s="14"/>
      <x:c r="M1063" s="14"/>
      <x:c r="N1063" s="14"/>
      <x:c r="O1063" s="14"/>
      <x:c r="P1063" s="14" t="n">
        <x:v>3.95</x:v>
      </x:c>
      <x:c r="Q1063" s="14" t="n">
        <x:v>40.39</x:v>
      </x:c>
      <x:c r="R1063" s="15"/>
      <x:c r="S1063" s="15"/>
      <x:c r="T1063" s="15"/>
      <x:c r="U1063" s="16"/>
      <x:c r="V1063" t="str">
        <x:v>Tatra Real</x:v>
      </x:c>
      <x:c r="W1063" t="str">
        <x:v>Ružinov</x:v>
      </x:c>
      <x:c r="X1063" s="11" t="str">
        <x:v>Čoskoro</x:v>
      </x:c>
      <x:c r="Y1063" s="11" t="str">
        <x:v>https://www.galvania.sk/byty/mam-zaujem-o-byt-B6.02/</x:v>
      </x:c>
      <x:c r="Z1063" s="11" t="n">
        <x:v>46249.4134212037</x:v>
      </x:c>
      <x:c r="AA1063" s="11" t="n">
        <x:v>46254.51251577547</x:v>
      </x:c>
      <x:c r="AB1063" s="11" t="n">
        <x:v>46254.51251577547</x:v>
      </x:c>
      <x:c r="AC1063" t="str">
        <x:v>galvania_rezidencie</x:v>
      </x:c>
    </x:row>
    <x:row r="1064" ht="22" customHeight="1">
      <x:c r="A1064" t="str">
        <x:v>Galvania Rezidencie</x:v>
      </x:c>
      <x:c r="B1064" t="str">
        <x:v>B6.03</x:v>
      </x:c>
      <x:c r="C1064" t="str">
        <x:v>coming_soon</x:v>
      </x:c>
      <x:c r="D1064" t="str">
        <x:v>present</x:v>
      </x:c>
      <x:c r="E1064" t="str">
        <x:v>baseline</x:v>
      </x:c>
      <x:c r="F1064" s="11" t="n">
        <x:v>46249.4134212037</x:v>
      </x:c>
      <x:c r="G1064" t="str">
        <x:v>Byt</x:v>
      </x:c>
      <x:c r="H1064" s="12" t="n">
        <x:v>2</x:v>
      </x:c>
      <x:c r="I1064" s="13" t="n">
        <x:v>6</x:v>
      </x:c>
      <x:c r="J1064" t="str">
        <x:v>B</x:v>
      </x:c>
      <x:c r="K1064" s="14" t="n">
        <x:v>48.04</x:v>
      </x:c>
      <x:c r="L1064" s="14"/>
      <x:c r="M1064" s="14"/>
      <x:c r="N1064" s="14"/>
      <x:c r="O1064" s="14"/>
      <x:c r="P1064" s="14" t="n">
        <x:v>11.31</x:v>
      </x:c>
      <x:c r="Q1064" s="14" t="n">
        <x:v>59.35</x:v>
      </x:c>
      <x:c r="R1064" s="15"/>
      <x:c r="S1064" s="15"/>
      <x:c r="T1064" s="15"/>
      <x:c r="U1064" s="16"/>
      <x:c r="V1064" t="str">
        <x:v>Tatra Real</x:v>
      </x:c>
      <x:c r="W1064" t="str">
        <x:v>Ružinov</x:v>
      </x:c>
      <x:c r="X1064" s="11" t="str">
        <x:v>Čoskoro</x:v>
      </x:c>
      <x:c r="Y1064" s="11" t="str">
        <x:v>https://www.galvania.sk/byty/mam-zaujem-o-byt-B6.03/</x:v>
      </x:c>
      <x:c r="Z1064" s="11" t="n">
        <x:v>46249.4134212037</x:v>
      </x:c>
      <x:c r="AA1064" s="11" t="n">
        <x:v>46254.51251577547</x:v>
      </x:c>
      <x:c r="AB1064" s="11" t="n">
        <x:v>46254.51251577547</x:v>
      </x:c>
      <x:c r="AC1064" t="str">
        <x:v>galvania_rezidencie</x:v>
      </x:c>
    </x:row>
    <x:row r="1065" ht="22" customHeight="1">
      <x:c r="A1065" t="str">
        <x:v>Galvania Rezidencie</x:v>
      </x:c>
      <x:c r="B1065" t="str">
        <x:v>B6.04</x:v>
      </x:c>
      <x:c r="C1065" t="str">
        <x:v>coming_soon</x:v>
      </x:c>
      <x:c r="D1065" t="str">
        <x:v>present</x:v>
      </x:c>
      <x:c r="E1065" t="str">
        <x:v>baseline</x:v>
      </x:c>
      <x:c r="F1065" s="11" t="n">
        <x:v>46249.4134212037</x:v>
      </x:c>
      <x:c r="G1065" t="str">
        <x:v>Byt</x:v>
      </x:c>
      <x:c r="H1065" s="12" t="n">
        <x:v>3</x:v>
      </x:c>
      <x:c r="I1065" s="13" t="n">
        <x:v>6</x:v>
      </x:c>
      <x:c r="J1065" t="str">
        <x:v>B</x:v>
      </x:c>
      <x:c r="K1065" s="14" t="n">
        <x:v>63.27</x:v>
      </x:c>
      <x:c r="L1065" s="14"/>
      <x:c r="M1065" s="14"/>
      <x:c r="N1065" s="14"/>
      <x:c r="O1065" s="14"/>
      <x:c r="P1065" s="14" t="n">
        <x:v>21.25</x:v>
      </x:c>
      <x:c r="Q1065" s="14" t="n">
        <x:v>84.52</x:v>
      </x:c>
      <x:c r="R1065" s="15"/>
      <x:c r="S1065" s="15"/>
      <x:c r="T1065" s="15"/>
      <x:c r="U1065" s="16"/>
      <x:c r="V1065" t="str">
        <x:v>Tatra Real</x:v>
      </x:c>
      <x:c r="W1065" t="str">
        <x:v>Ružinov</x:v>
      </x:c>
      <x:c r="X1065" s="11" t="str">
        <x:v>Čoskoro</x:v>
      </x:c>
      <x:c r="Y1065" s="11" t="str">
        <x:v>https://www.galvania.sk/byty/mam-zaujem-o-byt-B6.04/</x:v>
      </x:c>
      <x:c r="Z1065" s="11" t="n">
        <x:v>46249.4134212037</x:v>
      </x:c>
      <x:c r="AA1065" s="11" t="n">
        <x:v>46254.51251577547</x:v>
      </x:c>
      <x:c r="AB1065" s="11" t="n">
        <x:v>46254.51251577547</x:v>
      </x:c>
      <x:c r="AC1065" t="str">
        <x:v>galvania_rezidencie</x:v>
      </x:c>
    </x:row>
    <x:row r="1066" ht="22" customHeight="1">
      <x:c r="A1066" t="str">
        <x:v>Galvania Rezidencie</x:v>
      </x:c>
      <x:c r="B1066" t="str">
        <x:v>B6.05</x:v>
      </x:c>
      <x:c r="C1066" t="str">
        <x:v>coming_soon</x:v>
      </x:c>
      <x:c r="D1066" t="str">
        <x:v>present</x:v>
      </x:c>
      <x:c r="E1066" t="str">
        <x:v>baseline</x:v>
      </x:c>
      <x:c r="F1066" s="11" t="n">
        <x:v>46249.4134212037</x:v>
      </x:c>
      <x:c r="G1066" t="str">
        <x:v>Byt</x:v>
      </x:c>
      <x:c r="H1066" s="12" t="n">
        <x:v>2</x:v>
      </x:c>
      <x:c r="I1066" s="13" t="n">
        <x:v>6</x:v>
      </x:c>
      <x:c r="J1066" t="str">
        <x:v>B</x:v>
      </x:c>
      <x:c r="K1066" s="14" t="n">
        <x:v>47.61</x:v>
      </x:c>
      <x:c r="L1066" s="14"/>
      <x:c r="M1066" s="14"/>
      <x:c r="N1066" s="14"/>
      <x:c r="O1066" s="14"/>
      <x:c r="P1066" s="14" t="n">
        <x:v>10.92</x:v>
      </x:c>
      <x:c r="Q1066" s="14" t="n">
        <x:v>58.53</x:v>
      </x:c>
      <x:c r="R1066" s="15"/>
      <x:c r="S1066" s="15"/>
      <x:c r="T1066" s="15"/>
      <x:c r="U1066" s="16"/>
      <x:c r="V1066" t="str">
        <x:v>Tatra Real</x:v>
      </x:c>
      <x:c r="W1066" t="str">
        <x:v>Ružinov</x:v>
      </x:c>
      <x:c r="X1066" s="11" t="str">
        <x:v>Čoskoro</x:v>
      </x:c>
      <x:c r="Y1066" s="11" t="str">
        <x:v>https://www.galvania.sk/byty/mam-zaujem-o-byt-B6.05/</x:v>
      </x:c>
      <x:c r="Z1066" s="11" t="n">
        <x:v>46249.4134212037</x:v>
      </x:c>
      <x:c r="AA1066" s="11" t="n">
        <x:v>46254.51251577547</x:v>
      </x:c>
      <x:c r="AB1066" s="11" t="n">
        <x:v>46254.51251577547</x:v>
      </x:c>
      <x:c r="AC1066" t="str">
        <x:v>galvania_rezidencie</x:v>
      </x:c>
    </x:row>
    <x:row r="1067" ht="22" customHeight="1">
      <x:c r="A1067" t="str">
        <x:v>Galvania Rezidencie</x:v>
      </x:c>
      <x:c r="B1067" t="str">
        <x:v>B6.06</x:v>
      </x:c>
      <x:c r="C1067" t="str">
        <x:v>coming_soon</x:v>
      </x:c>
      <x:c r="D1067" t="str">
        <x:v>present</x:v>
      </x:c>
      <x:c r="E1067" t="str">
        <x:v>baseline</x:v>
      </x:c>
      <x:c r="F1067" s="11" t="n">
        <x:v>46249.4134212037</x:v>
      </x:c>
      <x:c r="G1067" t="str">
        <x:v>Byt</x:v>
      </x:c>
      <x:c r="H1067" s="12" t="n">
        <x:v>2</x:v>
      </x:c>
      <x:c r="I1067" s="13" t="n">
        <x:v>6</x:v>
      </x:c>
      <x:c r="J1067" t="str">
        <x:v>B</x:v>
      </x:c>
      <x:c r="K1067" s="14" t="n">
        <x:v>47.61</x:v>
      </x:c>
      <x:c r="L1067" s="14"/>
      <x:c r="M1067" s="14"/>
      <x:c r="N1067" s="14"/>
      <x:c r="O1067" s="14"/>
      <x:c r="P1067" s="14" t="n">
        <x:v>10.92</x:v>
      </x:c>
      <x:c r="Q1067" s="14" t="n">
        <x:v>58.53</x:v>
      </x:c>
      <x:c r="R1067" s="15"/>
      <x:c r="S1067" s="15"/>
      <x:c r="T1067" s="15"/>
      <x:c r="U1067" s="16"/>
      <x:c r="V1067" t="str">
        <x:v>Tatra Real</x:v>
      </x:c>
      <x:c r="W1067" t="str">
        <x:v>Ružinov</x:v>
      </x:c>
      <x:c r="X1067" s="11" t="str">
        <x:v>Čoskoro</x:v>
      </x:c>
      <x:c r="Y1067" s="11" t="str">
        <x:v>https://www.galvania.sk/byty/mam-zaujem-o-byt-B6.06/</x:v>
      </x:c>
      <x:c r="Z1067" s="11" t="n">
        <x:v>46249.4134212037</x:v>
      </x:c>
      <x:c r="AA1067" s="11" t="n">
        <x:v>46254.51251577547</x:v>
      </x:c>
      <x:c r="AB1067" s="11" t="n">
        <x:v>46254.51251577547</x:v>
      </x:c>
      <x:c r="AC1067" t="str">
        <x:v>galvania_rezidencie</x:v>
      </x:c>
    </x:row>
    <x:row r="1068" ht="22" customHeight="1">
      <x:c r="A1068" t="str">
        <x:v>Galvania Rezidencie</x:v>
      </x:c>
      <x:c r="B1068" t="str">
        <x:v>B6.07</x:v>
      </x:c>
      <x:c r="C1068" t="str">
        <x:v>coming_soon</x:v>
      </x:c>
      <x:c r="D1068" t="str">
        <x:v>present</x:v>
      </x:c>
      <x:c r="E1068" t="str">
        <x:v>baseline</x:v>
      </x:c>
      <x:c r="F1068" s="11" t="n">
        <x:v>46249.4134212037</x:v>
      </x:c>
      <x:c r="G1068" t="str">
        <x:v>Byt</x:v>
      </x:c>
      <x:c r="H1068" s="12" t="n">
        <x:v>2</x:v>
      </x:c>
      <x:c r="I1068" s="13" t="n">
        <x:v>6</x:v>
      </x:c>
      <x:c r="J1068" t="str">
        <x:v>B</x:v>
      </x:c>
      <x:c r="K1068" s="14" t="n">
        <x:v>47.61</x:v>
      </x:c>
      <x:c r="L1068" s="14"/>
      <x:c r="M1068" s="14"/>
      <x:c r="N1068" s="14"/>
      <x:c r="O1068" s="14"/>
      <x:c r="P1068" s="14" t="n">
        <x:v>11.05</x:v>
      </x:c>
      <x:c r="Q1068" s="14" t="n">
        <x:v>58.66</x:v>
      </x:c>
      <x:c r="R1068" s="15"/>
      <x:c r="S1068" s="15"/>
      <x:c r="T1068" s="15"/>
      <x:c r="U1068" s="16"/>
      <x:c r="V1068" t="str">
        <x:v>Tatra Real</x:v>
      </x:c>
      <x:c r="W1068" t="str">
        <x:v>Ružinov</x:v>
      </x:c>
      <x:c r="X1068" s="11" t="str">
        <x:v>Čoskoro</x:v>
      </x:c>
      <x:c r="Y1068" s="11" t="str">
        <x:v>https://www.galvania.sk/byty/mam-zaujem-o-byt-B6.07/</x:v>
      </x:c>
      <x:c r="Z1068" s="11" t="n">
        <x:v>46249.4134212037</x:v>
      </x:c>
      <x:c r="AA1068" s="11" t="n">
        <x:v>46254.51251577547</x:v>
      </x:c>
      <x:c r="AB1068" s="11" t="n">
        <x:v>46254.51251577547</x:v>
      </x:c>
      <x:c r="AC1068" t="str">
        <x:v>galvania_rezidencie</x:v>
      </x:c>
    </x:row>
    <x:row r="1069" ht="22" customHeight="1">
      <x:c r="A1069" t="str">
        <x:v>Galvania Rezidencie</x:v>
      </x:c>
      <x:c r="B1069" t="str">
        <x:v>B6.08</x:v>
      </x:c>
      <x:c r="C1069" t="str">
        <x:v>coming_soon</x:v>
      </x:c>
      <x:c r="D1069" t="str">
        <x:v>present</x:v>
      </x:c>
      <x:c r="E1069" t="str">
        <x:v>baseline</x:v>
      </x:c>
      <x:c r="F1069" s="11" t="n">
        <x:v>46249.4134212037</x:v>
      </x:c>
      <x:c r="G1069" t="str">
        <x:v>Byt</x:v>
      </x:c>
      <x:c r="H1069" s="12" t="n">
        <x:v>2</x:v>
      </x:c>
      <x:c r="I1069" s="13" t="n">
        <x:v>6</x:v>
      </x:c>
      <x:c r="J1069" t="str">
        <x:v>B</x:v>
      </x:c>
      <x:c r="K1069" s="14" t="n">
        <x:v>47.61</x:v>
      </x:c>
      <x:c r="L1069" s="14"/>
      <x:c r="M1069" s="14"/>
      <x:c r="N1069" s="14"/>
      <x:c r="O1069" s="14"/>
      <x:c r="P1069" s="14" t="n">
        <x:v>10.9</x:v>
      </x:c>
      <x:c r="Q1069" s="14" t="n">
        <x:v>58.51</x:v>
      </x:c>
      <x:c r="R1069" s="15"/>
      <x:c r="S1069" s="15"/>
      <x:c r="T1069" s="15"/>
      <x:c r="U1069" s="16"/>
      <x:c r="V1069" t="str">
        <x:v>Tatra Real</x:v>
      </x:c>
      <x:c r="W1069" t="str">
        <x:v>Ružinov</x:v>
      </x:c>
      <x:c r="X1069" s="11" t="str">
        <x:v>Čoskoro</x:v>
      </x:c>
      <x:c r="Y1069" s="11" t="str">
        <x:v>https://www.galvania.sk/byty/mam-zaujem-o-byt-B6.08/</x:v>
      </x:c>
      <x:c r="Z1069" s="11" t="n">
        <x:v>46249.4134212037</x:v>
      </x:c>
      <x:c r="AA1069" s="11" t="n">
        <x:v>46254.51251577547</x:v>
      </x:c>
      <x:c r="AB1069" s="11" t="n">
        <x:v>46254.51251577547</x:v>
      </x:c>
      <x:c r="AC1069" t="str">
        <x:v>galvania_rezidencie</x:v>
      </x:c>
    </x:row>
    <x:row r="1070" ht="22" customHeight="1">
      <x:c r="A1070" t="str">
        <x:v>Galvania Rezidencie</x:v>
      </x:c>
      <x:c r="B1070" t="str">
        <x:v>B6.09</x:v>
      </x:c>
      <x:c r="C1070" t="str">
        <x:v>coming_soon</x:v>
      </x:c>
      <x:c r="D1070" t="str">
        <x:v>present</x:v>
      </x:c>
      <x:c r="E1070" t="str">
        <x:v>baseline</x:v>
      </x:c>
      <x:c r="F1070" s="11" t="n">
        <x:v>46249.4134212037</x:v>
      </x:c>
      <x:c r="G1070" t="str">
        <x:v>Byt</x:v>
      </x:c>
      <x:c r="H1070" s="12" t="n">
        <x:v>2</x:v>
      </x:c>
      <x:c r="I1070" s="13" t="n">
        <x:v>6</x:v>
      </x:c>
      <x:c r="J1070" t="str">
        <x:v>B</x:v>
      </x:c>
      <x:c r="K1070" s="14" t="n">
        <x:v>47.61</x:v>
      </x:c>
      <x:c r="L1070" s="14"/>
      <x:c r="M1070" s="14"/>
      <x:c r="N1070" s="14"/>
      <x:c r="O1070" s="14"/>
      <x:c r="P1070" s="14" t="n">
        <x:v>10.9</x:v>
      </x:c>
      <x:c r="Q1070" s="14" t="n">
        <x:v>58.51</x:v>
      </x:c>
      <x:c r="R1070" s="15"/>
      <x:c r="S1070" s="15"/>
      <x:c r="T1070" s="15"/>
      <x:c r="U1070" s="16"/>
      <x:c r="V1070" t="str">
        <x:v>Tatra Real</x:v>
      </x:c>
      <x:c r="W1070" t="str">
        <x:v>Ružinov</x:v>
      </x:c>
      <x:c r="X1070" s="11" t="str">
        <x:v>Čoskoro</x:v>
      </x:c>
      <x:c r="Y1070" s="11" t="str">
        <x:v>https://www.galvania.sk/byty/mam-zaujem-o-byt-B6.09/</x:v>
      </x:c>
      <x:c r="Z1070" s="11" t="n">
        <x:v>46249.4134212037</x:v>
      </x:c>
      <x:c r="AA1070" s="11" t="n">
        <x:v>46254.51251577547</x:v>
      </x:c>
      <x:c r="AB1070" s="11" t="n">
        <x:v>46254.51251577547</x:v>
      </x:c>
      <x:c r="AC1070" t="str">
        <x:v>galvania_rezidencie</x:v>
      </x:c>
    </x:row>
    <x:row r="1071" ht="22" customHeight="1">
      <x:c r="A1071" t="str">
        <x:v>Galvania Rezidencie</x:v>
      </x:c>
      <x:c r="B1071" t="str">
        <x:v>B6.10</x:v>
      </x:c>
      <x:c r="C1071" t="str">
        <x:v>coming_soon</x:v>
      </x:c>
      <x:c r="D1071" t="str">
        <x:v>present</x:v>
      </x:c>
      <x:c r="E1071" t="str">
        <x:v>baseline</x:v>
      </x:c>
      <x:c r="F1071" s="11" t="n">
        <x:v>46249.4134212037</x:v>
      </x:c>
      <x:c r="G1071" t="str">
        <x:v>Byt</x:v>
      </x:c>
      <x:c r="H1071" s="12" t="n">
        <x:v>2</x:v>
      </x:c>
      <x:c r="I1071" s="13" t="n">
        <x:v>6</x:v>
      </x:c>
      <x:c r="J1071" t="str">
        <x:v>B</x:v>
      </x:c>
      <x:c r="K1071" s="14" t="n">
        <x:v>47.61</x:v>
      </x:c>
      <x:c r="L1071" s="14"/>
      <x:c r="M1071" s="14"/>
      <x:c r="N1071" s="14"/>
      <x:c r="O1071" s="14"/>
      <x:c r="P1071" s="14" t="n">
        <x:v>11.11</x:v>
      </x:c>
      <x:c r="Q1071" s="14" t="n">
        <x:v>58.72</x:v>
      </x:c>
      <x:c r="R1071" s="15"/>
      <x:c r="S1071" s="15"/>
      <x:c r="T1071" s="15"/>
      <x:c r="U1071" s="16"/>
      <x:c r="V1071" t="str">
        <x:v>Tatra Real</x:v>
      </x:c>
      <x:c r="W1071" t="str">
        <x:v>Ružinov</x:v>
      </x:c>
      <x:c r="X1071" s="11" t="str">
        <x:v>Čoskoro</x:v>
      </x:c>
      <x:c r="Y1071" s="11" t="str">
        <x:v>https://www.galvania.sk/byty/mam-zaujem-o-byt-B6.10/</x:v>
      </x:c>
      <x:c r="Z1071" s="11" t="n">
        <x:v>46249.4134212037</x:v>
      </x:c>
      <x:c r="AA1071" s="11" t="n">
        <x:v>46254.51251577547</x:v>
      </x:c>
      <x:c r="AB1071" s="11" t="n">
        <x:v>46254.51251577547</x:v>
      </x:c>
      <x:c r="AC1071" t="str">
        <x:v>galvania_rezidencie</x:v>
      </x:c>
    </x:row>
    <x:row r="1072" ht="22" customHeight="1">
      <x:c r="A1072" t="str">
        <x:v>Galvania Rezidencie</x:v>
      </x:c>
      <x:c r="B1072" t="str">
        <x:v>B6.11</x:v>
      </x:c>
      <x:c r="C1072" t="str">
        <x:v>coming_soon</x:v>
      </x:c>
      <x:c r="D1072" t="str">
        <x:v>present</x:v>
      </x:c>
      <x:c r="E1072" t="str">
        <x:v>baseline</x:v>
      </x:c>
      <x:c r="F1072" s="11" t="n">
        <x:v>46249.4134212037</x:v>
      </x:c>
      <x:c r="G1072" t="str">
        <x:v>Apartmán</x:v>
      </x:c>
      <x:c r="H1072" s="12" t="n">
        <x:v>2</x:v>
      </x:c>
      <x:c r="I1072" s="13" t="n">
        <x:v>6</x:v>
      </x:c>
      <x:c r="J1072" t="str">
        <x:v>B</x:v>
      </x:c>
      <x:c r="K1072" s="14" t="n">
        <x:v>51.88</x:v>
      </x:c>
      <x:c r="L1072" s="14"/>
      <x:c r="M1072" s="14"/>
      <x:c r="N1072" s="14"/>
      <x:c r="O1072" s="14"/>
      <x:c r="P1072" s="14" t="n">
        <x:v>9.88</x:v>
      </x:c>
      <x:c r="Q1072" s="14" t="n">
        <x:v>61.76</x:v>
      </x:c>
      <x:c r="R1072" s="15"/>
      <x:c r="S1072" s="15"/>
      <x:c r="T1072" s="15"/>
      <x:c r="U1072" s="16"/>
      <x:c r="V1072" t="str">
        <x:v>Tatra Real</x:v>
      </x:c>
      <x:c r="W1072" t="str">
        <x:v>Ružinov</x:v>
      </x:c>
      <x:c r="X1072" s="11" t="str">
        <x:v>Čoskoro</x:v>
      </x:c>
      <x:c r="Y1072" s="11" t="str">
        <x:v>https://www.galvania.sk/byty/mam-zaujem-o-byt-B6.11/</x:v>
      </x:c>
      <x:c r="Z1072" s="11" t="n">
        <x:v>46249.4134212037</x:v>
      </x:c>
      <x:c r="AA1072" s="11" t="n">
        <x:v>46254.51251577547</x:v>
      </x:c>
      <x:c r="AB1072" s="11" t="n">
        <x:v>46254.51251577547</x:v>
      </x:c>
      <x:c r="AC1072" t="str">
        <x:v>galvania_rezidencie</x:v>
      </x:c>
    </x:row>
    <x:row r="1073" ht="22" customHeight="1">
      <x:c r="A1073" t="str">
        <x:v>Galvania Rezidencie</x:v>
      </x:c>
      <x:c r="B1073" t="str">
        <x:v>B6.12</x:v>
      </x:c>
      <x:c r="C1073" t="str">
        <x:v>coming_soon</x:v>
      </x:c>
      <x:c r="D1073" t="str">
        <x:v>present</x:v>
      </x:c>
      <x:c r="E1073" t="str">
        <x:v>baseline</x:v>
      </x:c>
      <x:c r="F1073" s="11" t="n">
        <x:v>46249.4134212037</x:v>
      </x:c>
      <x:c r="G1073" t="str">
        <x:v>Byt</x:v>
      </x:c>
      <x:c r="H1073" s="12" t="n">
        <x:v>2</x:v>
      </x:c>
      <x:c r="I1073" s="13" t="n">
        <x:v>6</x:v>
      </x:c>
      <x:c r="J1073" t="str">
        <x:v>B</x:v>
      </x:c>
      <x:c r="K1073" s="14" t="n">
        <x:v>52.94</x:v>
      </x:c>
      <x:c r="L1073" s="14"/>
      <x:c r="M1073" s="14"/>
      <x:c r="N1073" s="14"/>
      <x:c r="O1073" s="14"/>
      <x:c r="P1073" s="14" t="n">
        <x:v>5.16</x:v>
      </x:c>
      <x:c r="Q1073" s="14" t="n">
        <x:v>58.1</x:v>
      </x:c>
      <x:c r="R1073" s="15"/>
      <x:c r="S1073" s="15"/>
      <x:c r="T1073" s="15"/>
      <x:c r="U1073" s="16"/>
      <x:c r="V1073" t="str">
        <x:v>Tatra Real</x:v>
      </x:c>
      <x:c r="W1073" t="str">
        <x:v>Ružinov</x:v>
      </x:c>
      <x:c r="X1073" s="11" t="str">
        <x:v>Čoskoro</x:v>
      </x:c>
      <x:c r="Y1073" s="11" t="str">
        <x:v>https://www.galvania.sk/byty/mam-zaujem-o-byt-B6.12/</x:v>
      </x:c>
      <x:c r="Z1073" s="11" t="n">
        <x:v>46249.4134212037</x:v>
      </x:c>
      <x:c r="AA1073" s="11" t="n">
        <x:v>46254.51251577547</x:v>
      </x:c>
      <x:c r="AB1073" s="11" t="n">
        <x:v>46254.51251577547</x:v>
      </x:c>
      <x:c r="AC1073" t="str">
        <x:v>galvania_rezidencie</x:v>
      </x:c>
    </x:row>
    <x:row r="1074" ht="22" customHeight="1">
      <x:c r="A1074" t="str">
        <x:v>Galvania Rezidencie</x:v>
      </x:c>
      <x:c r="B1074" t="str">
        <x:v>B6.13</x:v>
      </x:c>
      <x:c r="C1074" t="str">
        <x:v>coming_soon</x:v>
      </x:c>
      <x:c r="D1074" t="str">
        <x:v>present</x:v>
      </x:c>
      <x:c r="E1074" t="str">
        <x:v>baseline</x:v>
      </x:c>
      <x:c r="F1074" s="11" t="n">
        <x:v>46249.4134212037</x:v>
      </x:c>
      <x:c r="G1074" t="str">
        <x:v>Byt</x:v>
      </x:c>
      <x:c r="H1074" s="12" t="n">
        <x:v>2</x:v>
      </x:c>
      <x:c r="I1074" s="13" t="n">
        <x:v>6</x:v>
      </x:c>
      <x:c r="J1074" t="str">
        <x:v>B</x:v>
      </x:c>
      <x:c r="K1074" s="14" t="n">
        <x:v>48.06</x:v>
      </x:c>
      <x:c r="L1074" s="14"/>
      <x:c r="M1074" s="14"/>
      <x:c r="N1074" s="14"/>
      <x:c r="O1074" s="14"/>
      <x:c r="P1074" s="14" t="n">
        <x:v>10.72</x:v>
      </x:c>
      <x:c r="Q1074" s="14" t="n">
        <x:v>58.78</x:v>
      </x:c>
      <x:c r="R1074" s="15"/>
      <x:c r="S1074" s="15"/>
      <x:c r="T1074" s="15"/>
      <x:c r="U1074" s="16"/>
      <x:c r="V1074" t="str">
        <x:v>Tatra Real</x:v>
      </x:c>
      <x:c r="W1074" t="str">
        <x:v>Ružinov</x:v>
      </x:c>
      <x:c r="X1074" s="11" t="str">
        <x:v>Čoskoro</x:v>
      </x:c>
      <x:c r="Y1074" s="11" t="str">
        <x:v>https://www.galvania.sk/byty/mam-zaujem-o-byt-B6.13/</x:v>
      </x:c>
      <x:c r="Z1074" s="11" t="n">
        <x:v>46249.4134212037</x:v>
      </x:c>
      <x:c r="AA1074" s="11" t="n">
        <x:v>46254.51251577547</x:v>
      </x:c>
      <x:c r="AB1074" s="11" t="n">
        <x:v>46254.51251577547</x:v>
      </x:c>
      <x:c r="AC1074" t="str">
        <x:v>galvania_rezidencie</x:v>
      </x:c>
    </x:row>
    <x:row r="1075" ht="22" customHeight="1">
      <x:c r="A1075" t="str">
        <x:v>Galvania Rezidencie</x:v>
      </x:c>
      <x:c r="B1075" t="str">
        <x:v>B6.14</x:v>
      </x:c>
      <x:c r="C1075" t="str">
        <x:v>coming_soon</x:v>
      </x:c>
      <x:c r="D1075" t="str">
        <x:v>present</x:v>
      </x:c>
      <x:c r="E1075" t="str">
        <x:v>baseline</x:v>
      </x:c>
      <x:c r="F1075" s="11" t="n">
        <x:v>46249.4134212037</x:v>
      </x:c>
      <x:c r="G1075" t="str">
        <x:v>Byt</x:v>
      </x:c>
      <x:c r="H1075" s="12" t="n">
        <x:v>2</x:v>
      </x:c>
      <x:c r="I1075" s="13" t="n">
        <x:v>6</x:v>
      </x:c>
      <x:c r="J1075" t="str">
        <x:v>B</x:v>
      </x:c>
      <x:c r="K1075" s="14" t="n">
        <x:v>48.54</x:v>
      </x:c>
      <x:c r="L1075" s="14"/>
      <x:c r="M1075" s="14"/>
      <x:c r="N1075" s="14"/>
      <x:c r="O1075" s="14"/>
      <x:c r="P1075" s="14" t="n">
        <x:v>10.73</x:v>
      </x:c>
      <x:c r="Q1075" s="14" t="n">
        <x:v>59.27</x:v>
      </x:c>
      <x:c r="R1075" s="15"/>
      <x:c r="S1075" s="15"/>
      <x:c r="T1075" s="15"/>
      <x:c r="U1075" s="16"/>
      <x:c r="V1075" t="str">
        <x:v>Tatra Real</x:v>
      </x:c>
      <x:c r="W1075" t="str">
        <x:v>Ružinov</x:v>
      </x:c>
      <x:c r="X1075" s="11" t="str">
        <x:v>Čoskoro</x:v>
      </x:c>
      <x:c r="Y1075" s="11" t="str">
        <x:v>https://www.galvania.sk/byty/mam-zaujem-o-byt-B6.14/</x:v>
      </x:c>
      <x:c r="Z1075" s="11" t="n">
        <x:v>46249.4134212037</x:v>
      </x:c>
      <x:c r="AA1075" s="11" t="n">
        <x:v>46254.51251577547</x:v>
      </x:c>
      <x:c r="AB1075" s="11" t="n">
        <x:v>46254.51251577547</x:v>
      </x:c>
      <x:c r="AC1075" t="str">
        <x:v>galvania_rezidencie</x:v>
      </x:c>
    </x:row>
    <x:row r="1076" ht="22" customHeight="1">
      <x:c r="A1076" t="str">
        <x:v>Galvania Rezidencie</x:v>
      </x:c>
      <x:c r="B1076" t="str">
        <x:v>B6.15</x:v>
      </x:c>
      <x:c r="C1076" t="str">
        <x:v>coming_soon</x:v>
      </x:c>
      <x:c r="D1076" t="str">
        <x:v>present</x:v>
      </x:c>
      <x:c r="E1076" t="str">
        <x:v>baseline</x:v>
      </x:c>
      <x:c r="F1076" s="11" t="n">
        <x:v>46249.4134212037</x:v>
      </x:c>
      <x:c r="G1076" t="str">
        <x:v>Byt</x:v>
      </x:c>
      <x:c r="H1076" s="12" t="n">
        <x:v>2</x:v>
      </x:c>
      <x:c r="I1076" s="13" t="n">
        <x:v>6</x:v>
      </x:c>
      <x:c r="J1076" t="str">
        <x:v>B</x:v>
      </x:c>
      <x:c r="K1076" s="14" t="n">
        <x:v>48.54</x:v>
      </x:c>
      <x:c r="L1076" s="14"/>
      <x:c r="M1076" s="14"/>
      <x:c r="N1076" s="14"/>
      <x:c r="O1076" s="14"/>
      <x:c r="P1076" s="14" t="n">
        <x:v>5.57</x:v>
      </x:c>
      <x:c r="Q1076" s="14" t="n">
        <x:v>54.11</x:v>
      </x:c>
      <x:c r="R1076" s="15"/>
      <x:c r="S1076" s="15"/>
      <x:c r="T1076" s="15"/>
      <x:c r="U1076" s="16"/>
      <x:c r="V1076" t="str">
        <x:v>Tatra Real</x:v>
      </x:c>
      <x:c r="W1076" t="str">
        <x:v>Ružinov</x:v>
      </x:c>
      <x:c r="X1076" s="11" t="str">
        <x:v>Čoskoro</x:v>
      </x:c>
      <x:c r="Y1076" s="11" t="str">
        <x:v>https://www.galvania.sk/byty/mam-zaujem-o-byt-B6.15/</x:v>
      </x:c>
      <x:c r="Z1076" s="11" t="n">
        <x:v>46249.4134212037</x:v>
      </x:c>
      <x:c r="AA1076" s="11" t="n">
        <x:v>46254.51251577547</x:v>
      </x:c>
      <x:c r="AB1076" s="11" t="n">
        <x:v>46254.51251577547</x:v>
      </x:c>
      <x:c r="AC1076" t="str">
        <x:v>galvania_rezidencie</x:v>
      </x:c>
    </x:row>
    <x:row r="1077" ht="22" customHeight="1">
      <x:c r="A1077" t="str">
        <x:v>Galvania Rezidencie</x:v>
      </x:c>
      <x:c r="B1077" t="str">
        <x:v>B6.16</x:v>
      </x:c>
      <x:c r="C1077" t="str">
        <x:v>coming_soon</x:v>
      </x:c>
      <x:c r="D1077" t="str">
        <x:v>present</x:v>
      </x:c>
      <x:c r="E1077" t="str">
        <x:v>baseline</x:v>
      </x:c>
      <x:c r="F1077" s="11" t="n">
        <x:v>46249.4134212037</x:v>
      </x:c>
      <x:c r="G1077" t="str">
        <x:v>Byt</x:v>
      </x:c>
      <x:c r="H1077" s="12" t="n">
        <x:v>2</x:v>
      </x:c>
      <x:c r="I1077" s="13" t="n">
        <x:v>6</x:v>
      </x:c>
      <x:c r="J1077" t="str">
        <x:v>B</x:v>
      </x:c>
      <x:c r="K1077" s="14" t="n">
        <x:v>48.82</x:v>
      </x:c>
      <x:c r="L1077" s="14"/>
      <x:c r="M1077" s="14"/>
      <x:c r="N1077" s="14"/>
      <x:c r="O1077" s="14"/>
      <x:c r="P1077" s="14" t="n">
        <x:v>3.87</x:v>
      </x:c>
      <x:c r="Q1077" s="14" t="n">
        <x:v>52.69</x:v>
      </x:c>
      <x:c r="R1077" s="15"/>
      <x:c r="S1077" s="15"/>
      <x:c r="T1077" s="15"/>
      <x:c r="U1077" s="16"/>
      <x:c r="V1077" t="str">
        <x:v>Tatra Real</x:v>
      </x:c>
      <x:c r="W1077" t="str">
        <x:v>Ružinov</x:v>
      </x:c>
      <x:c r="X1077" s="11" t="str">
        <x:v>Čoskoro</x:v>
      </x:c>
      <x:c r="Y1077" s="11" t="str">
        <x:v>https://www.galvania.sk/byty/mam-zaujem-o-byt-B6.16/</x:v>
      </x:c>
      <x:c r="Z1077" s="11" t="n">
        <x:v>46249.4134212037</x:v>
      </x:c>
      <x:c r="AA1077" s="11" t="n">
        <x:v>46254.51251577547</x:v>
      </x:c>
      <x:c r="AB1077" s="11" t="n">
        <x:v>46254.51251577547</x:v>
      </x:c>
      <x:c r="AC1077" t="str">
        <x:v>galvania_rezidencie</x:v>
      </x:c>
    </x:row>
    <x:row r="1078" ht="22" customHeight="1">
      <x:c r="A1078" t="str">
        <x:v>Galvania Rezidencie</x:v>
      </x:c>
      <x:c r="B1078" t="str">
        <x:v>B7.01</x:v>
      </x:c>
      <x:c r="C1078" t="str">
        <x:v>coming_soon</x:v>
      </x:c>
      <x:c r="D1078" t="str">
        <x:v>present</x:v>
      </x:c>
      <x:c r="E1078" t="str">
        <x:v>baseline</x:v>
      </x:c>
      <x:c r="F1078" s="11" t="n">
        <x:v>46249.4134212037</x:v>
      </x:c>
      <x:c r="G1078" t="str">
        <x:v>Byt</x:v>
      </x:c>
      <x:c r="H1078" s="12" t="n">
        <x:v>2</x:v>
      </x:c>
      <x:c r="I1078" s="13" t="n">
        <x:v>7</x:v>
      </x:c>
      <x:c r="J1078" t="str">
        <x:v>B</x:v>
      </x:c>
      <x:c r="K1078" s="14" t="n">
        <x:v>48.84</x:v>
      </x:c>
      <x:c r="L1078" s="14"/>
      <x:c r="M1078" s="14"/>
      <x:c r="N1078" s="14"/>
      <x:c r="O1078" s="14"/>
      <x:c r="P1078" s="14" t="n">
        <x:v>6.53</x:v>
      </x:c>
      <x:c r="Q1078" s="14" t="n">
        <x:v>55.37</x:v>
      </x:c>
      <x:c r="R1078" s="15"/>
      <x:c r="S1078" s="15"/>
      <x:c r="T1078" s="15"/>
      <x:c r="U1078" s="16"/>
      <x:c r="V1078" t="str">
        <x:v>Tatra Real</x:v>
      </x:c>
      <x:c r="W1078" t="str">
        <x:v>Ružinov</x:v>
      </x:c>
      <x:c r="X1078" s="11" t="str">
        <x:v>Čoskoro</x:v>
      </x:c>
      <x:c r="Y1078" s="11" t="str">
        <x:v>https://www.galvania.sk/byty/mam-zaujem-o-byt-B7.01/</x:v>
      </x:c>
      <x:c r="Z1078" s="11" t="n">
        <x:v>46249.4134212037</x:v>
      </x:c>
      <x:c r="AA1078" s="11" t="n">
        <x:v>46254.51251577547</x:v>
      </x:c>
      <x:c r="AB1078" s="11" t="n">
        <x:v>46254.51251577547</x:v>
      </x:c>
      <x:c r="AC1078" t="str">
        <x:v>galvania_rezidencie</x:v>
      </x:c>
    </x:row>
    <x:row r="1079" ht="22" customHeight="1">
      <x:c r="A1079" t="str">
        <x:v>Galvania Rezidencie</x:v>
      </x:c>
      <x:c r="B1079" t="str">
        <x:v>B7.02</x:v>
      </x:c>
      <x:c r="C1079" t="str">
        <x:v>coming_soon</x:v>
      </x:c>
      <x:c r="D1079" t="str">
        <x:v>present</x:v>
      </x:c>
      <x:c r="E1079" t="str">
        <x:v>baseline</x:v>
      </x:c>
      <x:c r="F1079" s="11" t="n">
        <x:v>46249.4134212037</x:v>
      </x:c>
      <x:c r="G1079" t="str">
        <x:v>Byt</x:v>
      </x:c>
      <x:c r="H1079" s="12" t="n">
        <x:v>1</x:v>
      </x:c>
      <x:c r="I1079" s="13" t="n">
        <x:v>7</x:v>
      </x:c>
      <x:c r="J1079" t="str">
        <x:v>B</x:v>
      </x:c>
      <x:c r="K1079" s="14" t="n">
        <x:v>36.43</x:v>
      </x:c>
      <x:c r="L1079" s="14"/>
      <x:c r="M1079" s="14"/>
      <x:c r="N1079" s="14"/>
      <x:c r="O1079" s="14"/>
      <x:c r="P1079" s="14" t="n">
        <x:v>3.95</x:v>
      </x:c>
      <x:c r="Q1079" s="14" t="n">
        <x:v>40.38</x:v>
      </x:c>
      <x:c r="R1079" s="15"/>
      <x:c r="S1079" s="15"/>
      <x:c r="T1079" s="15"/>
      <x:c r="U1079" s="16"/>
      <x:c r="V1079" t="str">
        <x:v>Tatra Real</x:v>
      </x:c>
      <x:c r="W1079" t="str">
        <x:v>Ružinov</x:v>
      </x:c>
      <x:c r="X1079" s="11" t="str">
        <x:v>Čoskoro</x:v>
      </x:c>
      <x:c r="Y1079" s="11" t="str">
        <x:v>https://www.galvania.sk/byty/mam-zaujem-o-byt-B7.02/</x:v>
      </x:c>
      <x:c r="Z1079" s="11" t="n">
        <x:v>46249.4134212037</x:v>
      </x:c>
      <x:c r="AA1079" s="11" t="n">
        <x:v>46254.51251577547</x:v>
      </x:c>
      <x:c r="AB1079" s="11" t="n">
        <x:v>46254.51251577547</x:v>
      </x:c>
      <x:c r="AC1079" t="str">
        <x:v>galvania_rezidencie</x:v>
      </x:c>
    </x:row>
    <x:row r="1080" ht="22" customHeight="1">
      <x:c r="A1080" t="str">
        <x:v>Galvania Rezidencie</x:v>
      </x:c>
      <x:c r="B1080" t="str">
        <x:v>B7.03</x:v>
      </x:c>
      <x:c r="C1080" t="str">
        <x:v>coming_soon</x:v>
      </x:c>
      <x:c r="D1080" t="str">
        <x:v>present</x:v>
      </x:c>
      <x:c r="E1080" t="str">
        <x:v>baseline</x:v>
      </x:c>
      <x:c r="F1080" s="11" t="n">
        <x:v>46249.4134212037</x:v>
      </x:c>
      <x:c r="G1080" t="str">
        <x:v>Byt</x:v>
      </x:c>
      <x:c r="H1080" s="12" t="n">
        <x:v>2</x:v>
      </x:c>
      <x:c r="I1080" s="13" t="n">
        <x:v>7</x:v>
      </x:c>
      <x:c r="J1080" t="str">
        <x:v>B</x:v>
      </x:c>
      <x:c r="K1080" s="14" t="n">
        <x:v>48.11</x:v>
      </x:c>
      <x:c r="L1080" s="14"/>
      <x:c r="M1080" s="14"/>
      <x:c r="N1080" s="14"/>
      <x:c r="O1080" s="14"/>
      <x:c r="P1080" s="14" t="n">
        <x:v>11.31</x:v>
      </x:c>
      <x:c r="Q1080" s="14" t="n">
        <x:v>59.42</x:v>
      </x:c>
      <x:c r="R1080" s="15"/>
      <x:c r="S1080" s="15"/>
      <x:c r="T1080" s="15"/>
      <x:c r="U1080" s="16"/>
      <x:c r="V1080" t="str">
        <x:v>Tatra Real</x:v>
      </x:c>
      <x:c r="W1080" t="str">
        <x:v>Ružinov</x:v>
      </x:c>
      <x:c r="X1080" s="11" t="str">
        <x:v>Čoskoro</x:v>
      </x:c>
      <x:c r="Y1080" s="11" t="str">
        <x:v>https://www.galvania.sk/byty/mam-zaujem-o-byt-B7.03/</x:v>
      </x:c>
      <x:c r="Z1080" s="11" t="n">
        <x:v>46249.4134212037</x:v>
      </x:c>
      <x:c r="AA1080" s="11" t="n">
        <x:v>46254.51251577547</x:v>
      </x:c>
      <x:c r="AB1080" s="11" t="n">
        <x:v>46254.51251577547</x:v>
      </x:c>
      <x:c r="AC1080" t="str">
        <x:v>galvania_rezidencie</x:v>
      </x:c>
    </x:row>
    <x:row r="1081" ht="22" customHeight="1">
      <x:c r="A1081" t="str">
        <x:v>Galvania Rezidencie</x:v>
      </x:c>
      <x:c r="B1081" t="str">
        <x:v>B7.04</x:v>
      </x:c>
      <x:c r="C1081" t="str">
        <x:v>coming_soon</x:v>
      </x:c>
      <x:c r="D1081" t="str">
        <x:v>present</x:v>
      </x:c>
      <x:c r="E1081" t="str">
        <x:v>baseline</x:v>
      </x:c>
      <x:c r="F1081" s="11" t="n">
        <x:v>46249.4134212037</x:v>
      </x:c>
      <x:c r="G1081" t="str">
        <x:v>Byt</x:v>
      </x:c>
      <x:c r="H1081" s="12" t="n">
        <x:v>3</x:v>
      </x:c>
      <x:c r="I1081" s="13" t="n">
        <x:v>7</x:v>
      </x:c>
      <x:c r="J1081" t="str">
        <x:v>B</x:v>
      </x:c>
      <x:c r="K1081" s="14" t="n">
        <x:v>63.32</x:v>
      </x:c>
      <x:c r="L1081" s="14"/>
      <x:c r="M1081" s="14"/>
      <x:c r="N1081" s="14"/>
      <x:c r="O1081" s="14"/>
      <x:c r="P1081" s="14" t="n">
        <x:v>21.25</x:v>
      </x:c>
      <x:c r="Q1081" s="14" t="n">
        <x:v>84.57</x:v>
      </x:c>
      <x:c r="R1081" s="15"/>
      <x:c r="S1081" s="15"/>
      <x:c r="T1081" s="15"/>
      <x:c r="U1081" s="16"/>
      <x:c r="V1081" t="str">
        <x:v>Tatra Real</x:v>
      </x:c>
      <x:c r="W1081" t="str">
        <x:v>Ružinov</x:v>
      </x:c>
      <x:c r="X1081" s="11" t="str">
        <x:v>Čoskoro</x:v>
      </x:c>
      <x:c r="Y1081" s="11" t="str">
        <x:v>https://www.galvania.sk/byty/mam-zaujem-o-byt-B7.04/</x:v>
      </x:c>
      <x:c r="Z1081" s="11" t="n">
        <x:v>46249.4134212037</x:v>
      </x:c>
      <x:c r="AA1081" s="11" t="n">
        <x:v>46254.51251577547</x:v>
      </x:c>
      <x:c r="AB1081" s="11" t="n">
        <x:v>46254.51251577547</x:v>
      </x:c>
      <x:c r="AC1081" t="str">
        <x:v>galvania_rezidencie</x:v>
      </x:c>
    </x:row>
    <x:row r="1082" ht="22" customHeight="1">
      <x:c r="A1082" t="str">
        <x:v>Galvania Rezidencie</x:v>
      </x:c>
      <x:c r="B1082" t="str">
        <x:v>B7.05</x:v>
      </x:c>
      <x:c r="C1082" t="str">
        <x:v>coming_soon</x:v>
      </x:c>
      <x:c r="D1082" t="str">
        <x:v>present</x:v>
      </x:c>
      <x:c r="E1082" t="str">
        <x:v>baseline</x:v>
      </x:c>
      <x:c r="F1082" s="11" t="n">
        <x:v>46249.4134212037</x:v>
      </x:c>
      <x:c r="G1082" t="str">
        <x:v>Byt</x:v>
      </x:c>
      <x:c r="H1082" s="12" t="n">
        <x:v>2</x:v>
      </x:c>
      <x:c r="I1082" s="13" t="n">
        <x:v>7</x:v>
      </x:c>
      <x:c r="J1082" t="str">
        <x:v>B</x:v>
      </x:c>
      <x:c r="K1082" s="14" t="n">
        <x:v>47.61</x:v>
      </x:c>
      <x:c r="L1082" s="14"/>
      <x:c r="M1082" s="14"/>
      <x:c r="N1082" s="14"/>
      <x:c r="O1082" s="14"/>
      <x:c r="P1082" s="14" t="n">
        <x:v>10.92</x:v>
      </x:c>
      <x:c r="Q1082" s="14" t="n">
        <x:v>58.53</x:v>
      </x:c>
      <x:c r="R1082" s="15"/>
      <x:c r="S1082" s="15"/>
      <x:c r="T1082" s="15"/>
      <x:c r="U1082" s="16"/>
      <x:c r="V1082" t="str">
        <x:v>Tatra Real</x:v>
      </x:c>
      <x:c r="W1082" t="str">
        <x:v>Ružinov</x:v>
      </x:c>
      <x:c r="X1082" s="11" t="str">
        <x:v>Čoskoro</x:v>
      </x:c>
      <x:c r="Y1082" s="11" t="str">
        <x:v>https://www.galvania.sk/byty/mam-zaujem-o-byt-B7.05/</x:v>
      </x:c>
      <x:c r="Z1082" s="11" t="n">
        <x:v>46249.4134212037</x:v>
      </x:c>
      <x:c r="AA1082" s="11" t="n">
        <x:v>46254.51251577547</x:v>
      </x:c>
      <x:c r="AB1082" s="11" t="n">
        <x:v>46254.51251577547</x:v>
      </x:c>
      <x:c r="AC1082" t="str">
        <x:v>galvania_rezidencie</x:v>
      </x:c>
    </x:row>
    <x:row r="1083" ht="22" customHeight="1">
      <x:c r="A1083" t="str">
        <x:v>Galvania Rezidencie</x:v>
      </x:c>
      <x:c r="B1083" t="str">
        <x:v>B7.06</x:v>
      </x:c>
      <x:c r="C1083" t="str">
        <x:v>coming_soon</x:v>
      </x:c>
      <x:c r="D1083" t="str">
        <x:v>present</x:v>
      </x:c>
      <x:c r="E1083" t="str">
        <x:v>baseline</x:v>
      </x:c>
      <x:c r="F1083" s="11" t="n">
        <x:v>46249.4134212037</x:v>
      </x:c>
      <x:c r="G1083" t="str">
        <x:v>Byt</x:v>
      </x:c>
      <x:c r="H1083" s="12" t="n">
        <x:v>2</x:v>
      </x:c>
      <x:c r="I1083" s="13" t="n">
        <x:v>7</x:v>
      </x:c>
      <x:c r="J1083" t="str">
        <x:v>B</x:v>
      </x:c>
      <x:c r="K1083" s="14" t="n">
        <x:v>47.61</x:v>
      </x:c>
      <x:c r="L1083" s="14"/>
      <x:c r="M1083" s="14"/>
      <x:c r="N1083" s="14"/>
      <x:c r="O1083" s="14"/>
      <x:c r="P1083" s="14" t="n">
        <x:v>10.9</x:v>
      </x:c>
      <x:c r="Q1083" s="14" t="n">
        <x:v>58.51</x:v>
      </x:c>
      <x:c r="R1083" s="15"/>
      <x:c r="S1083" s="15"/>
      <x:c r="T1083" s="15"/>
      <x:c r="U1083" s="16"/>
      <x:c r="V1083" t="str">
        <x:v>Tatra Real</x:v>
      </x:c>
      <x:c r="W1083" t="str">
        <x:v>Ružinov</x:v>
      </x:c>
      <x:c r="X1083" s="11" t="str">
        <x:v>Čoskoro</x:v>
      </x:c>
      <x:c r="Y1083" s="11" t="str">
        <x:v>https://www.galvania.sk/byty/mam-zaujem-o-byt-B7.06/</x:v>
      </x:c>
      <x:c r="Z1083" s="11" t="n">
        <x:v>46249.4134212037</x:v>
      </x:c>
      <x:c r="AA1083" s="11" t="n">
        <x:v>46254.51251577547</x:v>
      </x:c>
      <x:c r="AB1083" s="11" t="n">
        <x:v>46254.51251577547</x:v>
      </x:c>
      <x:c r="AC1083" t="str">
        <x:v>galvania_rezidencie</x:v>
      </x:c>
    </x:row>
    <x:row r="1084" ht="22" customHeight="1">
      <x:c r="A1084" t="str">
        <x:v>Galvania Rezidencie</x:v>
      </x:c>
      <x:c r="B1084" t="str">
        <x:v>B7.07</x:v>
      </x:c>
      <x:c r="C1084" t="str">
        <x:v>coming_soon</x:v>
      </x:c>
      <x:c r="D1084" t="str">
        <x:v>present</x:v>
      </x:c>
      <x:c r="E1084" t="str">
        <x:v>baseline</x:v>
      </x:c>
      <x:c r="F1084" s="11" t="n">
        <x:v>46249.4134212037</x:v>
      </x:c>
      <x:c r="G1084" t="str">
        <x:v>Byt</x:v>
      </x:c>
      <x:c r="H1084" s="12" t="n">
        <x:v>2</x:v>
      </x:c>
      <x:c r="I1084" s="13" t="n">
        <x:v>7</x:v>
      </x:c>
      <x:c r="J1084" t="str">
        <x:v>B</x:v>
      </x:c>
      <x:c r="K1084" s="14" t="n">
        <x:v>47.61</x:v>
      </x:c>
      <x:c r="L1084" s="14"/>
      <x:c r="M1084" s="14"/>
      <x:c r="N1084" s="14"/>
      <x:c r="O1084" s="14"/>
      <x:c r="P1084" s="14" t="n">
        <x:v>11.05</x:v>
      </x:c>
      <x:c r="Q1084" s="14" t="n">
        <x:v>58.66</x:v>
      </x:c>
      <x:c r="R1084" s="15"/>
      <x:c r="S1084" s="15"/>
      <x:c r="T1084" s="15"/>
      <x:c r="U1084" s="16"/>
      <x:c r="V1084" t="str">
        <x:v>Tatra Real</x:v>
      </x:c>
      <x:c r="W1084" t="str">
        <x:v>Ružinov</x:v>
      </x:c>
      <x:c r="X1084" s="11" t="str">
        <x:v>Čoskoro</x:v>
      </x:c>
      <x:c r="Y1084" s="11" t="str">
        <x:v>https://www.galvania.sk/byty/mam-zaujem-o-byt-B7.07/</x:v>
      </x:c>
      <x:c r="Z1084" s="11" t="n">
        <x:v>46249.4134212037</x:v>
      </x:c>
      <x:c r="AA1084" s="11" t="n">
        <x:v>46254.51251577547</x:v>
      </x:c>
      <x:c r="AB1084" s="11" t="n">
        <x:v>46254.51251577547</x:v>
      </x:c>
      <x:c r="AC1084" t="str">
        <x:v>galvania_rezidencie</x:v>
      </x:c>
    </x:row>
    <x:row r="1085" ht="22" customHeight="1">
      <x:c r="A1085" t="str">
        <x:v>Galvania Rezidencie</x:v>
      </x:c>
      <x:c r="B1085" t="str">
        <x:v>B7.08</x:v>
      </x:c>
      <x:c r="C1085" t="str">
        <x:v>coming_soon</x:v>
      </x:c>
      <x:c r="D1085" t="str">
        <x:v>present</x:v>
      </x:c>
      <x:c r="E1085" t="str">
        <x:v>baseline</x:v>
      </x:c>
      <x:c r="F1085" s="11" t="n">
        <x:v>46249.4134212037</x:v>
      </x:c>
      <x:c r="G1085" t="str">
        <x:v>Byt</x:v>
      </x:c>
      <x:c r="H1085" s="12" t="n">
        <x:v>2</x:v>
      </x:c>
      <x:c r="I1085" s="13" t="n">
        <x:v>7</x:v>
      </x:c>
      <x:c r="J1085" t="str">
        <x:v>B</x:v>
      </x:c>
      <x:c r="K1085" s="14" t="n">
        <x:v>47.61</x:v>
      </x:c>
      <x:c r="L1085" s="14"/>
      <x:c r="M1085" s="14"/>
      <x:c r="N1085" s="14"/>
      <x:c r="O1085" s="14"/>
      <x:c r="P1085" s="14" t="n">
        <x:v>10.9</x:v>
      </x:c>
      <x:c r="Q1085" s="14" t="n">
        <x:v>58.51</x:v>
      </x:c>
      <x:c r="R1085" s="15"/>
      <x:c r="S1085" s="15"/>
      <x:c r="T1085" s="15"/>
      <x:c r="U1085" s="16"/>
      <x:c r="V1085" t="str">
        <x:v>Tatra Real</x:v>
      </x:c>
      <x:c r="W1085" t="str">
        <x:v>Ružinov</x:v>
      </x:c>
      <x:c r="X1085" s="11" t="str">
        <x:v>Čoskoro</x:v>
      </x:c>
      <x:c r="Y1085" s="11" t="str">
        <x:v>https://www.galvania.sk/byty/mam-zaujem-o-byt-B7.08/</x:v>
      </x:c>
      <x:c r="Z1085" s="11" t="n">
        <x:v>46249.4134212037</x:v>
      </x:c>
      <x:c r="AA1085" s="11" t="n">
        <x:v>46254.51251577547</x:v>
      </x:c>
      <x:c r="AB1085" s="11" t="n">
        <x:v>46254.51251577547</x:v>
      </x:c>
      <x:c r="AC1085" t="str">
        <x:v>galvania_rezidencie</x:v>
      </x:c>
    </x:row>
    <x:row r="1086" ht="22" customHeight="1">
      <x:c r="A1086" t="str">
        <x:v>Galvania Rezidencie</x:v>
      </x:c>
      <x:c r="B1086" t="str">
        <x:v>B7.09</x:v>
      </x:c>
      <x:c r="C1086" t="str">
        <x:v>coming_soon</x:v>
      </x:c>
      <x:c r="D1086" t="str">
        <x:v>present</x:v>
      </x:c>
      <x:c r="E1086" t="str">
        <x:v>baseline</x:v>
      </x:c>
      <x:c r="F1086" s="11" t="n">
        <x:v>46249.4134212037</x:v>
      </x:c>
      <x:c r="G1086" t="str">
        <x:v>Byt</x:v>
      </x:c>
      <x:c r="H1086" s="12" t="n">
        <x:v>2</x:v>
      </x:c>
      <x:c r="I1086" s="13" t="n">
        <x:v>7</x:v>
      </x:c>
      <x:c r="J1086" t="str">
        <x:v>B</x:v>
      </x:c>
      <x:c r="K1086" s="14" t="n">
        <x:v>47.61</x:v>
      </x:c>
      <x:c r="L1086" s="14"/>
      <x:c r="M1086" s="14"/>
      <x:c r="N1086" s="14"/>
      <x:c r="O1086" s="14"/>
      <x:c r="P1086" s="14" t="n">
        <x:v>10.9</x:v>
      </x:c>
      <x:c r="Q1086" s="14" t="n">
        <x:v>58.51</x:v>
      </x:c>
      <x:c r="R1086" s="15"/>
      <x:c r="S1086" s="15"/>
      <x:c r="T1086" s="15"/>
      <x:c r="U1086" s="16"/>
      <x:c r="V1086" t="str">
        <x:v>Tatra Real</x:v>
      </x:c>
      <x:c r="W1086" t="str">
        <x:v>Ružinov</x:v>
      </x:c>
      <x:c r="X1086" s="11" t="str">
        <x:v>Čoskoro</x:v>
      </x:c>
      <x:c r="Y1086" s="11" t="str">
        <x:v>https://www.galvania.sk/byty/mam-zaujem-o-byt-B7.09/</x:v>
      </x:c>
      <x:c r="Z1086" s="11" t="n">
        <x:v>46249.4134212037</x:v>
      </x:c>
      <x:c r="AA1086" s="11" t="n">
        <x:v>46254.51251577547</x:v>
      </x:c>
      <x:c r="AB1086" s="11" t="n">
        <x:v>46254.51251577547</x:v>
      </x:c>
      <x:c r="AC1086" t="str">
        <x:v>galvania_rezidencie</x:v>
      </x:c>
    </x:row>
    <x:row r="1087" ht="22" customHeight="1">
      <x:c r="A1087" t="str">
        <x:v>Galvania Rezidencie</x:v>
      </x:c>
      <x:c r="B1087" t="str">
        <x:v>B7.10</x:v>
      </x:c>
      <x:c r="C1087" t="str">
        <x:v>coming_soon</x:v>
      </x:c>
      <x:c r="D1087" t="str">
        <x:v>present</x:v>
      </x:c>
      <x:c r="E1087" t="str">
        <x:v>baseline</x:v>
      </x:c>
      <x:c r="F1087" s="11" t="n">
        <x:v>46249.4134212037</x:v>
      </x:c>
      <x:c r="G1087" t="str">
        <x:v>Byt</x:v>
      </x:c>
      <x:c r="H1087" s="12" t="n">
        <x:v>2</x:v>
      </x:c>
      <x:c r="I1087" s="13" t="n">
        <x:v>7</x:v>
      </x:c>
      <x:c r="J1087" t="str">
        <x:v>B</x:v>
      </x:c>
      <x:c r="K1087" s="14" t="n">
        <x:v>47.61</x:v>
      </x:c>
      <x:c r="L1087" s="14"/>
      <x:c r="M1087" s="14"/>
      <x:c r="N1087" s="14"/>
      <x:c r="O1087" s="14"/>
      <x:c r="P1087" s="14" t="n">
        <x:v>11.11</x:v>
      </x:c>
      <x:c r="Q1087" s="14" t="n">
        <x:v>58.72</x:v>
      </x:c>
      <x:c r="R1087" s="15"/>
      <x:c r="S1087" s="15"/>
      <x:c r="T1087" s="15"/>
      <x:c r="U1087" s="16"/>
      <x:c r="V1087" t="str">
        <x:v>Tatra Real</x:v>
      </x:c>
      <x:c r="W1087" t="str">
        <x:v>Ružinov</x:v>
      </x:c>
      <x:c r="X1087" s="11" t="str">
        <x:v>Čoskoro</x:v>
      </x:c>
      <x:c r="Y1087" s="11" t="str">
        <x:v>https://www.galvania.sk/byty/mam-zaujem-o-byt-B7.10/</x:v>
      </x:c>
      <x:c r="Z1087" s="11" t="n">
        <x:v>46249.4134212037</x:v>
      </x:c>
      <x:c r="AA1087" s="11" t="n">
        <x:v>46254.51251577547</x:v>
      </x:c>
      <x:c r="AB1087" s="11" t="n">
        <x:v>46254.51251577547</x:v>
      </x:c>
      <x:c r="AC1087" t="str">
        <x:v>galvania_rezidencie</x:v>
      </x:c>
    </x:row>
    <x:row r="1088" ht="22" customHeight="1">
      <x:c r="A1088" t="str">
        <x:v>Galvania Rezidencie</x:v>
      </x:c>
      <x:c r="B1088" t="str">
        <x:v>B7.11</x:v>
      </x:c>
      <x:c r="C1088" t="str">
        <x:v>coming_soon</x:v>
      </x:c>
      <x:c r="D1088" t="str">
        <x:v>present</x:v>
      </x:c>
      <x:c r="E1088" t="str">
        <x:v>baseline</x:v>
      </x:c>
      <x:c r="F1088" s="11" t="n">
        <x:v>46249.4134212037</x:v>
      </x:c>
      <x:c r="G1088" t="str">
        <x:v>Apartmán</x:v>
      </x:c>
      <x:c r="H1088" s="12" t="n">
        <x:v>2</x:v>
      </x:c>
      <x:c r="I1088" s="13" t="n">
        <x:v>7</x:v>
      </x:c>
      <x:c r="J1088" t="str">
        <x:v>B</x:v>
      </x:c>
      <x:c r="K1088" s="14" t="n">
        <x:v>51.81</x:v>
      </x:c>
      <x:c r="L1088" s="14"/>
      <x:c r="M1088" s="14"/>
      <x:c r="N1088" s="14"/>
      <x:c r="O1088" s="14"/>
      <x:c r="P1088" s="14" t="n">
        <x:v>9.88</x:v>
      </x:c>
      <x:c r="Q1088" s="14" t="n">
        <x:v>61.69</x:v>
      </x:c>
      <x:c r="R1088" s="15"/>
      <x:c r="S1088" s="15"/>
      <x:c r="T1088" s="15"/>
      <x:c r="U1088" s="16"/>
      <x:c r="V1088" t="str">
        <x:v>Tatra Real</x:v>
      </x:c>
      <x:c r="W1088" t="str">
        <x:v>Ružinov</x:v>
      </x:c>
      <x:c r="X1088" s="11" t="str">
        <x:v>Čoskoro</x:v>
      </x:c>
      <x:c r="Y1088" s="11" t="str">
        <x:v>https://www.galvania.sk/byty/mam-zaujem-o-byt-B7.11/</x:v>
      </x:c>
      <x:c r="Z1088" s="11" t="n">
        <x:v>46249.4134212037</x:v>
      </x:c>
      <x:c r="AA1088" s="11" t="n">
        <x:v>46254.51251577547</x:v>
      </x:c>
      <x:c r="AB1088" s="11" t="n">
        <x:v>46254.51251577547</x:v>
      </x:c>
      <x:c r="AC1088" t="str">
        <x:v>galvania_rezidencie</x:v>
      </x:c>
    </x:row>
    <x:row r="1089" ht="22" customHeight="1">
      <x:c r="A1089" t="str">
        <x:v>Galvania Rezidencie</x:v>
      </x:c>
      <x:c r="B1089" t="str">
        <x:v>B7.12</x:v>
      </x:c>
      <x:c r="C1089" t="str">
        <x:v>coming_soon</x:v>
      </x:c>
      <x:c r="D1089" t="str">
        <x:v>present</x:v>
      </x:c>
      <x:c r="E1089" t="str">
        <x:v>baseline</x:v>
      </x:c>
      <x:c r="F1089" s="11" t="n">
        <x:v>46249.4134212037</x:v>
      </x:c>
      <x:c r="G1089" t="str">
        <x:v>Byt</x:v>
      </x:c>
      <x:c r="H1089" s="12" t="n">
        <x:v>2</x:v>
      </x:c>
      <x:c r="I1089" s="13" t="n">
        <x:v>7</x:v>
      </x:c>
      <x:c r="J1089" t="str">
        <x:v>B</x:v>
      </x:c>
      <x:c r="K1089" s="14" t="n">
        <x:v>52.86</x:v>
      </x:c>
      <x:c r="L1089" s="14"/>
      <x:c r="M1089" s="14"/>
      <x:c r="N1089" s="14"/>
      <x:c r="O1089" s="14"/>
      <x:c r="P1089" s="14" t="n">
        <x:v>5.16</x:v>
      </x:c>
      <x:c r="Q1089" s="14" t="n">
        <x:v>58.02</x:v>
      </x:c>
      <x:c r="R1089" s="15"/>
      <x:c r="S1089" s="15"/>
      <x:c r="T1089" s="15"/>
      <x:c r="U1089" s="16"/>
      <x:c r="V1089" t="str">
        <x:v>Tatra Real</x:v>
      </x:c>
      <x:c r="W1089" t="str">
        <x:v>Ružinov</x:v>
      </x:c>
      <x:c r="X1089" s="11" t="str">
        <x:v>Čoskoro</x:v>
      </x:c>
      <x:c r="Y1089" s="11" t="str">
        <x:v>https://www.galvania.sk/byty/mam-zaujem-o-byt-B7.12/</x:v>
      </x:c>
      <x:c r="Z1089" s="11" t="n">
        <x:v>46249.4134212037</x:v>
      </x:c>
      <x:c r="AA1089" s="11" t="n">
        <x:v>46254.51251577547</x:v>
      </x:c>
      <x:c r="AB1089" s="11" t="n">
        <x:v>46254.51251577547</x:v>
      </x:c>
      <x:c r="AC1089" t="str">
        <x:v>galvania_rezidencie</x:v>
      </x:c>
    </x:row>
    <x:row r="1090" ht="22" customHeight="1">
      <x:c r="A1090" t="str">
        <x:v>Galvania Rezidencie</x:v>
      </x:c>
      <x:c r="B1090" t="str">
        <x:v>B7.13</x:v>
      </x:c>
      <x:c r="C1090" t="str">
        <x:v>coming_soon</x:v>
      </x:c>
      <x:c r="D1090" t="str">
        <x:v>present</x:v>
      </x:c>
      <x:c r="E1090" t="str">
        <x:v>baseline</x:v>
      </x:c>
      <x:c r="F1090" s="11" t="n">
        <x:v>46249.4134212037</x:v>
      </x:c>
      <x:c r="G1090" t="str">
        <x:v>Byt</x:v>
      </x:c>
      <x:c r="H1090" s="12" t="n">
        <x:v>2</x:v>
      </x:c>
      <x:c r="I1090" s="13" t="n">
        <x:v>7</x:v>
      </x:c>
      <x:c r="J1090" t="str">
        <x:v>B</x:v>
      </x:c>
      <x:c r="K1090" s="14" t="n">
        <x:v>48.05</x:v>
      </x:c>
      <x:c r="L1090" s="14"/>
      <x:c r="M1090" s="14"/>
      <x:c r="N1090" s="14"/>
      <x:c r="O1090" s="14"/>
      <x:c r="P1090" s="14" t="n">
        <x:v>10.72</x:v>
      </x:c>
      <x:c r="Q1090" s="14" t="n">
        <x:v>58.77</x:v>
      </x:c>
      <x:c r="R1090" s="15"/>
      <x:c r="S1090" s="15"/>
      <x:c r="T1090" s="15"/>
      <x:c r="U1090" s="16"/>
      <x:c r="V1090" t="str">
        <x:v>Tatra Real</x:v>
      </x:c>
      <x:c r="W1090" t="str">
        <x:v>Ružinov</x:v>
      </x:c>
      <x:c r="X1090" s="11" t="str">
        <x:v>Čoskoro</x:v>
      </x:c>
      <x:c r="Y1090" s="11" t="str">
        <x:v>https://www.galvania.sk/byty/mam-zaujem-o-byt-B7.13/</x:v>
      </x:c>
      <x:c r="Z1090" s="11" t="n">
        <x:v>46249.4134212037</x:v>
      </x:c>
      <x:c r="AA1090" s="11" t="n">
        <x:v>46254.51251577547</x:v>
      </x:c>
      <x:c r="AB1090" s="11" t="n">
        <x:v>46254.51251577547</x:v>
      </x:c>
      <x:c r="AC1090" t="str">
        <x:v>galvania_rezidencie</x:v>
      </x:c>
    </x:row>
    <x:row r="1091" ht="22" customHeight="1">
      <x:c r="A1091" t="str">
        <x:v>Galvania Rezidencie</x:v>
      </x:c>
      <x:c r="B1091" t="str">
        <x:v>B7.14</x:v>
      </x:c>
      <x:c r="C1091" t="str">
        <x:v>coming_soon</x:v>
      </x:c>
      <x:c r="D1091" t="str">
        <x:v>present</x:v>
      </x:c>
      <x:c r="E1091" t="str">
        <x:v>baseline</x:v>
      </x:c>
      <x:c r="F1091" s="11" t="n">
        <x:v>46249.4134212037</x:v>
      </x:c>
      <x:c r="G1091" t="str">
        <x:v>Byt</x:v>
      </x:c>
      <x:c r="H1091" s="12" t="n">
        <x:v>2</x:v>
      </x:c>
      <x:c r="I1091" s="13" t="n">
        <x:v>7</x:v>
      </x:c>
      <x:c r="J1091" t="str">
        <x:v>B</x:v>
      </x:c>
      <x:c r="K1091" s="14" t="n">
        <x:v>48.54</x:v>
      </x:c>
      <x:c r="L1091" s="14"/>
      <x:c r="M1091" s="14"/>
      <x:c r="N1091" s="14"/>
      <x:c r="O1091" s="14"/>
      <x:c r="P1091" s="14" t="n">
        <x:v>10.73</x:v>
      </x:c>
      <x:c r="Q1091" s="14" t="n">
        <x:v>59.27</x:v>
      </x:c>
      <x:c r="R1091" s="15"/>
      <x:c r="S1091" s="15"/>
      <x:c r="T1091" s="15"/>
      <x:c r="U1091" s="16"/>
      <x:c r="V1091" t="str">
        <x:v>Tatra Real</x:v>
      </x:c>
      <x:c r="W1091" t="str">
        <x:v>Ružinov</x:v>
      </x:c>
      <x:c r="X1091" s="11" t="str">
        <x:v>Čoskoro</x:v>
      </x:c>
      <x:c r="Y1091" s="11" t="str">
        <x:v>https://www.galvania.sk/byty/mam-zaujem-o-byt-B7.14/</x:v>
      </x:c>
      <x:c r="Z1091" s="11" t="n">
        <x:v>46249.4134212037</x:v>
      </x:c>
      <x:c r="AA1091" s="11" t="n">
        <x:v>46254.51251577547</x:v>
      </x:c>
      <x:c r="AB1091" s="11" t="n">
        <x:v>46254.51251577547</x:v>
      </x:c>
      <x:c r="AC1091" t="str">
        <x:v>galvania_rezidencie</x:v>
      </x:c>
    </x:row>
    <x:row r="1092" ht="22" customHeight="1">
      <x:c r="A1092" t="str">
        <x:v>Galvania Rezidencie</x:v>
      </x:c>
      <x:c r="B1092" t="str">
        <x:v>B7.15</x:v>
      </x:c>
      <x:c r="C1092" t="str">
        <x:v>coming_soon</x:v>
      </x:c>
      <x:c r="D1092" t="str">
        <x:v>present</x:v>
      </x:c>
      <x:c r="E1092" t="str">
        <x:v>baseline</x:v>
      </x:c>
      <x:c r="F1092" s="11" t="n">
        <x:v>46249.4134212037</x:v>
      </x:c>
      <x:c r="G1092" t="str">
        <x:v>Byt</x:v>
      </x:c>
      <x:c r="H1092" s="12" t="n">
        <x:v>2</x:v>
      </x:c>
      <x:c r="I1092" s="13" t="n">
        <x:v>7</x:v>
      </x:c>
      <x:c r="J1092" t="str">
        <x:v>B</x:v>
      </x:c>
      <x:c r="K1092" s="14" t="n">
        <x:v>48.54</x:v>
      </x:c>
      <x:c r="L1092" s="14"/>
      <x:c r="M1092" s="14"/>
      <x:c r="N1092" s="14"/>
      <x:c r="O1092" s="14"/>
      <x:c r="P1092" s="14" t="n">
        <x:v>5.57</x:v>
      </x:c>
      <x:c r="Q1092" s="14" t="n">
        <x:v>54.11</x:v>
      </x:c>
      <x:c r="R1092" s="15"/>
      <x:c r="S1092" s="15"/>
      <x:c r="T1092" s="15"/>
      <x:c r="U1092" s="16"/>
      <x:c r="V1092" t="str">
        <x:v>Tatra Real</x:v>
      </x:c>
      <x:c r="W1092" t="str">
        <x:v>Ružinov</x:v>
      </x:c>
      <x:c r="X1092" s="11" t="str">
        <x:v>Čoskoro</x:v>
      </x:c>
      <x:c r="Y1092" s="11" t="str">
        <x:v>https://www.galvania.sk/byty/mam-zaujem-o-byt-B7.15/</x:v>
      </x:c>
      <x:c r="Z1092" s="11" t="n">
        <x:v>46249.4134212037</x:v>
      </x:c>
      <x:c r="AA1092" s="11" t="n">
        <x:v>46254.51251577547</x:v>
      </x:c>
      <x:c r="AB1092" s="11" t="n">
        <x:v>46254.51251577547</x:v>
      </x:c>
      <x:c r="AC1092" t="str">
        <x:v>galvania_rezidencie</x:v>
      </x:c>
    </x:row>
    <x:row r="1093" ht="22" customHeight="1">
      <x:c r="A1093" t="str">
        <x:v>Galvania Rezidencie</x:v>
      </x:c>
      <x:c r="B1093" t="str">
        <x:v>B7.16</x:v>
      </x:c>
      <x:c r="C1093" t="str">
        <x:v>coming_soon</x:v>
      </x:c>
      <x:c r="D1093" t="str">
        <x:v>present</x:v>
      </x:c>
      <x:c r="E1093" t="str">
        <x:v>baseline</x:v>
      </x:c>
      <x:c r="F1093" s="11" t="n">
        <x:v>46249.4134212037</x:v>
      </x:c>
      <x:c r="G1093" t="str">
        <x:v>Byt</x:v>
      </x:c>
      <x:c r="H1093" s="12" t="n">
        <x:v>2</x:v>
      </x:c>
      <x:c r="I1093" s="13" t="n">
        <x:v>7</x:v>
      </x:c>
      <x:c r="J1093" t="str">
        <x:v>B</x:v>
      </x:c>
      <x:c r="K1093" s="14" t="n">
        <x:v>48.82</x:v>
      </x:c>
      <x:c r="L1093" s="14"/>
      <x:c r="M1093" s="14"/>
      <x:c r="N1093" s="14"/>
      <x:c r="O1093" s="14"/>
      <x:c r="P1093" s="14" t="n">
        <x:v>3.57</x:v>
      </x:c>
      <x:c r="Q1093" s="14" t="n">
        <x:v>52.39</x:v>
      </x:c>
      <x:c r="R1093" s="15"/>
      <x:c r="S1093" s="15"/>
      <x:c r="T1093" s="15"/>
      <x:c r="U1093" s="16"/>
      <x:c r="V1093" t="str">
        <x:v>Tatra Real</x:v>
      </x:c>
      <x:c r="W1093" t="str">
        <x:v>Ružinov</x:v>
      </x:c>
      <x:c r="X1093" s="11" t="str">
        <x:v>Čoskoro</x:v>
      </x:c>
      <x:c r="Y1093" s="11" t="str">
        <x:v>https://www.galvania.sk/byty/mam-zaujem-o-byt-B7.16/</x:v>
      </x:c>
      <x:c r="Z1093" s="11" t="n">
        <x:v>46249.4134212037</x:v>
      </x:c>
      <x:c r="AA1093" s="11" t="n">
        <x:v>46254.51251577547</x:v>
      </x:c>
      <x:c r="AB1093" s="11" t="n">
        <x:v>46254.51251577547</x:v>
      </x:c>
      <x:c r="AC1093" t="str">
        <x:v>galvania_rezidencie</x:v>
      </x:c>
    </x:row>
    <x:row r="1094" ht="22" customHeight="1">
      <x:c r="A1094" t="str">
        <x:v>Galvania Rezidencie</x:v>
      </x:c>
      <x:c r="B1094" t="str">
        <x:v>B8.01</x:v>
      </x:c>
      <x:c r="C1094" t="str">
        <x:v>coming_soon</x:v>
      </x:c>
      <x:c r="D1094" t="str">
        <x:v>present</x:v>
      </x:c>
      <x:c r="E1094" t="str">
        <x:v>baseline</x:v>
      </x:c>
      <x:c r="F1094" s="11" t="n">
        <x:v>46249.4134212037</x:v>
      </x:c>
      <x:c r="G1094" t="str">
        <x:v>Byt</x:v>
      </x:c>
      <x:c r="H1094" s="12" t="n">
        <x:v>2</x:v>
      </x:c>
      <x:c r="I1094" s="13" t="n">
        <x:v>8</x:v>
      </x:c>
      <x:c r="J1094" t="str">
        <x:v>B</x:v>
      </x:c>
      <x:c r="K1094" s="14" t="n">
        <x:v>71.27</x:v>
      </x:c>
      <x:c r="L1094" s="14"/>
      <x:c r="M1094" s="14"/>
      <x:c r="N1094" s="14"/>
      <x:c r="O1094" s="14"/>
      <x:c r="P1094" s="14" t="n">
        <x:v>38.24</x:v>
      </x:c>
      <x:c r="Q1094" s="14" t="n">
        <x:v>109.51</x:v>
      </x:c>
      <x:c r="R1094" s="15"/>
      <x:c r="S1094" s="15"/>
      <x:c r="T1094" s="15"/>
      <x:c r="U1094" s="16"/>
      <x:c r="V1094" t="str">
        <x:v>Tatra Real</x:v>
      </x:c>
      <x:c r="W1094" t="str">
        <x:v>Ružinov</x:v>
      </x:c>
      <x:c r="X1094" s="11" t="str">
        <x:v>Čoskoro</x:v>
      </x:c>
      <x:c r="Y1094" s="11" t="str">
        <x:v>https://www.galvania.sk/byty/mam-zaujem-o-byt-B8.01/</x:v>
      </x:c>
      <x:c r="Z1094" s="11" t="n">
        <x:v>46249.4134212037</x:v>
      </x:c>
      <x:c r="AA1094" s="11" t="n">
        <x:v>46254.51251577547</x:v>
      </x:c>
      <x:c r="AB1094" s="11" t="n">
        <x:v>46254.51251577547</x:v>
      </x:c>
      <x:c r="AC1094" t="str">
        <x:v>galvania_rezidencie</x:v>
      </x:c>
    </x:row>
    <x:row r="1095" ht="22" customHeight="1">
      <x:c r="A1095" t="str">
        <x:v>Galvania Rezidencie</x:v>
      </x:c>
      <x:c r="B1095" t="str">
        <x:v>B8.02</x:v>
      </x:c>
      <x:c r="C1095" t="str">
        <x:v>coming_soon</x:v>
      </x:c>
      <x:c r="D1095" t="str">
        <x:v>present</x:v>
      </x:c>
      <x:c r="E1095" t="str">
        <x:v>baseline</x:v>
      </x:c>
      <x:c r="F1095" s="11" t="n">
        <x:v>46249.4134212037</x:v>
      </x:c>
      <x:c r="G1095" t="str">
        <x:v>Byt</x:v>
      </x:c>
      <x:c r="H1095" s="12" t="n">
        <x:v>2</x:v>
      </x:c>
      <x:c r="I1095" s="13" t="n">
        <x:v>8</x:v>
      </x:c>
      <x:c r="J1095" t="str">
        <x:v>B</x:v>
      </x:c>
      <x:c r="K1095" s="14" t="n">
        <x:v>57.79</x:v>
      </x:c>
      <x:c r="L1095" s="14"/>
      <x:c r="M1095" s="14"/>
      <x:c r="N1095" s="14"/>
      <x:c r="O1095" s="14"/>
      <x:c r="P1095" s="14" t="n">
        <x:v>28.66</x:v>
      </x:c>
      <x:c r="Q1095" s="14" t="n">
        <x:v>86.45</x:v>
      </x:c>
      <x:c r="R1095" s="15"/>
      <x:c r="S1095" s="15"/>
      <x:c r="T1095" s="15"/>
      <x:c r="U1095" s="16"/>
      <x:c r="V1095" t="str">
        <x:v>Tatra Real</x:v>
      </x:c>
      <x:c r="W1095" t="str">
        <x:v>Ružinov</x:v>
      </x:c>
      <x:c r="X1095" s="11" t="str">
        <x:v>Čoskoro</x:v>
      </x:c>
      <x:c r="Y1095" s="11" t="str">
        <x:v>https://www.galvania.sk/byty/mam-zaujem-o-byt-B8.02/</x:v>
      </x:c>
      <x:c r="Z1095" s="11" t="n">
        <x:v>46249.4134212037</x:v>
      </x:c>
      <x:c r="AA1095" s="11" t="n">
        <x:v>46254.51251577547</x:v>
      </x:c>
      <x:c r="AB1095" s="11" t="n">
        <x:v>46254.51251577547</x:v>
      </x:c>
      <x:c r="AC1095" t="str">
        <x:v>galvania_rezidencie</x:v>
      </x:c>
    </x:row>
    <x:row r="1096" ht="22" customHeight="1">
      <x:c r="A1096" t="str">
        <x:v>Galvania Rezidencie</x:v>
      </x:c>
      <x:c r="B1096" t="str">
        <x:v>B8.03</x:v>
      </x:c>
      <x:c r="C1096" t="str">
        <x:v>coming_soon</x:v>
      </x:c>
      <x:c r="D1096" t="str">
        <x:v>present</x:v>
      </x:c>
      <x:c r="E1096" t="str">
        <x:v>baseline</x:v>
      </x:c>
      <x:c r="F1096" s="11" t="n">
        <x:v>46249.4134212037</x:v>
      </x:c>
      <x:c r="G1096" t="str">
        <x:v>Byt</x:v>
      </x:c>
      <x:c r="H1096" s="12" t="n">
        <x:v>2</x:v>
      </x:c>
      <x:c r="I1096" s="13" t="n">
        <x:v>8</x:v>
      </x:c>
      <x:c r="J1096" t="str">
        <x:v>B</x:v>
      </x:c>
      <x:c r="K1096" s="14" t="n">
        <x:v>57.78</x:v>
      </x:c>
      <x:c r="L1096" s="14"/>
      <x:c r="M1096" s="14"/>
      <x:c r="N1096" s="14"/>
      <x:c r="O1096" s="14"/>
      <x:c r="P1096" s="14" t="n">
        <x:v>28.74</x:v>
      </x:c>
      <x:c r="Q1096" s="14" t="n">
        <x:v>86.52</x:v>
      </x:c>
      <x:c r="R1096" s="15"/>
      <x:c r="S1096" s="15"/>
      <x:c r="T1096" s="15"/>
      <x:c r="U1096" s="16"/>
      <x:c r="V1096" t="str">
        <x:v>Tatra Real</x:v>
      </x:c>
      <x:c r="W1096" t="str">
        <x:v>Ružinov</x:v>
      </x:c>
      <x:c r="X1096" s="11" t="str">
        <x:v>Čoskoro</x:v>
      </x:c>
      <x:c r="Y1096" s="11" t="str">
        <x:v>https://www.galvania.sk/byty/mam-zaujem-o-byt-B8.03/</x:v>
      </x:c>
      <x:c r="Z1096" s="11" t="n">
        <x:v>46249.4134212037</x:v>
      </x:c>
      <x:c r="AA1096" s="11" t="n">
        <x:v>46254.51251577547</x:v>
      </x:c>
      <x:c r="AB1096" s="11" t="n">
        <x:v>46254.51251577547</x:v>
      </x:c>
      <x:c r="AC1096" t="str">
        <x:v>galvania_rezidencie</x:v>
      </x:c>
    </x:row>
    <x:row r="1097" ht="22" customHeight="1">
      <x:c r="A1097" t="str">
        <x:v>Galvania Rezidencie</x:v>
      </x:c>
      <x:c r="B1097" t="str">
        <x:v>B8.04</x:v>
      </x:c>
      <x:c r="C1097" t="str">
        <x:v>coming_soon</x:v>
      </x:c>
      <x:c r="D1097" t="str">
        <x:v>present</x:v>
      </x:c>
      <x:c r="E1097" t="str">
        <x:v>baseline</x:v>
      </x:c>
      <x:c r="F1097" s="11" t="n">
        <x:v>46249.4134212037</x:v>
      </x:c>
      <x:c r="G1097" t="str">
        <x:v>Byt</x:v>
      </x:c>
      <x:c r="H1097" s="12" t="n">
        <x:v>2</x:v>
      </x:c>
      <x:c r="I1097" s="13" t="n">
        <x:v>8</x:v>
      </x:c>
      <x:c r="J1097" t="str">
        <x:v>B</x:v>
      </x:c>
      <x:c r="K1097" s="14" t="n">
        <x:v>57.77</x:v>
      </x:c>
      <x:c r="L1097" s="14"/>
      <x:c r="M1097" s="14"/>
      <x:c r="N1097" s="14"/>
      <x:c r="O1097" s="14"/>
      <x:c r="P1097" s="14" t="n">
        <x:v>26.7</x:v>
      </x:c>
      <x:c r="Q1097" s="14" t="n">
        <x:v>84.47</x:v>
      </x:c>
      <x:c r="R1097" s="15"/>
      <x:c r="S1097" s="15"/>
      <x:c r="T1097" s="15"/>
      <x:c r="U1097" s="16"/>
      <x:c r="V1097" t="str">
        <x:v>Tatra Real</x:v>
      </x:c>
      <x:c r="W1097" t="str">
        <x:v>Ružinov</x:v>
      </x:c>
      <x:c r="X1097" s="11" t="str">
        <x:v>Čoskoro</x:v>
      </x:c>
      <x:c r="Y1097" s="11" t="str">
        <x:v>https://www.galvania.sk/byty/mam-zaujem-o-byt-B8.04/</x:v>
      </x:c>
      <x:c r="Z1097" s="11" t="n">
        <x:v>46249.4134212037</x:v>
      </x:c>
      <x:c r="AA1097" s="11" t="n">
        <x:v>46254.51251577547</x:v>
      </x:c>
      <x:c r="AB1097" s="11" t="n">
        <x:v>46254.51251577547</x:v>
      </x:c>
      <x:c r="AC1097" t="str">
        <x:v>galvania_rezidencie</x:v>
      </x:c>
    </x:row>
    <x:row r="1098" ht="22" customHeight="1">
      <x:c r="A1098" t="str">
        <x:v>Galvania Rezidencie</x:v>
      </x:c>
      <x:c r="B1098" t="str">
        <x:v>B8.05</x:v>
      </x:c>
      <x:c r="C1098" t="str">
        <x:v>coming_soon</x:v>
      </x:c>
      <x:c r="D1098" t="str">
        <x:v>present</x:v>
      </x:c>
      <x:c r="E1098" t="str">
        <x:v>baseline</x:v>
      </x:c>
      <x:c r="F1098" s="11" t="n">
        <x:v>46249.4134212037</x:v>
      </x:c>
      <x:c r="G1098" t="str">
        <x:v>Byt</x:v>
      </x:c>
      <x:c r="H1098" s="12" t="n">
        <x:v>2</x:v>
      </x:c>
      <x:c r="I1098" s="13" t="n">
        <x:v>8</x:v>
      </x:c>
      <x:c r="J1098" t="str">
        <x:v>B</x:v>
      </x:c>
      <x:c r="K1098" s="14" t="n">
        <x:v>63.67</x:v>
      </x:c>
      <x:c r="L1098" s="14"/>
      <x:c r="M1098" s="14"/>
      <x:c r="N1098" s="14"/>
      <x:c r="O1098" s="14"/>
      <x:c r="P1098" s="14" t="n">
        <x:v>35.53</x:v>
      </x:c>
      <x:c r="Q1098" s="14" t="n">
        <x:v>99.2</x:v>
      </x:c>
      <x:c r="R1098" s="15"/>
      <x:c r="S1098" s="15"/>
      <x:c r="T1098" s="15"/>
      <x:c r="U1098" s="16"/>
      <x:c r="V1098" t="str">
        <x:v>Tatra Real</x:v>
      </x:c>
      <x:c r="W1098" t="str">
        <x:v>Ružinov</x:v>
      </x:c>
      <x:c r="X1098" s="11" t="str">
        <x:v>Čoskoro</x:v>
      </x:c>
      <x:c r="Y1098" s="11" t="str">
        <x:v>https://www.galvania.sk/byty/mam-zaujem-o-byt-B8.05/</x:v>
      </x:c>
      <x:c r="Z1098" s="11" t="n">
        <x:v>46249.4134212037</x:v>
      </x:c>
      <x:c r="AA1098" s="11" t="n">
        <x:v>46254.51251577547</x:v>
      </x:c>
      <x:c r="AB1098" s="11" t="n">
        <x:v>46254.51251577547</x:v>
      </x:c>
      <x:c r="AC1098" t="str">
        <x:v>galvania_rezidencie</x:v>
      </x:c>
    </x:row>
    <x:row r="1099" ht="22" customHeight="1">
      <x:c r="A1099" t="str">
        <x:v>Galvania Rezidencie</x:v>
      </x:c>
      <x:c r="B1099" t="str">
        <x:v>B8.06</x:v>
      </x:c>
      <x:c r="C1099" t="str">
        <x:v>coming_soon</x:v>
      </x:c>
      <x:c r="D1099" t="str">
        <x:v>present</x:v>
      </x:c>
      <x:c r="E1099" t="str">
        <x:v>baseline</x:v>
      </x:c>
      <x:c r="F1099" s="11" t="n">
        <x:v>46249.4134212037</x:v>
      </x:c>
      <x:c r="G1099" t="str">
        <x:v>Byt</x:v>
      </x:c>
      <x:c r="H1099" s="12" t="n">
        <x:v>2</x:v>
      </x:c>
      <x:c r="I1099" s="13" t="n">
        <x:v>8</x:v>
      </x:c>
      <x:c r="J1099" t="str">
        <x:v>B</x:v>
      </x:c>
      <x:c r="K1099" s="14" t="n">
        <x:v>57.64</x:v>
      </x:c>
      <x:c r="L1099" s="14"/>
      <x:c r="M1099" s="14"/>
      <x:c r="N1099" s="14"/>
      <x:c r="O1099" s="14"/>
      <x:c r="P1099" s="14" t="n">
        <x:v>19.02</x:v>
      </x:c>
      <x:c r="Q1099" s="14" t="n">
        <x:v>76.66</x:v>
      </x:c>
      <x:c r="R1099" s="15"/>
      <x:c r="S1099" s="15"/>
      <x:c r="T1099" s="15"/>
      <x:c r="U1099" s="16"/>
      <x:c r="V1099" t="str">
        <x:v>Tatra Real</x:v>
      </x:c>
      <x:c r="W1099" t="str">
        <x:v>Ružinov</x:v>
      </x:c>
      <x:c r="X1099" s="11" t="str">
        <x:v>Čoskoro</x:v>
      </x:c>
      <x:c r="Y1099" s="11" t="str">
        <x:v>https://www.galvania.sk/byty/mam-zaujem-o-byt-B8.06/</x:v>
      </x:c>
      <x:c r="Z1099" s="11" t="n">
        <x:v>46249.4134212037</x:v>
      </x:c>
      <x:c r="AA1099" s="11" t="n">
        <x:v>46254.51251577547</x:v>
      </x:c>
      <x:c r="AB1099" s="11" t="n">
        <x:v>46254.51251577547</x:v>
      </x:c>
      <x:c r="AC1099" t="str">
        <x:v>galvania_rezidencie</x:v>
      </x:c>
    </x:row>
    <x:row r="1100" ht="22" customHeight="1">
      <x:c r="A1100" t="str">
        <x:v>Galvania Rezidencie</x:v>
      </x:c>
      <x:c r="B1100" t="str">
        <x:v>B8.07</x:v>
      </x:c>
      <x:c r="C1100" t="str">
        <x:v>coming_soon</x:v>
      </x:c>
      <x:c r="D1100" t="str">
        <x:v>present</x:v>
      </x:c>
      <x:c r="E1100" t="str">
        <x:v>baseline</x:v>
      </x:c>
      <x:c r="F1100" s="11" t="n">
        <x:v>46249.4134212037</x:v>
      </x:c>
      <x:c r="G1100" t="str">
        <x:v>Byt</x:v>
      </x:c>
      <x:c r="H1100" s="12" t="n">
        <x:v>3</x:v>
      </x:c>
      <x:c r="I1100" s="13" t="n">
        <x:v>8</x:v>
      </x:c>
      <x:c r="J1100" t="str">
        <x:v>B</x:v>
      </x:c>
      <x:c r="K1100" s="14" t="n">
        <x:v>70.35</x:v>
      </x:c>
      <x:c r="L1100" s="14"/>
      <x:c r="M1100" s="14"/>
      <x:c r="N1100" s="14"/>
      <x:c r="O1100" s="14"/>
      <x:c r="P1100" s="14" t="n">
        <x:v>22.97</x:v>
      </x:c>
      <x:c r="Q1100" s="14" t="n">
        <x:v>93.32</x:v>
      </x:c>
      <x:c r="R1100" s="15"/>
      <x:c r="S1100" s="15"/>
      <x:c r="T1100" s="15"/>
      <x:c r="U1100" s="16"/>
      <x:c r="V1100" t="str">
        <x:v>Tatra Real</x:v>
      </x:c>
      <x:c r="W1100" t="str">
        <x:v>Ružinov</x:v>
      </x:c>
      <x:c r="X1100" s="11" t="str">
        <x:v>Čoskoro</x:v>
      </x:c>
      <x:c r="Y1100" s="11" t="str">
        <x:v>https://www.galvania.sk/byty/mam-zaujem-o-byt-B8.07/</x:v>
      </x:c>
      <x:c r="Z1100" s="11" t="n">
        <x:v>46249.4134212037</x:v>
      </x:c>
      <x:c r="AA1100" s="11" t="n">
        <x:v>46254.51251577547</x:v>
      </x:c>
      <x:c r="AB1100" s="11" t="n">
        <x:v>46254.51251577547</x:v>
      </x:c>
      <x:c r="AC1100" t="str">
        <x:v>galvania_rezidencie</x:v>
      </x:c>
    </x:row>
    <x:row r="1101" ht="22" customHeight="1">
      <x:c r="A1101" t="str">
        <x:v>Galvania Rezidencie</x:v>
      </x:c>
      <x:c r="B1101" t="str">
        <x:v>B8.08</x:v>
      </x:c>
      <x:c r="C1101" t="str">
        <x:v>coming_soon</x:v>
      </x:c>
      <x:c r="D1101" t="str">
        <x:v>present</x:v>
      </x:c>
      <x:c r="E1101" t="str">
        <x:v>baseline</x:v>
      </x:c>
      <x:c r="F1101" s="11" t="n">
        <x:v>46249.4134212037</x:v>
      </x:c>
      <x:c r="G1101" t="str">
        <x:v>Byt</x:v>
      </x:c>
      <x:c r="H1101" s="12" t="n">
        <x:v>2</x:v>
      </x:c>
      <x:c r="I1101" s="13" t="n">
        <x:v>8</x:v>
      </x:c>
      <x:c r="J1101" t="str">
        <x:v>B</x:v>
      </x:c>
      <x:c r="K1101" s="14" t="n">
        <x:v>68.96</x:v>
      </x:c>
      <x:c r="L1101" s="14"/>
      <x:c r="M1101" s="14"/>
      <x:c r="N1101" s="14"/>
      <x:c r="O1101" s="14"/>
      <x:c r="P1101" s="14" t="n">
        <x:v>40.84</x:v>
      </x:c>
      <x:c r="Q1101" s="14" t="n">
        <x:v>109.8</x:v>
      </x:c>
      <x:c r="R1101" s="15"/>
      <x:c r="S1101" s="15"/>
      <x:c r="T1101" s="15"/>
      <x:c r="U1101" s="16"/>
      <x:c r="V1101" t="str">
        <x:v>Tatra Real</x:v>
      </x:c>
      <x:c r="W1101" t="str">
        <x:v>Ružinov</x:v>
      </x:c>
      <x:c r="X1101" s="11" t="str">
        <x:v>Čoskoro</x:v>
      </x:c>
      <x:c r="Y1101" s="11" t="str">
        <x:v>https://www.galvania.sk/byty/mam-zaujem-o-byt-B8.08/</x:v>
      </x:c>
      <x:c r="Z1101" s="11" t="n">
        <x:v>46249.4134212037</x:v>
      </x:c>
      <x:c r="AA1101" s="11" t="n">
        <x:v>46254.51251577547</x:v>
      </x:c>
      <x:c r="AB1101" s="11" t="n">
        <x:v>46254.51251577547</x:v>
      </x:c>
      <x:c r="AC1101" t="str">
        <x:v>galvania_rezidencie</x:v>
      </x:c>
    </x:row>
    <x:row r="1102" ht="22" customHeight="1">
      <x:c r="A1102" t="str">
        <x:v>Galvania Rezidencie</x:v>
      </x:c>
      <x:c r="B1102" t="str">
        <x:v>C1.01</x:v>
      </x:c>
      <x:c r="C1102" t="str">
        <x:v>sold</x:v>
      </x:c>
      <x:c r="D1102" t="str">
        <x:v>present</x:v>
      </x:c>
      <x:c r="E1102" t="str">
        <x:v>baseline</x:v>
      </x:c>
      <x:c r="F1102" s="11" t="n">
        <x:v>46249.4134212037</x:v>
      </x:c>
      <x:c r="G1102" t="str">
        <x:v>Byt</x:v>
      </x:c>
      <x:c r="H1102" s="12" t="n">
        <x:v>2</x:v>
      </x:c>
      <x:c r="I1102" s="13" t="n">
        <x:v>1</x:v>
      </x:c>
      <x:c r="J1102" t="str">
        <x:v>C</x:v>
      </x:c>
      <x:c r="K1102" s="14" t="n">
        <x:v>48.3</x:v>
      </x:c>
      <x:c r="L1102" s="14"/>
      <x:c r="M1102" s="14"/>
      <x:c r="N1102" s="14"/>
      <x:c r="O1102" s="14"/>
      <x:c r="P1102" s="14" t="n">
        <x:v>9.59</x:v>
      </x:c>
      <x:c r="Q1102" s="14" t="n">
        <x:v>57.89</x:v>
      </x:c>
      <x:c r="R1102" s="15"/>
      <x:c r="S1102" s="15"/>
      <x:c r="T1102" s="15"/>
      <x:c r="U1102" s="16"/>
      <x:c r="V1102" t="str">
        <x:v>Tatra Real</x:v>
      </x:c>
      <x:c r="W1102" t="str">
        <x:v>Ružinov</x:v>
      </x:c>
      <x:c r="X1102" s="11" t="str">
        <x:v>Predaný</x:v>
      </x:c>
      <x:c r="Y1102" s="11" t="str">
        <x:v>https://www.galvania.sk/byty/</x:v>
      </x:c>
      <x:c r="Z1102" s="11" t="n">
        <x:v>46249.4134212037</x:v>
      </x:c>
      <x:c r="AA1102" s="11" t="n">
        <x:v>46254.51251577547</x:v>
      </x:c>
      <x:c r="AB1102" s="11" t="n">
        <x:v>46254.51251577547</x:v>
      </x:c>
      <x:c r="AC1102" t="str">
        <x:v>galvania_rezidencie</x:v>
      </x:c>
    </x:row>
    <x:row r="1103" ht="22" customHeight="1">
      <x:c r="A1103" t="str">
        <x:v>Galvania Rezidencie</x:v>
      </x:c>
      <x:c r="B1103" t="str">
        <x:v>C1.02</x:v>
      </x:c>
      <x:c r="C1103" t="str">
        <x:v>sold</x:v>
      </x:c>
      <x:c r="D1103" t="str">
        <x:v>present</x:v>
      </x:c>
      <x:c r="E1103" t="str">
        <x:v>baseline</x:v>
      </x:c>
      <x:c r="F1103" s="11" t="n">
        <x:v>46249.4134212037</x:v>
      </x:c>
      <x:c r="G1103" t="str">
        <x:v>Byt</x:v>
      </x:c>
      <x:c r="H1103" s="12" t="n">
        <x:v>2</x:v>
      </x:c>
      <x:c r="I1103" s="13" t="n">
        <x:v>1</x:v>
      </x:c>
      <x:c r="J1103" t="str">
        <x:v>C</x:v>
      </x:c>
      <x:c r="K1103" s="14" t="n">
        <x:v>48.22</x:v>
      </x:c>
      <x:c r="L1103" s="14"/>
      <x:c r="M1103" s="14"/>
      <x:c r="N1103" s="14"/>
      <x:c r="O1103" s="14"/>
      <x:c r="P1103" s="14" t="n">
        <x:v>9.93</x:v>
      </x:c>
      <x:c r="Q1103" s="14" t="n">
        <x:v>58.15</x:v>
      </x:c>
      <x:c r="R1103" s="15"/>
      <x:c r="S1103" s="15"/>
      <x:c r="T1103" s="15"/>
      <x:c r="U1103" s="16"/>
      <x:c r="V1103" t="str">
        <x:v>Tatra Real</x:v>
      </x:c>
      <x:c r="W1103" t="str">
        <x:v>Ružinov</x:v>
      </x:c>
      <x:c r="X1103" s="11" t="str">
        <x:v>Predaný</x:v>
      </x:c>
      <x:c r="Y1103" s="11" t="str">
        <x:v>https://www.galvania.sk/byty/</x:v>
      </x:c>
      <x:c r="Z1103" s="11" t="n">
        <x:v>46249.4134212037</x:v>
      </x:c>
      <x:c r="AA1103" s="11" t="n">
        <x:v>46254.51251577547</x:v>
      </x:c>
      <x:c r="AB1103" s="11" t="n">
        <x:v>46254.51251577547</x:v>
      </x:c>
      <x:c r="AC1103" t="str">
        <x:v>galvania_rezidencie</x:v>
      </x:c>
    </x:row>
    <x:row r="1104" ht="22" customHeight="1">
      <x:c r="A1104" t="str">
        <x:v>Galvania Rezidencie</x:v>
      </x:c>
      <x:c r="B1104" t="str">
        <x:v>C1.03</x:v>
      </x:c>
      <x:c r="C1104" t="str">
        <x:v>sold</x:v>
      </x:c>
      <x:c r="D1104" t="str">
        <x:v>present</x:v>
      </x:c>
      <x:c r="E1104" t="str">
        <x:v>baseline</x:v>
      </x:c>
      <x:c r="F1104" s="11" t="n">
        <x:v>46249.4134212037</x:v>
      </x:c>
      <x:c r="G1104" t="str">
        <x:v>Byt</x:v>
      </x:c>
      <x:c r="H1104" s="12" t="n">
        <x:v>2</x:v>
      </x:c>
      <x:c r="I1104" s="13" t="n">
        <x:v>1</x:v>
      </x:c>
      <x:c r="J1104" t="str">
        <x:v>C</x:v>
      </x:c>
      <x:c r="K1104" s="14" t="n">
        <x:v>54.16</x:v>
      </x:c>
      <x:c r="L1104" s="14"/>
      <x:c r="M1104" s="14"/>
      <x:c r="N1104" s="14"/>
      <x:c r="O1104" s="14"/>
      <x:c r="P1104" s="14" t="n">
        <x:v>10.27</x:v>
      </x:c>
      <x:c r="Q1104" s="14" t="n">
        <x:v>64.43</x:v>
      </x:c>
      <x:c r="R1104" s="15"/>
      <x:c r="S1104" s="15"/>
      <x:c r="T1104" s="15"/>
      <x:c r="U1104" s="16"/>
      <x:c r="V1104" t="str">
        <x:v>Tatra Real</x:v>
      </x:c>
      <x:c r="W1104" t="str">
        <x:v>Ružinov</x:v>
      </x:c>
      <x:c r="X1104" s="11" t="str">
        <x:v>Predaný</x:v>
      </x:c>
      <x:c r="Y1104" s="11" t="str">
        <x:v>https://www.galvania.sk/byty/</x:v>
      </x:c>
      <x:c r="Z1104" s="11" t="n">
        <x:v>46249.4134212037</x:v>
      </x:c>
      <x:c r="AA1104" s="11" t="n">
        <x:v>46254.51251577547</x:v>
      </x:c>
      <x:c r="AB1104" s="11" t="n">
        <x:v>46254.51251577547</x:v>
      </x:c>
      <x:c r="AC1104" t="str">
        <x:v>galvania_rezidencie</x:v>
      </x:c>
    </x:row>
    <x:row r="1105" ht="22" customHeight="1">
      <x:c r="A1105" t="str">
        <x:v>Galvania Rezidencie</x:v>
      </x:c>
      <x:c r="B1105" t="str">
        <x:v>C1.04</x:v>
      </x:c>
      <x:c r="C1105" t="str">
        <x:v>sold</x:v>
      </x:c>
      <x:c r="D1105" t="str">
        <x:v>present</x:v>
      </x:c>
      <x:c r="E1105" t="str">
        <x:v>baseline</x:v>
      </x:c>
      <x:c r="F1105" s="11" t="n">
        <x:v>46249.4134212037</x:v>
      </x:c>
      <x:c r="G1105" t="str">
        <x:v>Byt</x:v>
      </x:c>
      <x:c r="H1105" s="12" t="n">
        <x:v>2</x:v>
      </x:c>
      <x:c r="I1105" s="13" t="n">
        <x:v>1</x:v>
      </x:c>
      <x:c r="J1105" t="str">
        <x:v>C</x:v>
      </x:c>
      <x:c r="K1105" s="14" t="n">
        <x:v>53.96</x:v>
      </x:c>
      <x:c r="L1105" s="14"/>
      <x:c r="M1105" s="14"/>
      <x:c r="N1105" s="14"/>
      <x:c r="O1105" s="14"/>
      <x:c r="P1105" s="14" t="n">
        <x:v>46.62</x:v>
      </x:c>
      <x:c r="Q1105" s="14" t="n">
        <x:v>100.58</x:v>
      </x:c>
      <x:c r="R1105" s="15"/>
      <x:c r="S1105" s="15"/>
      <x:c r="T1105" s="15"/>
      <x:c r="U1105" s="16"/>
      <x:c r="V1105" t="str">
        <x:v>Tatra Real</x:v>
      </x:c>
      <x:c r="W1105" t="str">
        <x:v>Ružinov</x:v>
      </x:c>
      <x:c r="X1105" s="11" t="str">
        <x:v>Predaný</x:v>
      </x:c>
      <x:c r="Y1105" s="11" t="str">
        <x:v>https://www.galvania.sk/byty/</x:v>
      </x:c>
      <x:c r="Z1105" s="11" t="n">
        <x:v>46249.4134212037</x:v>
      </x:c>
      <x:c r="AA1105" s="11" t="n">
        <x:v>46254.51251577547</x:v>
      </x:c>
      <x:c r="AB1105" s="11" t="n">
        <x:v>46254.51251577547</x:v>
      </x:c>
      <x:c r="AC1105" t="str">
        <x:v>galvania_rezidencie</x:v>
      </x:c>
    </x:row>
    <x:row r="1106" ht="22" customHeight="1">
      <x:c r="A1106" t="str">
        <x:v>Galvania Rezidencie</x:v>
      </x:c>
      <x:c r="B1106" t="str">
        <x:v>C1.05</x:v>
      </x:c>
      <x:c r="C1106" t="str">
        <x:v>sold</x:v>
      </x:c>
      <x:c r="D1106" t="str">
        <x:v>present</x:v>
      </x:c>
      <x:c r="E1106" t="str">
        <x:v>baseline</x:v>
      </x:c>
      <x:c r="F1106" s="11" t="n">
        <x:v>46249.4134212037</x:v>
      </x:c>
      <x:c r="G1106" t="str">
        <x:v>Byt</x:v>
      </x:c>
      <x:c r="H1106" s="12" t="n">
        <x:v>2</x:v>
      </x:c>
      <x:c r="I1106" s="13" t="n">
        <x:v>1</x:v>
      </x:c>
      <x:c r="J1106" t="str">
        <x:v>C</x:v>
      </x:c>
      <x:c r="K1106" s="14" t="n">
        <x:v>48.05</x:v>
      </x:c>
      <x:c r="L1106" s="14"/>
      <x:c r="M1106" s="14"/>
      <x:c r="N1106" s="14"/>
      <x:c r="O1106" s="14"/>
      <x:c r="P1106" s="14" t="n">
        <x:v>43.49</x:v>
      </x:c>
      <x:c r="Q1106" s="14" t="n">
        <x:v>91.54</x:v>
      </x:c>
      <x:c r="R1106" s="15"/>
      <x:c r="S1106" s="15"/>
      <x:c r="T1106" s="15"/>
      <x:c r="U1106" s="16"/>
      <x:c r="V1106" t="str">
        <x:v>Tatra Real</x:v>
      </x:c>
      <x:c r="W1106" t="str">
        <x:v>Ružinov</x:v>
      </x:c>
      <x:c r="X1106" s="11" t="str">
        <x:v>Predaný</x:v>
      </x:c>
      <x:c r="Y1106" s="11" t="str">
        <x:v>https://www.galvania.sk/byty/</x:v>
      </x:c>
      <x:c r="Z1106" s="11" t="n">
        <x:v>46249.4134212037</x:v>
      </x:c>
      <x:c r="AA1106" s="11" t="n">
        <x:v>46254.51251577547</x:v>
      </x:c>
      <x:c r="AB1106" s="11" t="n">
        <x:v>46254.51251577547</x:v>
      </x:c>
      <x:c r="AC1106" t="str">
        <x:v>galvania_rezidencie</x:v>
      </x:c>
    </x:row>
    <x:row r="1107" ht="22" customHeight="1">
      <x:c r="A1107" t="str">
        <x:v>Galvania Rezidencie</x:v>
      </x:c>
      <x:c r="B1107" t="str">
        <x:v>C1.06</x:v>
      </x:c>
      <x:c r="C1107" t="str">
        <x:v>sold</x:v>
      </x:c>
      <x:c r="D1107" t="str">
        <x:v>present</x:v>
      </x:c>
      <x:c r="E1107" t="str">
        <x:v>baseline</x:v>
      </x:c>
      <x:c r="F1107" s="11" t="n">
        <x:v>46249.4134212037</x:v>
      </x:c>
      <x:c r="G1107" t="str">
        <x:v>Byt</x:v>
      </x:c>
      <x:c r="H1107" s="12" t="n">
        <x:v>2</x:v>
      </x:c>
      <x:c r="I1107" s="13" t="n">
        <x:v>1</x:v>
      </x:c>
      <x:c r="J1107" t="str">
        <x:v>C</x:v>
      </x:c>
      <x:c r="K1107" s="14" t="n">
        <x:v>48.05</x:v>
      </x:c>
      <x:c r="L1107" s="14"/>
      <x:c r="M1107" s="14"/>
      <x:c r="N1107" s="14"/>
      <x:c r="O1107" s="14"/>
      <x:c r="P1107" s="14" t="n">
        <x:v>43.72</x:v>
      </x:c>
      <x:c r="Q1107" s="14" t="n">
        <x:v>91.77</x:v>
      </x:c>
      <x:c r="R1107" s="15"/>
      <x:c r="S1107" s="15"/>
      <x:c r="T1107" s="15"/>
      <x:c r="U1107" s="16"/>
      <x:c r="V1107" t="str">
        <x:v>Tatra Real</x:v>
      </x:c>
      <x:c r="W1107" t="str">
        <x:v>Ružinov</x:v>
      </x:c>
      <x:c r="X1107" s="11" t="str">
        <x:v>Predaný</x:v>
      </x:c>
      <x:c r="Y1107" s="11" t="str">
        <x:v>https://www.galvania.sk/byty/</x:v>
      </x:c>
      <x:c r="Z1107" s="11" t="n">
        <x:v>46249.4134212037</x:v>
      </x:c>
      <x:c r="AA1107" s="11" t="n">
        <x:v>46254.51251577547</x:v>
      </x:c>
      <x:c r="AB1107" s="11" t="n">
        <x:v>46254.51251577547</x:v>
      </x:c>
      <x:c r="AC1107" t="str">
        <x:v>galvania_rezidencie</x:v>
      </x:c>
    </x:row>
    <x:row r="1108" ht="22" customHeight="1">
      <x:c r="A1108" t="str">
        <x:v>Galvania Rezidencie</x:v>
      </x:c>
      <x:c r="B1108" t="str">
        <x:v>C1.07</x:v>
      </x:c>
      <x:c r="C1108" t="str">
        <x:v>pre_reserved</x:v>
      </x:c>
      <x:c r="D1108" t="str">
        <x:v>present</x:v>
      </x:c>
      <x:c r="E1108" t="str">
        <x:v>baseline</x:v>
      </x:c>
      <x:c r="F1108" s="11" t="n">
        <x:v>46249.4134212037</x:v>
      </x:c>
      <x:c r="G1108" t="str">
        <x:v>Byt</x:v>
      </x:c>
      <x:c r="H1108" s="12" t="n">
        <x:v>1</x:v>
      </x:c>
      <x:c r="I1108" s="13" t="n">
        <x:v>1</x:v>
      </x:c>
      <x:c r="J1108" t="str">
        <x:v>C</x:v>
      </x:c>
      <x:c r="K1108" s="14" t="n">
        <x:v>35.69</x:v>
      </x:c>
      <x:c r="L1108" s="14"/>
      <x:c r="M1108" s="14"/>
      <x:c r="N1108" s="14"/>
      <x:c r="O1108" s="14"/>
      <x:c r="P1108" s="14" t="n">
        <x:v>19.96</x:v>
      </x:c>
      <x:c r="Q1108" s="14" t="n">
        <x:v>55.65</x:v>
      </x:c>
      <x:c r="R1108" s="15"/>
      <x:c r="S1108" s="15"/>
      <x:c r="T1108" s="15"/>
      <x:c r="U1108" s="16"/>
      <x:c r="V1108" t="str">
        <x:v>Tatra Real</x:v>
      </x:c>
      <x:c r="W1108" t="str">
        <x:v>Ružinov</x:v>
      </x:c>
      <x:c r="X1108" s="11" t="str">
        <x:v>Predrezervovaný</x:v>
      </x:c>
      <x:c r="Y1108" s="11" t="str">
        <x:v>https://www.galvania.sk/byty/mam-zaujem-o-byt-C1.07/</x:v>
      </x:c>
      <x:c r="Z1108" s="11" t="n">
        <x:v>46249.4134212037</x:v>
      </x:c>
      <x:c r="AA1108" s="11" t="n">
        <x:v>46254.51251577547</x:v>
      </x:c>
      <x:c r="AB1108" s="11" t="n">
        <x:v>46254.51251577547</x:v>
      </x:c>
      <x:c r="AC1108" t="str">
        <x:v>galvania_rezidencie</x:v>
      </x:c>
    </x:row>
    <x:row r="1109" ht="22" customHeight="1">
      <x:c r="A1109" t="str">
        <x:v>Galvania Rezidencie</x:v>
      </x:c>
      <x:c r="B1109" t="str">
        <x:v>C1.08</x:v>
      </x:c>
      <x:c r="C1109" t="str">
        <x:v>pre_reserved</x:v>
      </x:c>
      <x:c r="D1109" t="str">
        <x:v>present</x:v>
      </x:c>
      <x:c r="E1109" t="str">
        <x:v>baseline</x:v>
      </x:c>
      <x:c r="F1109" s="11" t="n">
        <x:v>46249.4134212037</x:v>
      </x:c>
      <x:c r="G1109" t="str">
        <x:v>Byt</x:v>
      </x:c>
      <x:c r="H1109" s="12" t="n">
        <x:v>2</x:v>
      </x:c>
      <x:c r="I1109" s="13" t="n">
        <x:v>1</x:v>
      </x:c>
      <x:c r="J1109" t="str">
        <x:v>C</x:v>
      </x:c>
      <x:c r="K1109" s="14" t="n">
        <x:v>48.05</x:v>
      </x:c>
      <x:c r="L1109" s="14"/>
      <x:c r="M1109" s="14"/>
      <x:c r="N1109" s="14"/>
      <x:c r="O1109" s="14"/>
      <x:c r="P1109" s="14" t="n">
        <x:v>35.95</x:v>
      </x:c>
      <x:c r="Q1109" s="14" t="n">
        <x:v>84</x:v>
      </x:c>
      <x:c r="R1109" s="15"/>
      <x:c r="S1109" s="15"/>
      <x:c r="T1109" s="15"/>
      <x:c r="U1109" s="16"/>
      <x:c r="V1109" t="str">
        <x:v>Tatra Real</x:v>
      </x:c>
      <x:c r="W1109" t="str">
        <x:v>Ružinov</x:v>
      </x:c>
      <x:c r="X1109" s="11" t="str">
        <x:v>Predrezervovaný</x:v>
      </x:c>
      <x:c r="Y1109" s="11" t="str">
        <x:v>https://www.galvania.sk/byty/mam-zaujem-o-byt-C1.08/</x:v>
      </x:c>
      <x:c r="Z1109" s="11" t="n">
        <x:v>46249.4134212037</x:v>
      </x:c>
      <x:c r="AA1109" s="11" t="n">
        <x:v>46254.51251577547</x:v>
      </x:c>
      <x:c r="AB1109" s="11" t="n">
        <x:v>46254.51251577547</x:v>
      </x:c>
      <x:c r="AC1109" t="str">
        <x:v>galvania_rezidencie</x:v>
      </x:c>
    </x:row>
    <x:row r="1110" ht="22" customHeight="1">
      <x:c r="A1110" t="str">
        <x:v>Galvania Rezidencie</x:v>
      </x:c>
      <x:c r="B1110" t="str">
        <x:v>C1.09</x:v>
      </x:c>
      <x:c r="C1110" t="str">
        <x:v>sold</x:v>
      </x:c>
      <x:c r="D1110" t="str">
        <x:v>present</x:v>
      </x:c>
      <x:c r="E1110" t="str">
        <x:v>baseline</x:v>
      </x:c>
      <x:c r="F1110" s="11" t="n">
        <x:v>46249.4134212037</x:v>
      </x:c>
      <x:c r="G1110" t="str">
        <x:v>Byt</x:v>
      </x:c>
      <x:c r="H1110" s="12" t="n">
        <x:v>2</x:v>
      </x:c>
      <x:c r="I1110" s="13" t="n">
        <x:v>1</x:v>
      </x:c>
      <x:c r="J1110" t="str">
        <x:v>C</x:v>
      </x:c>
      <x:c r="K1110" s="14" t="n">
        <x:v>48.39</x:v>
      </x:c>
      <x:c r="L1110" s="14"/>
      <x:c r="M1110" s="14"/>
      <x:c r="N1110" s="14"/>
      <x:c r="O1110" s="14"/>
      <x:c r="P1110" s="14" t="n">
        <x:v>36.54</x:v>
      </x:c>
      <x:c r="Q1110" s="14" t="n">
        <x:v>84.93</x:v>
      </x:c>
      <x:c r="R1110" s="15"/>
      <x:c r="S1110" s="15"/>
      <x:c r="T1110" s="15"/>
      <x:c r="U1110" s="16"/>
      <x:c r="V1110" t="str">
        <x:v>Tatra Real</x:v>
      </x:c>
      <x:c r="W1110" t="str">
        <x:v>Ružinov</x:v>
      </x:c>
      <x:c r="X1110" s="11" t="str">
        <x:v>Predaný</x:v>
      </x:c>
      <x:c r="Y1110" s="11" t="str">
        <x:v>https://www.galvania.sk/byty/</x:v>
      </x:c>
      <x:c r="Z1110" s="11" t="n">
        <x:v>46249.4134212037</x:v>
      </x:c>
      <x:c r="AA1110" s="11" t="n">
        <x:v>46254.51251577547</x:v>
      </x:c>
      <x:c r="AB1110" s="11" t="n">
        <x:v>46254.51251577547</x:v>
      </x:c>
      <x:c r="AC1110" t="str">
        <x:v>galvania_rezidencie</x:v>
      </x:c>
    </x:row>
    <x:row r="1111" ht="22" customHeight="1">
      <x:c r="A1111" t="str">
        <x:v>Galvania Rezidencie</x:v>
      </x:c>
      <x:c r="B1111" t="str">
        <x:v>C1.10</x:v>
      </x:c>
      <x:c r="C1111" t="str">
        <x:v>sold</x:v>
      </x:c>
      <x:c r="D1111" t="str">
        <x:v>present</x:v>
      </x:c>
      <x:c r="E1111" t="str">
        <x:v>baseline</x:v>
      </x:c>
      <x:c r="F1111" s="11" t="n">
        <x:v>46249.4134212037</x:v>
      </x:c>
      <x:c r="G1111" t="str">
        <x:v>Byt</x:v>
      </x:c>
      <x:c r="H1111" s="12" t="n">
        <x:v>2</x:v>
      </x:c>
      <x:c r="I1111" s="13" t="n">
        <x:v>1</x:v>
      </x:c>
      <x:c r="J1111" t="str">
        <x:v>C</x:v>
      </x:c>
      <x:c r="K1111" s="14" t="n">
        <x:v>48.12</x:v>
      </x:c>
      <x:c r="L1111" s="14"/>
      <x:c r="M1111" s="14"/>
      <x:c r="N1111" s="14"/>
      <x:c r="O1111" s="14"/>
      <x:c r="P1111" s="14" t="n">
        <x:v>10.48</x:v>
      </x:c>
      <x:c r="Q1111" s="14" t="n">
        <x:v>58.6</x:v>
      </x:c>
      <x:c r="R1111" s="15"/>
      <x:c r="S1111" s="15"/>
      <x:c r="T1111" s="15"/>
      <x:c r="U1111" s="16"/>
      <x:c r="V1111" t="str">
        <x:v>Tatra Real</x:v>
      </x:c>
      <x:c r="W1111" t="str">
        <x:v>Ružinov</x:v>
      </x:c>
      <x:c r="X1111" s="11" t="str">
        <x:v>Predaný</x:v>
      </x:c>
      <x:c r="Y1111" s="11" t="str">
        <x:v>https://www.galvania.sk/byty/</x:v>
      </x:c>
      <x:c r="Z1111" s="11" t="n">
        <x:v>46249.4134212037</x:v>
      </x:c>
      <x:c r="AA1111" s="11" t="n">
        <x:v>46254.51251577547</x:v>
      </x:c>
      <x:c r="AB1111" s="11" t="n">
        <x:v>46254.51251577547</x:v>
      </x:c>
      <x:c r="AC1111" t="str">
        <x:v>galvania_rezidencie</x:v>
      </x:c>
    </x:row>
    <x:row r="1112" ht="22" customHeight="1">
      <x:c r="A1112" t="str">
        <x:v>Galvania Rezidencie</x:v>
      </x:c>
      <x:c r="B1112" t="str">
        <x:v>C1.11</x:v>
      </x:c>
      <x:c r="C1112" t="str">
        <x:v>sold</x:v>
      </x:c>
      <x:c r="D1112" t="str">
        <x:v>present</x:v>
      </x:c>
      <x:c r="E1112" t="str">
        <x:v>baseline</x:v>
      </x:c>
      <x:c r="F1112" s="11" t="n">
        <x:v>46249.4134212037</x:v>
      </x:c>
      <x:c r="G1112" t="str">
        <x:v>Byt</x:v>
      </x:c>
      <x:c r="H1112" s="12" t="n">
        <x:v>2</x:v>
      </x:c>
      <x:c r="I1112" s="13" t="n">
        <x:v>1</x:v>
      </x:c>
      <x:c r="J1112" t="str">
        <x:v>C</x:v>
      </x:c>
      <x:c r="K1112" s="14" t="n">
        <x:v>48.22</x:v>
      </x:c>
      <x:c r="L1112" s="14"/>
      <x:c r="M1112" s="14"/>
      <x:c r="N1112" s="14"/>
      <x:c r="O1112" s="14"/>
      <x:c r="P1112" s="14" t="n">
        <x:v>10.23</x:v>
      </x:c>
      <x:c r="Q1112" s="14" t="n">
        <x:v>58.45</x:v>
      </x:c>
      <x:c r="R1112" s="15"/>
      <x:c r="S1112" s="15"/>
      <x:c r="T1112" s="15"/>
      <x:c r="U1112" s="16"/>
      <x:c r="V1112" t="str">
        <x:v>Tatra Real</x:v>
      </x:c>
      <x:c r="W1112" t="str">
        <x:v>Ružinov</x:v>
      </x:c>
      <x:c r="X1112" s="11" t="str">
        <x:v>Predaný</x:v>
      </x:c>
      <x:c r="Y1112" s="11" t="str">
        <x:v>https://www.galvania.sk/byty/</x:v>
      </x:c>
      <x:c r="Z1112" s="11" t="n">
        <x:v>46249.4134212037</x:v>
      </x:c>
      <x:c r="AA1112" s="11" t="n">
        <x:v>46254.51251577547</x:v>
      </x:c>
      <x:c r="AB1112" s="11" t="n">
        <x:v>46254.51251577547</x:v>
      </x:c>
      <x:c r="AC1112" t="str">
        <x:v>galvania_rezidencie</x:v>
      </x:c>
    </x:row>
    <x:row r="1113" ht="22" customHeight="1">
      <x:c r="A1113" t="str">
        <x:v>Galvania Rezidencie</x:v>
      </x:c>
      <x:c r="B1113" t="str">
        <x:v>C2.01</x:v>
      </x:c>
      <x:c r="C1113" t="str">
        <x:v>sold</x:v>
      </x:c>
      <x:c r="D1113" t="str">
        <x:v>present</x:v>
      </x:c>
      <x:c r="E1113" t="str">
        <x:v>baseline</x:v>
      </x:c>
      <x:c r="F1113" s="11" t="n">
        <x:v>46249.4134212037</x:v>
      </x:c>
      <x:c r="G1113" t="str">
        <x:v>Byt</x:v>
      </x:c>
      <x:c r="H1113" s="12" t="n">
        <x:v>2</x:v>
      </x:c>
      <x:c r="I1113" s="13" t="n">
        <x:v>2</x:v>
      </x:c>
      <x:c r="J1113" t="str">
        <x:v>C</x:v>
      </x:c>
      <x:c r="K1113" s="14" t="n">
        <x:v>48.4</x:v>
      </x:c>
      <x:c r="L1113" s="14"/>
      <x:c r="M1113" s="14"/>
      <x:c r="N1113" s="14"/>
      <x:c r="O1113" s="14"/>
      <x:c r="P1113" s="14" t="n">
        <x:v>10.18</x:v>
      </x:c>
      <x:c r="Q1113" s="14" t="n">
        <x:v>58.58</x:v>
      </x:c>
      <x:c r="R1113" s="15"/>
      <x:c r="S1113" s="15"/>
      <x:c r="T1113" s="15"/>
      <x:c r="U1113" s="16"/>
      <x:c r="V1113" t="str">
        <x:v>Tatra Real</x:v>
      </x:c>
      <x:c r="W1113" t="str">
        <x:v>Ružinov</x:v>
      </x:c>
      <x:c r="X1113" s="11" t="str">
        <x:v>Predaný</x:v>
      </x:c>
      <x:c r="Y1113" s="11" t="str">
        <x:v>https://www.galvania.sk/byty/</x:v>
      </x:c>
      <x:c r="Z1113" s="11" t="n">
        <x:v>46249.4134212037</x:v>
      </x:c>
      <x:c r="AA1113" s="11" t="n">
        <x:v>46254.51251577547</x:v>
      </x:c>
      <x:c r="AB1113" s="11" t="n">
        <x:v>46254.51251577547</x:v>
      </x:c>
      <x:c r="AC1113" t="str">
        <x:v>galvania_rezidencie</x:v>
      </x:c>
    </x:row>
    <x:row r="1114" ht="22" customHeight="1">
      <x:c r="A1114" t="str">
        <x:v>Galvania Rezidencie</x:v>
      </x:c>
      <x:c r="B1114" t="str">
        <x:v>C2.02</x:v>
      </x:c>
      <x:c r="C1114" t="str">
        <x:v>sold</x:v>
      </x:c>
      <x:c r="D1114" t="str">
        <x:v>present</x:v>
      </x:c>
      <x:c r="E1114" t="str">
        <x:v>baseline</x:v>
      </x:c>
      <x:c r="F1114" s="11" t="n">
        <x:v>46249.4134212037</x:v>
      </x:c>
      <x:c r="G1114" t="str">
        <x:v>Byt</x:v>
      </x:c>
      <x:c r="H1114" s="12" t="n">
        <x:v>2</x:v>
      </x:c>
      <x:c r="I1114" s="13" t="n">
        <x:v>2</x:v>
      </x:c>
      <x:c r="J1114" t="str">
        <x:v>C</x:v>
      </x:c>
      <x:c r="K1114" s="14" t="n">
        <x:v>48.4</x:v>
      </x:c>
      <x:c r="L1114" s="14"/>
      <x:c r="M1114" s="14"/>
      <x:c r="N1114" s="14"/>
      <x:c r="O1114" s="14"/>
      <x:c r="P1114" s="14" t="n">
        <x:v>10.74</x:v>
      </x:c>
      <x:c r="Q1114" s="14" t="n">
        <x:v>59.14</x:v>
      </x:c>
      <x:c r="R1114" s="15"/>
      <x:c r="S1114" s="15"/>
      <x:c r="T1114" s="15"/>
      <x:c r="U1114" s="16"/>
      <x:c r="V1114" t="str">
        <x:v>Tatra Real</x:v>
      </x:c>
      <x:c r="W1114" t="str">
        <x:v>Ružinov</x:v>
      </x:c>
      <x:c r="X1114" s="11" t="str">
        <x:v>Predaný</x:v>
      </x:c>
      <x:c r="Y1114" s="11" t="str">
        <x:v>https://www.galvania.sk/byty/</x:v>
      </x:c>
      <x:c r="Z1114" s="11" t="n">
        <x:v>46249.4134212037</x:v>
      </x:c>
      <x:c r="AA1114" s="11" t="n">
        <x:v>46254.51251577547</x:v>
      </x:c>
      <x:c r="AB1114" s="11" t="n">
        <x:v>46254.51251577547</x:v>
      </x:c>
      <x:c r="AC1114" t="str">
        <x:v>galvania_rezidencie</x:v>
      </x:c>
    </x:row>
    <x:row r="1115" ht="22" customHeight="1">
      <x:c r="A1115" t="str">
        <x:v>Galvania Rezidencie</x:v>
      </x:c>
      <x:c r="B1115" t="str">
        <x:v>C2.03</x:v>
      </x:c>
      <x:c r="C1115" t="str">
        <x:v>sold</x:v>
      </x:c>
      <x:c r="D1115" t="str">
        <x:v>present</x:v>
      </x:c>
      <x:c r="E1115" t="str">
        <x:v>baseline</x:v>
      </x:c>
      <x:c r="F1115" s="11" t="n">
        <x:v>46249.4134212037</x:v>
      </x:c>
      <x:c r="G1115" t="str">
        <x:v>Byt</x:v>
      </x:c>
      <x:c r="H1115" s="12" t="n">
        <x:v>2</x:v>
      </x:c>
      <x:c r="I1115" s="13" t="n">
        <x:v>2</x:v>
      </x:c>
      <x:c r="J1115" t="str">
        <x:v>C</x:v>
      </x:c>
      <x:c r="K1115" s="14" t="n">
        <x:v>54.24</x:v>
      </x:c>
      <x:c r="L1115" s="14"/>
      <x:c r="M1115" s="14"/>
      <x:c r="N1115" s="14"/>
      <x:c r="O1115" s="14"/>
      <x:c r="P1115" s="14" t="n">
        <x:v>11.72</x:v>
      </x:c>
      <x:c r="Q1115" s="14" t="n">
        <x:v>65.96</x:v>
      </x:c>
      <x:c r="R1115" s="15"/>
      <x:c r="S1115" s="15"/>
      <x:c r="T1115" s="15"/>
      <x:c r="U1115" s="16"/>
      <x:c r="V1115" t="str">
        <x:v>Tatra Real</x:v>
      </x:c>
      <x:c r="W1115" t="str">
        <x:v>Ružinov</x:v>
      </x:c>
      <x:c r="X1115" s="11" t="str">
        <x:v>Predaný</x:v>
      </x:c>
      <x:c r="Y1115" s="11" t="str">
        <x:v>https://www.galvania.sk/byty/</x:v>
      </x:c>
      <x:c r="Z1115" s="11" t="n">
        <x:v>46249.4134212037</x:v>
      </x:c>
      <x:c r="AA1115" s="11" t="n">
        <x:v>46254.51251577547</x:v>
      </x:c>
      <x:c r="AB1115" s="11" t="n">
        <x:v>46254.51251577547</x:v>
      </x:c>
      <x:c r="AC1115" t="str">
        <x:v>galvania_rezidencie</x:v>
      </x:c>
    </x:row>
    <x:row r="1116" ht="22" customHeight="1">
      <x:c r="A1116" t="str">
        <x:v>Galvania Rezidencie</x:v>
      </x:c>
      <x:c r="B1116" t="str">
        <x:v>C2.04</x:v>
      </x:c>
      <x:c r="C1116" t="str">
        <x:v>sold</x:v>
      </x:c>
      <x:c r="D1116" t="str">
        <x:v>present</x:v>
      </x:c>
      <x:c r="E1116" t="str">
        <x:v>baseline</x:v>
      </x:c>
      <x:c r="F1116" s="11" t="n">
        <x:v>46249.4134212037</x:v>
      </x:c>
      <x:c r="G1116" t="str">
        <x:v>Byt</x:v>
      </x:c>
      <x:c r="H1116" s="12" t="n">
        <x:v>2</x:v>
      </x:c>
      <x:c r="I1116" s="13" t="n">
        <x:v>2</x:v>
      </x:c>
      <x:c r="J1116" t="str">
        <x:v>C</x:v>
      </x:c>
      <x:c r="K1116" s="14" t="n">
        <x:v>54.25</x:v>
      </x:c>
      <x:c r="L1116" s="14"/>
      <x:c r="M1116" s="14"/>
      <x:c r="N1116" s="14"/>
      <x:c r="O1116" s="14"/>
      <x:c r="P1116" s="14" t="n">
        <x:v>8.72</x:v>
      </x:c>
      <x:c r="Q1116" s="14" t="n">
        <x:v>62.97</x:v>
      </x:c>
      <x:c r="R1116" s="15"/>
      <x:c r="S1116" s="15"/>
      <x:c r="T1116" s="15"/>
      <x:c r="U1116" s="16"/>
      <x:c r="V1116" t="str">
        <x:v>Tatra Real</x:v>
      </x:c>
      <x:c r="W1116" t="str">
        <x:v>Ružinov</x:v>
      </x:c>
      <x:c r="X1116" s="11" t="str">
        <x:v>Predaný</x:v>
      </x:c>
      <x:c r="Y1116" s="11" t="str">
        <x:v>https://www.galvania.sk/byty/</x:v>
      </x:c>
      <x:c r="Z1116" s="11" t="n">
        <x:v>46249.4134212037</x:v>
      </x:c>
      <x:c r="AA1116" s="11" t="n">
        <x:v>46254.51251577547</x:v>
      </x:c>
      <x:c r="AB1116" s="11" t="n">
        <x:v>46254.51251577547</x:v>
      </x:c>
      <x:c r="AC1116" t="str">
        <x:v>galvania_rezidencie</x:v>
      </x:c>
    </x:row>
    <x:row r="1117" ht="22" customHeight="1">
      <x:c r="A1117" t="str">
        <x:v>Galvania Rezidencie</x:v>
      </x:c>
      <x:c r="B1117" t="str">
        <x:v>C2.05</x:v>
      </x:c>
      <x:c r="C1117" t="str">
        <x:v>sold</x:v>
      </x:c>
      <x:c r="D1117" t="str">
        <x:v>present</x:v>
      </x:c>
      <x:c r="E1117" t="str">
        <x:v>baseline</x:v>
      </x:c>
      <x:c r="F1117" s="11" t="n">
        <x:v>46249.4134212037</x:v>
      </x:c>
      <x:c r="G1117" t="str">
        <x:v>Byt</x:v>
      </x:c>
      <x:c r="H1117" s="12" t="n">
        <x:v>2</x:v>
      </x:c>
      <x:c r="I1117" s="13" t="n">
        <x:v>2</x:v>
      </x:c>
      <x:c r="J1117" t="str">
        <x:v>C</x:v>
      </x:c>
      <x:c r="K1117" s="14" t="n">
        <x:v>48.51</x:v>
      </x:c>
      <x:c r="L1117" s="14"/>
      <x:c r="M1117" s="14"/>
      <x:c r="N1117" s="14"/>
      <x:c r="O1117" s="14"/>
      <x:c r="P1117" s="14" t="n">
        <x:v>10.64</x:v>
      </x:c>
      <x:c r="Q1117" s="14" t="n">
        <x:v>59.15</x:v>
      </x:c>
      <x:c r="R1117" s="15"/>
      <x:c r="S1117" s="15"/>
      <x:c r="T1117" s="15"/>
      <x:c r="U1117" s="16"/>
      <x:c r="V1117" t="str">
        <x:v>Tatra Real</x:v>
      </x:c>
      <x:c r="W1117" t="str">
        <x:v>Ružinov</x:v>
      </x:c>
      <x:c r="X1117" s="11" t="str">
        <x:v>Predaný</x:v>
      </x:c>
      <x:c r="Y1117" s="11" t="str">
        <x:v>https://www.galvania.sk/byty/</x:v>
      </x:c>
      <x:c r="Z1117" s="11" t="n">
        <x:v>46249.4134212037</x:v>
      </x:c>
      <x:c r="AA1117" s="11" t="n">
        <x:v>46254.51251577547</x:v>
      </x:c>
      <x:c r="AB1117" s="11" t="n">
        <x:v>46254.51251577547</x:v>
      </x:c>
      <x:c r="AC1117" t="str">
        <x:v>galvania_rezidencie</x:v>
      </x:c>
    </x:row>
    <x:row r="1118" ht="22" customHeight="1">
      <x:c r="A1118" t="str">
        <x:v>Galvania Rezidencie</x:v>
      </x:c>
      <x:c r="B1118" t="str">
        <x:v>C2.06</x:v>
      </x:c>
      <x:c r="C1118" t="str">
        <x:v>sold</x:v>
      </x:c>
      <x:c r="D1118" t="str">
        <x:v>present</x:v>
      </x:c>
      <x:c r="E1118" t="str">
        <x:v>baseline</x:v>
      </x:c>
      <x:c r="F1118" s="11" t="n">
        <x:v>46249.4134212037</x:v>
      </x:c>
      <x:c r="G1118" t="str">
        <x:v>Byt</x:v>
      </x:c>
      <x:c r="H1118" s="12" t="n">
        <x:v>2</x:v>
      </x:c>
      <x:c r="I1118" s="13" t="n">
        <x:v>2</x:v>
      </x:c>
      <x:c r="J1118" t="str">
        <x:v>C</x:v>
      </x:c>
      <x:c r="K1118" s="14" t="n">
        <x:v>48.51</x:v>
      </x:c>
      <x:c r="L1118" s="14"/>
      <x:c r="M1118" s="14"/>
      <x:c r="N1118" s="14"/>
      <x:c r="O1118" s="14"/>
      <x:c r="P1118" s="14" t="n">
        <x:v>10.87</x:v>
      </x:c>
      <x:c r="Q1118" s="14" t="n">
        <x:v>59.38</x:v>
      </x:c>
      <x:c r="R1118" s="15"/>
      <x:c r="S1118" s="15"/>
      <x:c r="T1118" s="15"/>
      <x:c r="U1118" s="16"/>
      <x:c r="V1118" t="str">
        <x:v>Tatra Real</x:v>
      </x:c>
      <x:c r="W1118" t="str">
        <x:v>Ružinov</x:v>
      </x:c>
      <x:c r="X1118" s="11" t="str">
        <x:v>Predaný</x:v>
      </x:c>
      <x:c r="Y1118" s="11" t="str">
        <x:v>https://www.galvania.sk/byty/</x:v>
      </x:c>
      <x:c r="Z1118" s="11" t="n">
        <x:v>46249.4134212037</x:v>
      </x:c>
      <x:c r="AA1118" s="11" t="n">
        <x:v>46254.51251577547</x:v>
      </x:c>
      <x:c r="AB1118" s="11" t="n">
        <x:v>46254.51251577547</x:v>
      </x:c>
      <x:c r="AC1118" t="str">
        <x:v>galvania_rezidencie</x:v>
      </x:c>
    </x:row>
    <x:row r="1119" ht="22" customHeight="1">
      <x:c r="A1119" t="str">
        <x:v>Galvania Rezidencie</x:v>
      </x:c>
      <x:c r="B1119" t="str">
        <x:v>C2.07</x:v>
      </x:c>
      <x:c r="C1119" t="str">
        <x:v>sold</x:v>
      </x:c>
      <x:c r="D1119" t="str">
        <x:v>present</x:v>
      </x:c>
      <x:c r="E1119" t="str">
        <x:v>baseline</x:v>
      </x:c>
      <x:c r="F1119" s="11" t="n">
        <x:v>46249.4134212037</x:v>
      </x:c>
      <x:c r="G1119" t="str">
        <x:v>Byt</x:v>
      </x:c>
      <x:c r="H1119" s="12" t="n">
        <x:v>2</x:v>
      </x:c>
      <x:c r="I1119" s="13" t="n">
        <x:v>2</x:v>
      </x:c>
      <x:c r="J1119" t="str">
        <x:v>C</x:v>
      </x:c>
      <x:c r="K1119" s="14" t="n">
        <x:v>48.51</x:v>
      </x:c>
      <x:c r="L1119" s="14"/>
      <x:c r="M1119" s="14"/>
      <x:c r="N1119" s="14"/>
      <x:c r="O1119" s="14"/>
      <x:c r="P1119" s="14" t="n">
        <x:v>10.87</x:v>
      </x:c>
      <x:c r="Q1119" s="14" t="n">
        <x:v>59.38</x:v>
      </x:c>
      <x:c r="R1119" s="15"/>
      <x:c r="S1119" s="15"/>
      <x:c r="T1119" s="15"/>
      <x:c r="U1119" s="16"/>
      <x:c r="V1119" t="str">
        <x:v>Tatra Real</x:v>
      </x:c>
      <x:c r="W1119" t="str">
        <x:v>Ružinov</x:v>
      </x:c>
      <x:c r="X1119" s="11" t="str">
        <x:v>Predaný</x:v>
      </x:c>
      <x:c r="Y1119" s="11" t="str">
        <x:v>https://www.galvania.sk/byty/</x:v>
      </x:c>
      <x:c r="Z1119" s="11" t="n">
        <x:v>46249.4134212037</x:v>
      </x:c>
      <x:c r="AA1119" s="11" t="n">
        <x:v>46254.51251577547</x:v>
      </x:c>
      <x:c r="AB1119" s="11" t="n">
        <x:v>46254.51251577547</x:v>
      </x:c>
      <x:c r="AC1119" t="str">
        <x:v>galvania_rezidencie</x:v>
      </x:c>
    </x:row>
    <x:row r="1120" ht="22" customHeight="1">
      <x:c r="A1120" t="str">
        <x:v>Galvania Rezidencie</x:v>
      </x:c>
      <x:c r="B1120" t="str">
        <x:v>C2.08</x:v>
      </x:c>
      <x:c r="C1120" t="str">
        <x:v>sold</x:v>
      </x:c>
      <x:c r="D1120" t="str">
        <x:v>present</x:v>
      </x:c>
      <x:c r="E1120" t="str">
        <x:v>baseline</x:v>
      </x:c>
      <x:c r="F1120" s="11" t="n">
        <x:v>46249.4134212037</x:v>
      </x:c>
      <x:c r="G1120" t="str">
        <x:v>Byt</x:v>
      </x:c>
      <x:c r="H1120" s="12" t="n">
        <x:v>2</x:v>
      </x:c>
      <x:c r="I1120" s="13" t="n">
        <x:v>2</x:v>
      </x:c>
      <x:c r="J1120" t="str">
        <x:v>C</x:v>
      </x:c>
      <x:c r="K1120" s="14" t="n">
        <x:v>48.51</x:v>
      </x:c>
      <x:c r="L1120" s="14"/>
      <x:c r="M1120" s="14"/>
      <x:c r="N1120" s="14"/>
      <x:c r="O1120" s="14"/>
      <x:c r="P1120" s="14" t="n">
        <x:v>10.87</x:v>
      </x:c>
      <x:c r="Q1120" s="14" t="n">
        <x:v>59.38</x:v>
      </x:c>
      <x:c r="R1120" s="15"/>
      <x:c r="S1120" s="15"/>
      <x:c r="T1120" s="15"/>
      <x:c r="U1120" s="16"/>
      <x:c r="V1120" t="str">
        <x:v>Tatra Real</x:v>
      </x:c>
      <x:c r="W1120" t="str">
        <x:v>Ružinov</x:v>
      </x:c>
      <x:c r="X1120" s="11" t="str">
        <x:v>Predaný</x:v>
      </x:c>
      <x:c r="Y1120" s="11" t="str">
        <x:v>https://www.galvania.sk/byty/</x:v>
      </x:c>
      <x:c r="Z1120" s="11" t="n">
        <x:v>46249.4134212037</x:v>
      </x:c>
      <x:c r="AA1120" s="11" t="n">
        <x:v>46254.51251577547</x:v>
      </x:c>
      <x:c r="AB1120" s="11" t="n">
        <x:v>46254.51251577547</x:v>
      </x:c>
      <x:c r="AC1120" t="str">
        <x:v>galvania_rezidencie</x:v>
      </x:c>
    </x:row>
    <x:row r="1121" ht="22" customHeight="1">
      <x:c r="A1121" t="str">
        <x:v>Galvania Rezidencie</x:v>
      </x:c>
      <x:c r="B1121" t="str">
        <x:v>C2.09</x:v>
      </x:c>
      <x:c r="C1121" t="str">
        <x:v>sold</x:v>
      </x:c>
      <x:c r="D1121" t="str">
        <x:v>present</x:v>
      </x:c>
      <x:c r="E1121" t="str">
        <x:v>baseline</x:v>
      </x:c>
      <x:c r="F1121" s="11" t="n">
        <x:v>46249.4134212037</x:v>
      </x:c>
      <x:c r="G1121" t="str">
        <x:v>Byt</x:v>
      </x:c>
      <x:c r="H1121" s="12" t="n">
        <x:v>2</x:v>
      </x:c>
      <x:c r="I1121" s="13" t="n">
        <x:v>2</x:v>
      </x:c>
      <x:c r="J1121" t="str">
        <x:v>C</x:v>
      </x:c>
      <x:c r="K1121" s="14" t="n">
        <x:v>48.74</x:v>
      </x:c>
      <x:c r="L1121" s="14"/>
      <x:c r="M1121" s="14"/>
      <x:c r="N1121" s="14"/>
      <x:c r="O1121" s="14"/>
      <x:c r="P1121" s="14" t="n">
        <x:v>11.01</x:v>
      </x:c>
      <x:c r="Q1121" s="14" t="n">
        <x:v>59.75</x:v>
      </x:c>
      <x:c r="R1121" s="15"/>
      <x:c r="S1121" s="15"/>
      <x:c r="T1121" s="15"/>
      <x:c r="U1121" s="16"/>
      <x:c r="V1121" t="str">
        <x:v>Tatra Real</x:v>
      </x:c>
      <x:c r="W1121" t="str">
        <x:v>Ružinov</x:v>
      </x:c>
      <x:c r="X1121" s="11" t="str">
        <x:v>Predaný</x:v>
      </x:c>
      <x:c r="Y1121" s="11" t="str">
        <x:v>https://www.galvania.sk/byty/</x:v>
      </x:c>
      <x:c r="Z1121" s="11" t="n">
        <x:v>46249.4134212037</x:v>
      </x:c>
      <x:c r="AA1121" s="11" t="n">
        <x:v>46254.51251577547</x:v>
      </x:c>
      <x:c r="AB1121" s="11" t="n">
        <x:v>46254.51251577547</x:v>
      </x:c>
      <x:c r="AC1121" t="str">
        <x:v>galvania_rezidencie</x:v>
      </x:c>
    </x:row>
    <x:row r="1122" ht="22" customHeight="1">
      <x:c r="A1122" t="str">
        <x:v>Galvania Rezidencie</x:v>
      </x:c>
      <x:c r="B1122" t="str">
        <x:v>C2.10</x:v>
      </x:c>
      <x:c r="C1122" t="str">
        <x:v>sold</x:v>
      </x:c>
      <x:c r="D1122" t="str">
        <x:v>present</x:v>
      </x:c>
      <x:c r="E1122" t="str">
        <x:v>baseline</x:v>
      </x:c>
      <x:c r="F1122" s="11" t="n">
        <x:v>46249.4134212037</x:v>
      </x:c>
      <x:c r="G1122" t="str">
        <x:v>Byt</x:v>
      </x:c>
      <x:c r="H1122" s="12" t="n">
        <x:v>2</x:v>
      </x:c>
      <x:c r="I1122" s="13" t="n">
        <x:v>2</x:v>
      </x:c>
      <x:c r="J1122" t="str">
        <x:v>C</x:v>
      </x:c>
      <x:c r="K1122" s="14" t="n">
        <x:v>48.2</x:v>
      </x:c>
      <x:c r="L1122" s="14"/>
      <x:c r="M1122" s="14"/>
      <x:c r="N1122" s="14"/>
      <x:c r="O1122" s="14"/>
      <x:c r="P1122" s="14" t="n">
        <x:v>3.52</x:v>
      </x:c>
      <x:c r="Q1122" s="14" t="n">
        <x:v>51.72</x:v>
      </x:c>
      <x:c r="R1122" s="15"/>
      <x:c r="S1122" s="15"/>
      <x:c r="T1122" s="15"/>
      <x:c r="U1122" s="16"/>
      <x:c r="V1122" t="str">
        <x:v>Tatra Real</x:v>
      </x:c>
      <x:c r="W1122" t="str">
        <x:v>Ružinov</x:v>
      </x:c>
      <x:c r="X1122" s="11" t="str">
        <x:v>Predaný</x:v>
      </x:c>
      <x:c r="Y1122" s="11" t="str">
        <x:v>https://www.galvania.sk/byty/</x:v>
      </x:c>
      <x:c r="Z1122" s="11" t="n">
        <x:v>46249.4134212037</x:v>
      </x:c>
      <x:c r="AA1122" s="11" t="n">
        <x:v>46254.51251577547</x:v>
      </x:c>
      <x:c r="AB1122" s="11" t="n">
        <x:v>46254.51251577547</x:v>
      </x:c>
      <x:c r="AC1122" t="str">
        <x:v>galvania_rezidencie</x:v>
      </x:c>
    </x:row>
    <x:row r="1123" ht="22" customHeight="1">
      <x:c r="A1123" t="str">
        <x:v>Galvania Rezidencie</x:v>
      </x:c>
      <x:c r="B1123" t="str">
        <x:v>C2.11</x:v>
      </x:c>
      <x:c r="C1123" t="str">
        <x:v>available</x:v>
      </x:c>
      <x:c r="D1123" t="str">
        <x:v>present</x:v>
      </x:c>
      <x:c r="E1123" t="str">
        <x:v>baseline</x:v>
      </x:c>
      <x:c r="F1123" s="11" t="n">
        <x:v>46249.4134212037</x:v>
      </x:c>
      <x:c r="G1123" t="str">
        <x:v>Byt</x:v>
      </x:c>
      <x:c r="H1123" s="12" t="n">
        <x:v>2</x:v>
      </x:c>
      <x:c r="I1123" s="13" t="n">
        <x:v>2</x:v>
      </x:c>
      <x:c r="J1123" t="str">
        <x:v>C</x:v>
      </x:c>
      <x:c r="K1123" s="14" t="n">
        <x:v>48.4</x:v>
      </x:c>
      <x:c r="L1123" s="14"/>
      <x:c r="M1123" s="14"/>
      <x:c r="N1123" s="14"/>
      <x:c r="O1123" s="14"/>
      <x:c r="P1123" s="14" t="n">
        <x:v>3.52</x:v>
      </x:c>
      <x:c r="Q1123" s="14" t="n">
        <x:v>51.92</x:v>
      </x:c>
      <x:c r="R1123" s="15" t="n">
        <x:v>259000</x:v>
      </x:c>
      <x:c r="S1123" s="15" t="n">
        <x:v>259000</x:v>
      </x:c>
      <x:c r="T1123" s="15"/>
      <x:c r="U1123" s="16" t="n">
        <x:v>5351.24</x:v>
      </x:c>
      <x:c r="V1123" t="str">
        <x:v>Tatra Real</x:v>
      </x:c>
      <x:c r="W1123" t="str">
        <x:v>Ružinov</x:v>
      </x:c>
      <x:c r="X1123" s="11" t="str">
        <x:v>Voľný</x:v>
      </x:c>
      <x:c r="Y1123" s="11" t="str">
        <x:v>https://www.galvania.sk/byty/mam-zaujem-o-byt-C2.11/</x:v>
      </x:c>
      <x:c r="Z1123" s="11" t="n">
        <x:v>46249.4134212037</x:v>
      </x:c>
      <x:c r="AA1123" s="11" t="n">
        <x:v>46254.51251577547</x:v>
      </x:c>
      <x:c r="AB1123" s="11" t="n">
        <x:v>46254.51251577547</x:v>
      </x:c>
      <x:c r="AC1123" t="str">
        <x:v>galvania_rezidencie</x:v>
      </x:c>
    </x:row>
    <x:row r="1124" ht="22" customHeight="1">
      <x:c r="A1124" t="str">
        <x:v>Galvania Rezidencie</x:v>
      </x:c>
      <x:c r="B1124" t="str">
        <x:v>C3.01</x:v>
      </x:c>
      <x:c r="C1124" t="str">
        <x:v>sold</x:v>
      </x:c>
      <x:c r="D1124" t="str">
        <x:v>present</x:v>
      </x:c>
      <x:c r="E1124" t="str">
        <x:v>baseline</x:v>
      </x:c>
      <x:c r="F1124" s="11" t="n">
        <x:v>46249.4134212037</x:v>
      </x:c>
      <x:c r="G1124" t="str">
        <x:v>Byt</x:v>
      </x:c>
      <x:c r="H1124" s="12" t="n">
        <x:v>2</x:v>
      </x:c>
      <x:c r="I1124" s="13" t="n">
        <x:v>3</x:v>
      </x:c>
      <x:c r="J1124" t="str">
        <x:v>C</x:v>
      </x:c>
      <x:c r="K1124" s="14" t="n">
        <x:v>47.91</x:v>
      </x:c>
      <x:c r="L1124" s="14"/>
      <x:c r="M1124" s="14"/>
      <x:c r="N1124" s="14"/>
      <x:c r="O1124" s="14"/>
      <x:c r="P1124" s="14" t="n">
        <x:v>10.18</x:v>
      </x:c>
      <x:c r="Q1124" s="14" t="n">
        <x:v>58.09</x:v>
      </x:c>
      <x:c r="R1124" s="15"/>
      <x:c r="S1124" s="15"/>
      <x:c r="T1124" s="15"/>
      <x:c r="U1124" s="16"/>
      <x:c r="V1124" t="str">
        <x:v>Tatra Real</x:v>
      </x:c>
      <x:c r="W1124" t="str">
        <x:v>Ružinov</x:v>
      </x:c>
      <x:c r="X1124" s="11" t="str">
        <x:v>Predaný</x:v>
      </x:c>
      <x:c r="Y1124" s="11" t="str">
        <x:v>https://www.galvania.sk/byty/</x:v>
      </x:c>
      <x:c r="Z1124" s="11" t="n">
        <x:v>46249.4134212037</x:v>
      </x:c>
      <x:c r="AA1124" s="11" t="n">
        <x:v>46254.51251577547</x:v>
      </x:c>
      <x:c r="AB1124" s="11" t="n">
        <x:v>46254.51251577547</x:v>
      </x:c>
      <x:c r="AC1124" t="str">
        <x:v>galvania_rezidencie</x:v>
      </x:c>
    </x:row>
    <x:row r="1125" ht="22" customHeight="1">
      <x:c r="A1125" t="str">
        <x:v>Galvania Rezidencie</x:v>
      </x:c>
      <x:c r="B1125" t="str">
        <x:v>C3.02</x:v>
      </x:c>
      <x:c r="C1125" t="str">
        <x:v>sold</x:v>
      </x:c>
      <x:c r="D1125" t="str">
        <x:v>present</x:v>
      </x:c>
      <x:c r="E1125" t="str">
        <x:v>baseline</x:v>
      </x:c>
      <x:c r="F1125" s="11" t="n">
        <x:v>46249.4134212037</x:v>
      </x:c>
      <x:c r="G1125" t="str">
        <x:v>Byt</x:v>
      </x:c>
      <x:c r="H1125" s="12" t="n">
        <x:v>2</x:v>
      </x:c>
      <x:c r="I1125" s="13" t="n">
        <x:v>3</x:v>
      </x:c>
      <x:c r="J1125" t="str">
        <x:v>C</x:v>
      </x:c>
      <x:c r="K1125" s="14" t="n">
        <x:v>47.91</x:v>
      </x:c>
      <x:c r="L1125" s="14"/>
      <x:c r="M1125" s="14"/>
      <x:c r="N1125" s="14"/>
      <x:c r="O1125" s="14"/>
      <x:c r="P1125" s="14" t="n">
        <x:v>10.74</x:v>
      </x:c>
      <x:c r="Q1125" s="14" t="n">
        <x:v>58.65</x:v>
      </x:c>
      <x:c r="R1125" s="15"/>
      <x:c r="S1125" s="15"/>
      <x:c r="T1125" s="15"/>
      <x:c r="U1125" s="16"/>
      <x:c r="V1125" t="str">
        <x:v>Tatra Real</x:v>
      </x:c>
      <x:c r="W1125" t="str">
        <x:v>Ružinov</x:v>
      </x:c>
      <x:c r="X1125" s="11" t="str">
        <x:v>Predaný</x:v>
      </x:c>
      <x:c r="Y1125" s="11" t="str">
        <x:v>https://www.galvania.sk/byty/</x:v>
      </x:c>
      <x:c r="Z1125" s="11" t="n">
        <x:v>46249.4134212037</x:v>
      </x:c>
      <x:c r="AA1125" s="11" t="n">
        <x:v>46254.51251577547</x:v>
      </x:c>
      <x:c r="AB1125" s="11" t="n">
        <x:v>46254.51251577547</x:v>
      </x:c>
      <x:c r="AC1125" t="str">
        <x:v>galvania_rezidencie</x:v>
      </x:c>
    </x:row>
    <x:row r="1126" ht="22" customHeight="1">
      <x:c r="A1126" t="str">
        <x:v>Galvania Rezidencie</x:v>
      </x:c>
      <x:c r="B1126" t="str">
        <x:v>C3.03</x:v>
      </x:c>
      <x:c r="C1126" t="str">
        <x:v>sold</x:v>
      </x:c>
      <x:c r="D1126" t="str">
        <x:v>present</x:v>
      </x:c>
      <x:c r="E1126" t="str">
        <x:v>baseline</x:v>
      </x:c>
      <x:c r="F1126" s="11" t="n">
        <x:v>46249.4134212037</x:v>
      </x:c>
      <x:c r="G1126" t="str">
        <x:v>Byt</x:v>
      </x:c>
      <x:c r="H1126" s="12" t="n">
        <x:v>2</x:v>
      </x:c>
      <x:c r="I1126" s="13" t="n">
        <x:v>3</x:v>
      </x:c>
      <x:c r="J1126" t="str">
        <x:v>C</x:v>
      </x:c>
      <x:c r="K1126" s="14" t="n">
        <x:v>53.81</x:v>
      </x:c>
      <x:c r="L1126" s="14"/>
      <x:c r="M1126" s="14"/>
      <x:c r="N1126" s="14"/>
      <x:c r="O1126" s="14"/>
      <x:c r="P1126" s="14" t="n">
        <x:v>11.72</x:v>
      </x:c>
      <x:c r="Q1126" s="14" t="n">
        <x:v>65.53</x:v>
      </x:c>
      <x:c r="R1126" s="15"/>
      <x:c r="S1126" s="15"/>
      <x:c r="T1126" s="15"/>
      <x:c r="U1126" s="16"/>
      <x:c r="V1126" t="str">
        <x:v>Tatra Real</x:v>
      </x:c>
      <x:c r="W1126" t="str">
        <x:v>Ružinov</x:v>
      </x:c>
      <x:c r="X1126" s="11" t="str">
        <x:v>Predaný</x:v>
      </x:c>
      <x:c r="Y1126" s="11" t="str">
        <x:v>https://www.galvania.sk/byty/</x:v>
      </x:c>
      <x:c r="Z1126" s="11" t="n">
        <x:v>46249.4134212037</x:v>
      </x:c>
      <x:c r="AA1126" s="11" t="n">
        <x:v>46254.51251577547</x:v>
      </x:c>
      <x:c r="AB1126" s="11" t="n">
        <x:v>46254.51251577547</x:v>
      </x:c>
      <x:c r="AC1126" t="str">
        <x:v>galvania_rezidencie</x:v>
      </x:c>
    </x:row>
    <x:row r="1127" ht="22" customHeight="1">
      <x:c r="A1127" t="str">
        <x:v>Galvania Rezidencie</x:v>
      </x:c>
      <x:c r="B1127" t="str">
        <x:v>C3.04</x:v>
      </x:c>
      <x:c r="C1127" t="str">
        <x:v>sold</x:v>
      </x:c>
      <x:c r="D1127" t="str">
        <x:v>present</x:v>
      </x:c>
      <x:c r="E1127" t="str">
        <x:v>baseline</x:v>
      </x:c>
      <x:c r="F1127" s="11" t="n">
        <x:v>46249.4134212037</x:v>
      </x:c>
      <x:c r="G1127" t="str">
        <x:v>Byt</x:v>
      </x:c>
      <x:c r="H1127" s="12" t="n">
        <x:v>2</x:v>
      </x:c>
      <x:c r="I1127" s="13" t="n">
        <x:v>3</x:v>
      </x:c>
      <x:c r="J1127" t="str">
        <x:v>C</x:v>
      </x:c>
      <x:c r="K1127" s="14" t="n">
        <x:v>53.82</x:v>
      </x:c>
      <x:c r="L1127" s="14"/>
      <x:c r="M1127" s="14"/>
      <x:c r="N1127" s="14"/>
      <x:c r="O1127" s="14"/>
      <x:c r="P1127" s="14" t="n">
        <x:v>8.72</x:v>
      </x:c>
      <x:c r="Q1127" s="14" t="n">
        <x:v>62.54</x:v>
      </x:c>
      <x:c r="R1127" s="15"/>
      <x:c r="S1127" s="15"/>
      <x:c r="T1127" s="15"/>
      <x:c r="U1127" s="16"/>
      <x:c r="V1127" t="str">
        <x:v>Tatra Real</x:v>
      </x:c>
      <x:c r="W1127" t="str">
        <x:v>Ružinov</x:v>
      </x:c>
      <x:c r="X1127" s="11" t="str">
        <x:v>Predaný</x:v>
      </x:c>
      <x:c r="Y1127" s="11" t="str">
        <x:v>https://www.galvania.sk/byty/</x:v>
      </x:c>
      <x:c r="Z1127" s="11" t="n">
        <x:v>46249.4134212037</x:v>
      </x:c>
      <x:c r="AA1127" s="11" t="n">
        <x:v>46254.51251577547</x:v>
      </x:c>
      <x:c r="AB1127" s="11" t="n">
        <x:v>46254.51251577547</x:v>
      </x:c>
      <x:c r="AC1127" t="str">
        <x:v>galvania_rezidencie</x:v>
      </x:c>
    </x:row>
    <x:row r="1128" ht="22" customHeight="1">
      <x:c r="A1128" t="str">
        <x:v>Galvania Rezidencie</x:v>
      </x:c>
      <x:c r="B1128" t="str">
        <x:v>C3.05</x:v>
      </x:c>
      <x:c r="C1128" t="str">
        <x:v>sold</x:v>
      </x:c>
      <x:c r="D1128" t="str">
        <x:v>present</x:v>
      </x:c>
      <x:c r="E1128" t="str">
        <x:v>baseline</x:v>
      </x:c>
      <x:c r="F1128" s="11" t="n">
        <x:v>46249.4134212037</x:v>
      </x:c>
      <x:c r="G1128" t="str">
        <x:v>Byt</x:v>
      </x:c>
      <x:c r="H1128" s="12" t="n">
        <x:v>2</x:v>
      </x:c>
      <x:c r="I1128" s="13" t="n">
        <x:v>3</x:v>
      </x:c>
      <x:c r="J1128" t="str">
        <x:v>C</x:v>
      </x:c>
      <x:c r="K1128" s="14" t="n">
        <x:v>48.01</x:v>
      </x:c>
      <x:c r="L1128" s="14"/>
      <x:c r="M1128" s="14"/>
      <x:c r="N1128" s="14"/>
      <x:c r="O1128" s="14"/>
      <x:c r="P1128" s="14" t="n">
        <x:v>10.64</x:v>
      </x:c>
      <x:c r="Q1128" s="14" t="n">
        <x:v>58.65</x:v>
      </x:c>
      <x:c r="R1128" s="15"/>
      <x:c r="S1128" s="15"/>
      <x:c r="T1128" s="15"/>
      <x:c r="U1128" s="16"/>
      <x:c r="V1128" t="str">
        <x:v>Tatra Real</x:v>
      </x:c>
      <x:c r="W1128" t="str">
        <x:v>Ružinov</x:v>
      </x:c>
      <x:c r="X1128" s="11" t="str">
        <x:v>Predaný</x:v>
      </x:c>
      <x:c r="Y1128" s="11" t="str">
        <x:v>https://www.galvania.sk/byty/</x:v>
      </x:c>
      <x:c r="Z1128" s="11" t="n">
        <x:v>46249.4134212037</x:v>
      </x:c>
      <x:c r="AA1128" s="11" t="n">
        <x:v>46254.51251577547</x:v>
      </x:c>
      <x:c r="AB1128" s="11" t="n">
        <x:v>46254.51251577547</x:v>
      </x:c>
      <x:c r="AC1128" t="str">
        <x:v>galvania_rezidencie</x:v>
      </x:c>
    </x:row>
    <x:row r="1129" ht="22" customHeight="1">
      <x:c r="A1129" t="str">
        <x:v>Galvania Rezidencie</x:v>
      </x:c>
      <x:c r="B1129" t="str">
        <x:v>C3.06</x:v>
      </x:c>
      <x:c r="C1129" t="str">
        <x:v>sold</x:v>
      </x:c>
      <x:c r="D1129" t="str">
        <x:v>present</x:v>
      </x:c>
      <x:c r="E1129" t="str">
        <x:v>baseline</x:v>
      </x:c>
      <x:c r="F1129" s="11" t="n">
        <x:v>46249.4134212037</x:v>
      </x:c>
      <x:c r="G1129" t="str">
        <x:v>Byt</x:v>
      </x:c>
      <x:c r="H1129" s="12" t="n">
        <x:v>2</x:v>
      </x:c>
      <x:c r="I1129" s="13" t="n">
        <x:v>3</x:v>
      </x:c>
      <x:c r="J1129" t="str">
        <x:v>C</x:v>
      </x:c>
      <x:c r="K1129" s="14" t="n">
        <x:v>48.01</x:v>
      </x:c>
      <x:c r="L1129" s="14"/>
      <x:c r="M1129" s="14"/>
      <x:c r="N1129" s="14"/>
      <x:c r="O1129" s="14"/>
      <x:c r="P1129" s="14" t="n">
        <x:v>10.87</x:v>
      </x:c>
      <x:c r="Q1129" s="14" t="n">
        <x:v>58.88</x:v>
      </x:c>
      <x:c r="R1129" s="15"/>
      <x:c r="S1129" s="15"/>
      <x:c r="T1129" s="15"/>
      <x:c r="U1129" s="16"/>
      <x:c r="V1129" t="str">
        <x:v>Tatra Real</x:v>
      </x:c>
      <x:c r="W1129" t="str">
        <x:v>Ružinov</x:v>
      </x:c>
      <x:c r="X1129" s="11" t="str">
        <x:v>Predaný</x:v>
      </x:c>
      <x:c r="Y1129" s="11" t="str">
        <x:v>https://www.galvania.sk/byty/</x:v>
      </x:c>
      <x:c r="Z1129" s="11" t="n">
        <x:v>46249.4134212037</x:v>
      </x:c>
      <x:c r="AA1129" s="11" t="n">
        <x:v>46254.51251577547</x:v>
      </x:c>
      <x:c r="AB1129" s="11" t="n">
        <x:v>46254.51251577547</x:v>
      </x:c>
      <x:c r="AC1129" t="str">
        <x:v>galvania_rezidencie</x:v>
      </x:c>
    </x:row>
    <x:row r="1130" ht="22" customHeight="1">
      <x:c r="A1130" t="str">
        <x:v>Galvania Rezidencie</x:v>
      </x:c>
      <x:c r="B1130" t="str">
        <x:v>C3.07</x:v>
      </x:c>
      <x:c r="C1130" t="str">
        <x:v>sold</x:v>
      </x:c>
      <x:c r="D1130" t="str">
        <x:v>present</x:v>
      </x:c>
      <x:c r="E1130" t="str">
        <x:v>baseline</x:v>
      </x:c>
      <x:c r="F1130" s="11" t="n">
        <x:v>46249.4134212037</x:v>
      </x:c>
      <x:c r="G1130" t="str">
        <x:v>Byt</x:v>
      </x:c>
      <x:c r="H1130" s="12" t="n">
        <x:v>2</x:v>
      </x:c>
      <x:c r="I1130" s="13" t="n">
        <x:v>3</x:v>
      </x:c>
      <x:c r="J1130" t="str">
        <x:v>C</x:v>
      </x:c>
      <x:c r="K1130" s="14" t="n">
        <x:v>48.01</x:v>
      </x:c>
      <x:c r="L1130" s="14"/>
      <x:c r="M1130" s="14"/>
      <x:c r="N1130" s="14"/>
      <x:c r="O1130" s="14"/>
      <x:c r="P1130" s="14" t="n">
        <x:v>10.87</x:v>
      </x:c>
      <x:c r="Q1130" s="14" t="n">
        <x:v>58.88</x:v>
      </x:c>
      <x:c r="R1130" s="15"/>
      <x:c r="S1130" s="15"/>
      <x:c r="T1130" s="15"/>
      <x:c r="U1130" s="16"/>
      <x:c r="V1130" t="str">
        <x:v>Tatra Real</x:v>
      </x:c>
      <x:c r="W1130" t="str">
        <x:v>Ružinov</x:v>
      </x:c>
      <x:c r="X1130" s="11" t="str">
        <x:v>Predaný</x:v>
      </x:c>
      <x:c r="Y1130" s="11" t="str">
        <x:v>https://www.galvania.sk/byty/</x:v>
      </x:c>
      <x:c r="Z1130" s="11" t="n">
        <x:v>46249.4134212037</x:v>
      </x:c>
      <x:c r="AA1130" s="11" t="n">
        <x:v>46254.51251577547</x:v>
      </x:c>
      <x:c r="AB1130" s="11" t="n">
        <x:v>46254.51251577547</x:v>
      </x:c>
      <x:c r="AC1130" t="str">
        <x:v>galvania_rezidencie</x:v>
      </x:c>
    </x:row>
    <x:row r="1131" ht="22" customHeight="1">
      <x:c r="A1131" t="str">
        <x:v>Galvania Rezidencie</x:v>
      </x:c>
      <x:c r="B1131" t="str">
        <x:v>C3.08</x:v>
      </x:c>
      <x:c r="C1131" t="str">
        <x:v>sold</x:v>
      </x:c>
      <x:c r="D1131" t="str">
        <x:v>present</x:v>
      </x:c>
      <x:c r="E1131" t="str">
        <x:v>baseline</x:v>
      </x:c>
      <x:c r="F1131" s="11" t="n">
        <x:v>46249.4134212037</x:v>
      </x:c>
      <x:c r="G1131" t="str">
        <x:v>Byt</x:v>
      </x:c>
      <x:c r="H1131" s="12" t="n">
        <x:v>2</x:v>
      </x:c>
      <x:c r="I1131" s="13" t="n">
        <x:v>3</x:v>
      </x:c>
      <x:c r="J1131" t="str">
        <x:v>C</x:v>
      </x:c>
      <x:c r="K1131" s="14" t="n">
        <x:v>48.01</x:v>
      </x:c>
      <x:c r="L1131" s="14"/>
      <x:c r="M1131" s="14"/>
      <x:c r="N1131" s="14"/>
      <x:c r="O1131" s="14"/>
      <x:c r="P1131" s="14" t="n">
        <x:v>10.87</x:v>
      </x:c>
      <x:c r="Q1131" s="14" t="n">
        <x:v>58.88</x:v>
      </x:c>
      <x:c r="R1131" s="15"/>
      <x:c r="S1131" s="15"/>
      <x:c r="T1131" s="15"/>
      <x:c r="U1131" s="16"/>
      <x:c r="V1131" t="str">
        <x:v>Tatra Real</x:v>
      </x:c>
      <x:c r="W1131" t="str">
        <x:v>Ružinov</x:v>
      </x:c>
      <x:c r="X1131" s="11" t="str">
        <x:v>Predaný</x:v>
      </x:c>
      <x:c r="Y1131" s="11" t="str">
        <x:v>https://www.galvania.sk/byty/</x:v>
      </x:c>
      <x:c r="Z1131" s="11" t="n">
        <x:v>46249.4134212037</x:v>
      </x:c>
      <x:c r="AA1131" s="11" t="n">
        <x:v>46254.51251577547</x:v>
      </x:c>
      <x:c r="AB1131" s="11" t="n">
        <x:v>46254.51251577547</x:v>
      </x:c>
      <x:c r="AC1131" t="str">
        <x:v>galvania_rezidencie</x:v>
      </x:c>
    </x:row>
    <x:row r="1132" ht="22" customHeight="1">
      <x:c r="A1132" t="str">
        <x:v>Galvania Rezidencie</x:v>
      </x:c>
      <x:c r="B1132" t="str">
        <x:v>C3.09</x:v>
      </x:c>
      <x:c r="C1132" t="str">
        <x:v>sold</x:v>
      </x:c>
      <x:c r="D1132" t="str">
        <x:v>present</x:v>
      </x:c>
      <x:c r="E1132" t="str">
        <x:v>baseline</x:v>
      </x:c>
      <x:c r="F1132" s="11" t="n">
        <x:v>46249.4134212037</x:v>
      </x:c>
      <x:c r="G1132" t="str">
        <x:v>Byt</x:v>
      </x:c>
      <x:c r="H1132" s="12" t="n">
        <x:v>2</x:v>
      </x:c>
      <x:c r="I1132" s="13" t="n">
        <x:v>3</x:v>
      </x:c>
      <x:c r="J1132" t="str">
        <x:v>C</x:v>
      </x:c>
      <x:c r="K1132" s="14" t="n">
        <x:v>48.24</x:v>
      </x:c>
      <x:c r="L1132" s="14"/>
      <x:c r="M1132" s="14"/>
      <x:c r="N1132" s="14"/>
      <x:c r="O1132" s="14"/>
      <x:c r="P1132" s="14" t="n">
        <x:v>11.01</x:v>
      </x:c>
      <x:c r="Q1132" s="14" t="n">
        <x:v>59.25</x:v>
      </x:c>
      <x:c r="R1132" s="15"/>
      <x:c r="S1132" s="15"/>
      <x:c r="T1132" s="15"/>
      <x:c r="U1132" s="16"/>
      <x:c r="V1132" t="str">
        <x:v>Tatra Real</x:v>
      </x:c>
      <x:c r="W1132" t="str">
        <x:v>Ružinov</x:v>
      </x:c>
      <x:c r="X1132" s="11" t="str">
        <x:v>Predaný</x:v>
      </x:c>
      <x:c r="Y1132" s="11" t="str">
        <x:v>https://www.galvania.sk/byty/</x:v>
      </x:c>
      <x:c r="Z1132" s="11" t="n">
        <x:v>46249.4134212037</x:v>
      </x:c>
      <x:c r="AA1132" s="11" t="n">
        <x:v>46254.51251577547</x:v>
      </x:c>
      <x:c r="AB1132" s="11" t="n">
        <x:v>46254.51251577547</x:v>
      </x:c>
      <x:c r="AC1132" t="str">
        <x:v>galvania_rezidencie</x:v>
      </x:c>
    </x:row>
    <x:row r="1133" ht="22" customHeight="1">
      <x:c r="A1133" t="str">
        <x:v>Galvania Rezidencie</x:v>
      </x:c>
      <x:c r="B1133" t="str">
        <x:v>C3.10</x:v>
      </x:c>
      <x:c r="C1133" t="str">
        <x:v>sold</x:v>
      </x:c>
      <x:c r="D1133" t="str">
        <x:v>present</x:v>
      </x:c>
      <x:c r="E1133" t="str">
        <x:v>baseline</x:v>
      </x:c>
      <x:c r="F1133" s="11" t="n">
        <x:v>46249.4134212037</x:v>
      </x:c>
      <x:c r="G1133" t="str">
        <x:v>Byt</x:v>
      </x:c>
      <x:c r="H1133" s="12" t="n">
        <x:v>2</x:v>
      </x:c>
      <x:c r="I1133" s="13" t="n">
        <x:v>3</x:v>
      </x:c>
      <x:c r="J1133" t="str">
        <x:v>C</x:v>
      </x:c>
      <x:c r="K1133" s="14" t="n">
        <x:v>47.72</x:v>
      </x:c>
      <x:c r="L1133" s="14"/>
      <x:c r="M1133" s="14"/>
      <x:c r="N1133" s="14"/>
      <x:c r="O1133" s="14"/>
      <x:c r="P1133" s="14" t="n">
        <x:v>3.52</x:v>
      </x:c>
      <x:c r="Q1133" s="14" t="n">
        <x:v>51.24</x:v>
      </x:c>
      <x:c r="R1133" s="15"/>
      <x:c r="S1133" s="15"/>
      <x:c r="T1133" s="15"/>
      <x:c r="U1133" s="16"/>
      <x:c r="V1133" t="str">
        <x:v>Tatra Real</x:v>
      </x:c>
      <x:c r="W1133" t="str">
        <x:v>Ružinov</x:v>
      </x:c>
      <x:c r="X1133" s="11" t="str">
        <x:v>Predaný</x:v>
      </x:c>
      <x:c r="Y1133" s="11" t="str">
        <x:v>https://www.galvania.sk/byty/</x:v>
      </x:c>
      <x:c r="Z1133" s="11" t="n">
        <x:v>46249.4134212037</x:v>
      </x:c>
      <x:c r="AA1133" s="11" t="n">
        <x:v>46254.51251577547</x:v>
      </x:c>
      <x:c r="AB1133" s="11" t="n">
        <x:v>46254.51251577547</x:v>
      </x:c>
      <x:c r="AC1133" t="str">
        <x:v>galvania_rezidencie</x:v>
      </x:c>
    </x:row>
    <x:row r="1134" ht="22" customHeight="1">
      <x:c r="A1134" t="str">
        <x:v>Galvania Rezidencie</x:v>
      </x:c>
      <x:c r="B1134" t="str">
        <x:v>C3.11</x:v>
      </x:c>
      <x:c r="C1134" t="str">
        <x:v>sold</x:v>
      </x:c>
      <x:c r="D1134" t="str">
        <x:v>present</x:v>
      </x:c>
      <x:c r="E1134" t="str">
        <x:v>baseline</x:v>
      </x:c>
      <x:c r="F1134" s="11" t="n">
        <x:v>46249.4134212037</x:v>
      </x:c>
      <x:c r="G1134" t="str">
        <x:v>Byt</x:v>
      </x:c>
      <x:c r="H1134" s="12" t="n">
        <x:v>2</x:v>
      </x:c>
      <x:c r="I1134" s="13" t="n">
        <x:v>3</x:v>
      </x:c>
      <x:c r="J1134" t="str">
        <x:v>C</x:v>
      </x:c>
      <x:c r="K1134" s="14" t="n">
        <x:v>47.91</x:v>
      </x:c>
      <x:c r="L1134" s="14"/>
      <x:c r="M1134" s="14"/>
      <x:c r="N1134" s="14"/>
      <x:c r="O1134" s="14"/>
      <x:c r="P1134" s="14" t="n">
        <x:v>3.52</x:v>
      </x:c>
      <x:c r="Q1134" s="14" t="n">
        <x:v>51.43</x:v>
      </x:c>
      <x:c r="R1134" s="15"/>
      <x:c r="S1134" s="15"/>
      <x:c r="T1134" s="15"/>
      <x:c r="U1134" s="16"/>
      <x:c r="V1134" t="str">
        <x:v>Tatra Real</x:v>
      </x:c>
      <x:c r="W1134" t="str">
        <x:v>Ružinov</x:v>
      </x:c>
      <x:c r="X1134" s="11" t="str">
        <x:v>Predaný</x:v>
      </x:c>
      <x:c r="Y1134" s="11" t="str">
        <x:v>https://www.galvania.sk/byty/</x:v>
      </x:c>
      <x:c r="Z1134" s="11" t="n">
        <x:v>46249.4134212037</x:v>
      </x:c>
      <x:c r="AA1134" s="11" t="n">
        <x:v>46254.51251577547</x:v>
      </x:c>
      <x:c r="AB1134" s="11" t="n">
        <x:v>46254.51251577547</x:v>
      </x:c>
      <x:c r="AC1134" t="str">
        <x:v>galvania_rezidencie</x:v>
      </x:c>
    </x:row>
    <x:row r="1135" ht="22" customHeight="1">
      <x:c r="A1135" t="str">
        <x:v>Galvania Rezidencie</x:v>
      </x:c>
      <x:c r="B1135" t="str">
        <x:v>C4.01</x:v>
      </x:c>
      <x:c r="C1135" t="str">
        <x:v>sold</x:v>
      </x:c>
      <x:c r="D1135" t="str">
        <x:v>present</x:v>
      </x:c>
      <x:c r="E1135" t="str">
        <x:v>baseline</x:v>
      </x:c>
      <x:c r="F1135" s="11" t="n">
        <x:v>46249.4134212037</x:v>
      </x:c>
      <x:c r="G1135" t="str">
        <x:v>Byt</x:v>
      </x:c>
      <x:c r="H1135" s="12" t="n">
        <x:v>2</x:v>
      </x:c>
      <x:c r="I1135" s="13" t="n">
        <x:v>4</x:v>
      </x:c>
      <x:c r="J1135" t="str">
        <x:v>C</x:v>
      </x:c>
      <x:c r="K1135" s="14" t="n">
        <x:v>47.4</x:v>
      </x:c>
      <x:c r="L1135" s="14"/>
      <x:c r="M1135" s="14"/>
      <x:c r="N1135" s="14"/>
      <x:c r="O1135" s="14"/>
      <x:c r="P1135" s="14" t="n">
        <x:v>10.18</x:v>
      </x:c>
      <x:c r="Q1135" s="14" t="n">
        <x:v>57.58</x:v>
      </x:c>
      <x:c r="R1135" s="15"/>
      <x:c r="S1135" s="15"/>
      <x:c r="T1135" s="15"/>
      <x:c r="U1135" s="16"/>
      <x:c r="V1135" t="str">
        <x:v>Tatra Real</x:v>
      </x:c>
      <x:c r="W1135" t="str">
        <x:v>Ružinov</x:v>
      </x:c>
      <x:c r="X1135" s="11" t="str">
        <x:v>Predaný</x:v>
      </x:c>
      <x:c r="Y1135" s="11" t="str">
        <x:v>https://www.galvania.sk/byty/</x:v>
      </x:c>
      <x:c r="Z1135" s="11" t="n">
        <x:v>46249.4134212037</x:v>
      </x:c>
      <x:c r="AA1135" s="11" t="n">
        <x:v>46254.51251577547</x:v>
      </x:c>
      <x:c r="AB1135" s="11" t="n">
        <x:v>46254.51251577547</x:v>
      </x:c>
      <x:c r="AC1135" t="str">
        <x:v>galvania_rezidencie</x:v>
      </x:c>
    </x:row>
    <x:row r="1136" ht="22" customHeight="1">
      <x:c r="A1136" t="str">
        <x:v>Galvania Rezidencie</x:v>
      </x:c>
      <x:c r="B1136" t="str">
        <x:v>C4.02</x:v>
      </x:c>
      <x:c r="C1136" t="str">
        <x:v>sold</x:v>
      </x:c>
      <x:c r="D1136" t="str">
        <x:v>present</x:v>
      </x:c>
      <x:c r="E1136" t="str">
        <x:v>baseline</x:v>
      </x:c>
      <x:c r="F1136" s="11" t="n">
        <x:v>46249.4134212037</x:v>
      </x:c>
      <x:c r="G1136" t="str">
        <x:v>Byt</x:v>
      </x:c>
      <x:c r="H1136" s="12" t="n">
        <x:v>2</x:v>
      </x:c>
      <x:c r="I1136" s="13" t="n">
        <x:v>4</x:v>
      </x:c>
      <x:c r="J1136" t="str">
        <x:v>C</x:v>
      </x:c>
      <x:c r="K1136" s="14" t="n">
        <x:v>47.18</x:v>
      </x:c>
      <x:c r="L1136" s="14"/>
      <x:c r="M1136" s="14"/>
      <x:c r="N1136" s="14"/>
      <x:c r="O1136" s="14"/>
      <x:c r="P1136" s="14" t="n">
        <x:v>10.74</x:v>
      </x:c>
      <x:c r="Q1136" s="14" t="n">
        <x:v>57.92</x:v>
      </x:c>
      <x:c r="R1136" s="15"/>
      <x:c r="S1136" s="15"/>
      <x:c r="T1136" s="15"/>
      <x:c r="U1136" s="16"/>
      <x:c r="V1136" t="str">
        <x:v>Tatra Real</x:v>
      </x:c>
      <x:c r="W1136" t="str">
        <x:v>Ružinov</x:v>
      </x:c>
      <x:c r="X1136" s="11" t="str">
        <x:v>Predaný</x:v>
      </x:c>
      <x:c r="Y1136" s="11" t="str">
        <x:v>https://www.galvania.sk/byty/</x:v>
      </x:c>
      <x:c r="Z1136" s="11" t="n">
        <x:v>46249.4134212037</x:v>
      </x:c>
      <x:c r="AA1136" s="11" t="n">
        <x:v>46254.51251577547</x:v>
      </x:c>
      <x:c r="AB1136" s="11" t="n">
        <x:v>46254.51251577547</x:v>
      </x:c>
      <x:c r="AC1136" t="str">
        <x:v>galvania_rezidencie</x:v>
      </x:c>
    </x:row>
    <x:row r="1137" ht="22" customHeight="1">
      <x:c r="A1137" t="str">
        <x:v>Galvania Rezidencie</x:v>
      </x:c>
      <x:c r="B1137" t="str">
        <x:v>C4.03</x:v>
      </x:c>
      <x:c r="C1137" t="str">
        <x:v>sold</x:v>
      </x:c>
      <x:c r="D1137" t="str">
        <x:v>present</x:v>
      </x:c>
      <x:c r="E1137" t="str">
        <x:v>baseline</x:v>
      </x:c>
      <x:c r="F1137" s="11" t="n">
        <x:v>46249.4134212037</x:v>
      </x:c>
      <x:c r="G1137" t="str">
        <x:v>Byt</x:v>
      </x:c>
      <x:c r="H1137" s="12" t="n">
        <x:v>2</x:v>
      </x:c>
      <x:c r="I1137" s="13" t="n">
        <x:v>4</x:v>
      </x:c>
      <x:c r="J1137" t="str">
        <x:v>C</x:v>
      </x:c>
      <x:c r="K1137" s="14" t="n">
        <x:v>53.33</x:v>
      </x:c>
      <x:c r="L1137" s="14"/>
      <x:c r="M1137" s="14"/>
      <x:c r="N1137" s="14"/>
      <x:c r="O1137" s="14"/>
      <x:c r="P1137" s="14" t="n">
        <x:v>11.74</x:v>
      </x:c>
      <x:c r="Q1137" s="14" t="n">
        <x:v>65.07</x:v>
      </x:c>
      <x:c r="R1137" s="15"/>
      <x:c r="S1137" s="15"/>
      <x:c r="T1137" s="15"/>
      <x:c r="U1137" s="16"/>
      <x:c r="V1137" t="str">
        <x:v>Tatra Real</x:v>
      </x:c>
      <x:c r="W1137" t="str">
        <x:v>Ružinov</x:v>
      </x:c>
      <x:c r="X1137" s="11" t="str">
        <x:v>Predaný</x:v>
      </x:c>
      <x:c r="Y1137" s="11" t="str">
        <x:v>https://www.galvania.sk/byty/</x:v>
      </x:c>
      <x:c r="Z1137" s="11" t="n">
        <x:v>46249.4134212037</x:v>
      </x:c>
      <x:c r="AA1137" s="11" t="n">
        <x:v>46254.51251577547</x:v>
      </x:c>
      <x:c r="AB1137" s="11" t="n">
        <x:v>46254.51251577547</x:v>
      </x:c>
      <x:c r="AC1137" t="str">
        <x:v>galvania_rezidencie</x:v>
      </x:c>
    </x:row>
    <x:row r="1138" ht="22" customHeight="1">
      <x:c r="A1138" t="str">
        <x:v>Galvania Rezidencie</x:v>
      </x:c>
      <x:c r="B1138" t="str">
        <x:v>C4.04</x:v>
      </x:c>
      <x:c r="C1138" t="str">
        <x:v>sold</x:v>
      </x:c>
      <x:c r="D1138" t="str">
        <x:v>present</x:v>
      </x:c>
      <x:c r="E1138" t="str">
        <x:v>baseline</x:v>
      </x:c>
      <x:c r="F1138" s="11" t="n">
        <x:v>46249.4134212037</x:v>
      </x:c>
      <x:c r="G1138" t="str">
        <x:v>Byt</x:v>
      </x:c>
      <x:c r="H1138" s="12" t="n">
        <x:v>2</x:v>
      </x:c>
      <x:c r="I1138" s="13" t="n">
        <x:v>4</x:v>
      </x:c>
      <x:c r="J1138" t="str">
        <x:v>C</x:v>
      </x:c>
      <x:c r="K1138" s="14" t="n">
        <x:v>53.21</x:v>
      </x:c>
      <x:c r="L1138" s="14"/>
      <x:c r="M1138" s="14"/>
      <x:c r="N1138" s="14"/>
      <x:c r="O1138" s="14"/>
      <x:c r="P1138" s="14" t="n">
        <x:v>8.72</x:v>
      </x:c>
      <x:c r="Q1138" s="14" t="n">
        <x:v>61.93</x:v>
      </x:c>
      <x:c r="R1138" s="15"/>
      <x:c r="S1138" s="15"/>
      <x:c r="T1138" s="15"/>
      <x:c r="U1138" s="16"/>
      <x:c r="V1138" t="str">
        <x:v>Tatra Real</x:v>
      </x:c>
      <x:c r="W1138" t="str">
        <x:v>Ružinov</x:v>
      </x:c>
      <x:c r="X1138" s="11" t="str">
        <x:v>Predaný</x:v>
      </x:c>
      <x:c r="Y1138" s="11" t="str">
        <x:v>https://www.galvania.sk/byty/</x:v>
      </x:c>
      <x:c r="Z1138" s="11" t="n">
        <x:v>46249.4134212037</x:v>
      </x:c>
      <x:c r="AA1138" s="11" t="n">
        <x:v>46254.51251577547</x:v>
      </x:c>
      <x:c r="AB1138" s="11" t="n">
        <x:v>46254.51251577547</x:v>
      </x:c>
      <x:c r="AC1138" t="str">
        <x:v>galvania_rezidencie</x:v>
      </x:c>
    </x:row>
    <x:row r="1139" ht="22" customHeight="1">
      <x:c r="A1139" t="str">
        <x:v>Galvania Rezidencie</x:v>
      </x:c>
      <x:c r="B1139" t="str">
        <x:v>C4.05</x:v>
      </x:c>
      <x:c r="C1139" t="str">
        <x:v>sold</x:v>
      </x:c>
      <x:c r="D1139" t="str">
        <x:v>present</x:v>
      </x:c>
      <x:c r="E1139" t="str">
        <x:v>baseline</x:v>
      </x:c>
      <x:c r="F1139" s="11" t="n">
        <x:v>46249.4134212037</x:v>
      </x:c>
      <x:c r="G1139" t="str">
        <x:v>Byt</x:v>
      </x:c>
      <x:c r="H1139" s="12" t="n">
        <x:v>2</x:v>
      </x:c>
      <x:c r="I1139" s="13" t="n">
        <x:v>4</x:v>
      </x:c>
      <x:c r="J1139" t="str">
        <x:v>C</x:v>
      </x:c>
      <x:c r="K1139" s="14" t="n">
        <x:v>47.34</x:v>
      </x:c>
      <x:c r="L1139" s="14"/>
      <x:c r="M1139" s="14"/>
      <x:c r="N1139" s="14"/>
      <x:c r="O1139" s="14"/>
      <x:c r="P1139" s="14" t="n">
        <x:v>10.64</x:v>
      </x:c>
      <x:c r="Q1139" s="14" t="n">
        <x:v>57.98</x:v>
      </x:c>
      <x:c r="R1139" s="15"/>
      <x:c r="S1139" s="15"/>
      <x:c r="T1139" s="15"/>
      <x:c r="U1139" s="16"/>
      <x:c r="V1139" t="str">
        <x:v>Tatra Real</x:v>
      </x:c>
      <x:c r="W1139" t="str">
        <x:v>Ružinov</x:v>
      </x:c>
      <x:c r="X1139" s="11" t="str">
        <x:v>Predaný</x:v>
      </x:c>
      <x:c r="Y1139" s="11" t="str">
        <x:v>https://www.galvania.sk/byty/</x:v>
      </x:c>
      <x:c r="Z1139" s="11" t="n">
        <x:v>46249.4134212037</x:v>
      </x:c>
      <x:c r="AA1139" s="11" t="n">
        <x:v>46254.51251577547</x:v>
      </x:c>
      <x:c r="AB1139" s="11" t="n">
        <x:v>46254.51251577547</x:v>
      </x:c>
      <x:c r="AC1139" t="str">
        <x:v>galvania_rezidencie</x:v>
      </x:c>
    </x:row>
    <x:row r="1140" ht="22" customHeight="1">
      <x:c r="A1140" t="str">
        <x:v>Galvania Rezidencie</x:v>
      </x:c>
      <x:c r="B1140" t="str">
        <x:v>C4.06</x:v>
      </x:c>
      <x:c r="C1140" t="str">
        <x:v>sold</x:v>
      </x:c>
      <x:c r="D1140" t="str">
        <x:v>present</x:v>
      </x:c>
      <x:c r="E1140" t="str">
        <x:v>baseline</x:v>
      </x:c>
      <x:c r="F1140" s="11" t="n">
        <x:v>46249.4134212037</x:v>
      </x:c>
      <x:c r="G1140" t="str">
        <x:v>Byt</x:v>
      </x:c>
      <x:c r="H1140" s="12" t="n">
        <x:v>2</x:v>
      </x:c>
      <x:c r="I1140" s="13" t="n">
        <x:v>4</x:v>
      </x:c>
      <x:c r="J1140" t="str">
        <x:v>C</x:v>
      </x:c>
      <x:c r="K1140" s="14" t="n">
        <x:v>47.34</x:v>
      </x:c>
      <x:c r="L1140" s="14"/>
      <x:c r="M1140" s="14"/>
      <x:c r="N1140" s="14"/>
      <x:c r="O1140" s="14"/>
      <x:c r="P1140" s="14" t="n">
        <x:v>10.87</x:v>
      </x:c>
      <x:c r="Q1140" s="14" t="n">
        <x:v>58.21</x:v>
      </x:c>
      <x:c r="R1140" s="15"/>
      <x:c r="S1140" s="15"/>
      <x:c r="T1140" s="15"/>
      <x:c r="U1140" s="16"/>
      <x:c r="V1140" t="str">
        <x:v>Tatra Real</x:v>
      </x:c>
      <x:c r="W1140" t="str">
        <x:v>Ružinov</x:v>
      </x:c>
      <x:c r="X1140" s="11" t="str">
        <x:v>Predaný</x:v>
      </x:c>
      <x:c r="Y1140" s="11" t="str">
        <x:v>https://www.galvania.sk/byty/</x:v>
      </x:c>
      <x:c r="Z1140" s="11" t="n">
        <x:v>46249.4134212037</x:v>
      </x:c>
      <x:c r="AA1140" s="11" t="n">
        <x:v>46254.51251577547</x:v>
      </x:c>
      <x:c r="AB1140" s="11" t="n">
        <x:v>46254.51251577547</x:v>
      </x:c>
      <x:c r="AC1140" t="str">
        <x:v>galvania_rezidencie</x:v>
      </x:c>
    </x:row>
    <x:row r="1141" ht="22" customHeight="1">
      <x:c r="A1141" t="str">
        <x:v>Galvania Rezidencie</x:v>
      </x:c>
      <x:c r="B1141" t="str">
        <x:v>C4.07</x:v>
      </x:c>
      <x:c r="C1141" t="str">
        <x:v>sold</x:v>
      </x:c>
      <x:c r="D1141" t="str">
        <x:v>present</x:v>
      </x:c>
      <x:c r="E1141" t="str">
        <x:v>baseline</x:v>
      </x:c>
      <x:c r="F1141" s="11" t="n">
        <x:v>46249.4134212037</x:v>
      </x:c>
      <x:c r="G1141" t="str">
        <x:v>Byt</x:v>
      </x:c>
      <x:c r="H1141" s="12" t="n">
        <x:v>2</x:v>
      </x:c>
      <x:c r="I1141" s="13" t="n">
        <x:v>4</x:v>
      </x:c>
      <x:c r="J1141" t="str">
        <x:v>C</x:v>
      </x:c>
      <x:c r="K1141" s="14" t="n">
        <x:v>47.34</x:v>
      </x:c>
      <x:c r="L1141" s="14"/>
      <x:c r="M1141" s="14"/>
      <x:c r="N1141" s="14"/>
      <x:c r="O1141" s="14"/>
      <x:c r="P1141" s="14" t="n">
        <x:v>10.87</x:v>
      </x:c>
      <x:c r="Q1141" s="14" t="n">
        <x:v>58.21</x:v>
      </x:c>
      <x:c r="R1141" s="15"/>
      <x:c r="S1141" s="15"/>
      <x:c r="T1141" s="15"/>
      <x:c r="U1141" s="16"/>
      <x:c r="V1141" t="str">
        <x:v>Tatra Real</x:v>
      </x:c>
      <x:c r="W1141" t="str">
        <x:v>Ružinov</x:v>
      </x:c>
      <x:c r="X1141" s="11" t="str">
        <x:v>Predaný</x:v>
      </x:c>
      <x:c r="Y1141" s="11" t="str">
        <x:v>https://www.galvania.sk/byty/</x:v>
      </x:c>
      <x:c r="Z1141" s="11" t="n">
        <x:v>46249.4134212037</x:v>
      </x:c>
      <x:c r="AA1141" s="11" t="n">
        <x:v>46254.51251577547</x:v>
      </x:c>
      <x:c r="AB1141" s="11" t="n">
        <x:v>46254.51251577547</x:v>
      </x:c>
      <x:c r="AC1141" t="str">
        <x:v>galvania_rezidencie</x:v>
      </x:c>
    </x:row>
    <x:row r="1142" ht="22" customHeight="1">
      <x:c r="A1142" t="str">
        <x:v>Galvania Rezidencie</x:v>
      </x:c>
      <x:c r="B1142" t="str">
        <x:v>C4.08</x:v>
      </x:c>
      <x:c r="C1142" t="str">
        <x:v>sold</x:v>
      </x:c>
      <x:c r="D1142" t="str">
        <x:v>present</x:v>
      </x:c>
      <x:c r="E1142" t="str">
        <x:v>baseline</x:v>
      </x:c>
      <x:c r="F1142" s="11" t="n">
        <x:v>46249.4134212037</x:v>
      </x:c>
      <x:c r="G1142" t="str">
        <x:v>Byt</x:v>
      </x:c>
      <x:c r="H1142" s="12" t="n">
        <x:v>2</x:v>
      </x:c>
      <x:c r="I1142" s="13" t="n">
        <x:v>4</x:v>
      </x:c>
      <x:c r="J1142" t="str">
        <x:v>C</x:v>
      </x:c>
      <x:c r="K1142" s="14" t="n">
        <x:v>47.34</x:v>
      </x:c>
      <x:c r="L1142" s="14"/>
      <x:c r="M1142" s="14"/>
      <x:c r="N1142" s="14"/>
      <x:c r="O1142" s="14"/>
      <x:c r="P1142" s="14" t="n">
        <x:v>10.87</x:v>
      </x:c>
      <x:c r="Q1142" s="14" t="n">
        <x:v>58.21</x:v>
      </x:c>
      <x:c r="R1142" s="15"/>
      <x:c r="S1142" s="15"/>
      <x:c r="T1142" s="15"/>
      <x:c r="U1142" s="16"/>
      <x:c r="V1142" t="str">
        <x:v>Tatra Real</x:v>
      </x:c>
      <x:c r="W1142" t="str">
        <x:v>Ružinov</x:v>
      </x:c>
      <x:c r="X1142" s="11" t="str">
        <x:v>Predaný</x:v>
      </x:c>
      <x:c r="Y1142" s="11" t="str">
        <x:v>https://www.galvania.sk/byty/</x:v>
      </x:c>
      <x:c r="Z1142" s="11" t="n">
        <x:v>46249.4134212037</x:v>
      </x:c>
      <x:c r="AA1142" s="11" t="n">
        <x:v>46254.51251577547</x:v>
      </x:c>
      <x:c r="AB1142" s="11" t="n">
        <x:v>46254.51251577547</x:v>
      </x:c>
      <x:c r="AC1142" t="str">
        <x:v>galvania_rezidencie</x:v>
      </x:c>
    </x:row>
    <x:row r="1143" ht="22" customHeight="1">
      <x:c r="A1143" t="str">
        <x:v>Galvania Rezidencie</x:v>
      </x:c>
      <x:c r="B1143" t="str">
        <x:v>C4.09</x:v>
      </x:c>
      <x:c r="C1143" t="str">
        <x:v>sold</x:v>
      </x:c>
      <x:c r="D1143" t="str">
        <x:v>present</x:v>
      </x:c>
      <x:c r="E1143" t="str">
        <x:v>baseline</x:v>
      </x:c>
      <x:c r="F1143" s="11" t="n">
        <x:v>46249.4134212037</x:v>
      </x:c>
      <x:c r="G1143" t="str">
        <x:v>Byt</x:v>
      </x:c>
      <x:c r="H1143" s="12" t="n">
        <x:v>2</x:v>
      </x:c>
      <x:c r="I1143" s="13" t="n">
        <x:v>4</x:v>
      </x:c>
      <x:c r="J1143" t="str">
        <x:v>C</x:v>
      </x:c>
      <x:c r="K1143" s="14" t="n">
        <x:v>47.84</x:v>
      </x:c>
      <x:c r="L1143" s="14"/>
      <x:c r="M1143" s="14"/>
      <x:c r="N1143" s="14"/>
      <x:c r="O1143" s="14"/>
      <x:c r="P1143" s="14" t="n">
        <x:v>11.01</x:v>
      </x:c>
      <x:c r="Q1143" s="14" t="n">
        <x:v>58.85</x:v>
      </x:c>
      <x:c r="R1143" s="15"/>
      <x:c r="S1143" s="15"/>
      <x:c r="T1143" s="15"/>
      <x:c r="U1143" s="16"/>
      <x:c r="V1143" t="str">
        <x:v>Tatra Real</x:v>
      </x:c>
      <x:c r="W1143" t="str">
        <x:v>Ružinov</x:v>
      </x:c>
      <x:c r="X1143" s="11" t="str">
        <x:v>Predaný</x:v>
      </x:c>
      <x:c r="Y1143" s="11" t="str">
        <x:v>https://www.galvania.sk/byty/</x:v>
      </x:c>
      <x:c r="Z1143" s="11" t="n">
        <x:v>46249.4134212037</x:v>
      </x:c>
      <x:c r="AA1143" s="11" t="n">
        <x:v>46254.51251577547</x:v>
      </x:c>
      <x:c r="AB1143" s="11" t="n">
        <x:v>46254.51251577547</x:v>
      </x:c>
      <x:c r="AC1143" t="str">
        <x:v>galvania_rezidencie</x:v>
      </x:c>
    </x:row>
    <x:row r="1144" ht="22" customHeight="1">
      <x:c r="A1144" t="str">
        <x:v>Galvania Rezidencie</x:v>
      </x:c>
      <x:c r="B1144" t="str">
        <x:v>C4.10</x:v>
      </x:c>
      <x:c r="C1144" t="str">
        <x:v>sold</x:v>
      </x:c>
      <x:c r="D1144" t="str">
        <x:v>present</x:v>
      </x:c>
      <x:c r="E1144" t="str">
        <x:v>baseline</x:v>
      </x:c>
      <x:c r="F1144" s="11" t="n">
        <x:v>46249.4134212037</x:v>
      </x:c>
      <x:c r="G1144" t="str">
        <x:v>Byt</x:v>
      </x:c>
      <x:c r="H1144" s="12" t="n">
        <x:v>2</x:v>
      </x:c>
      <x:c r="I1144" s="13" t="n">
        <x:v>4</x:v>
      </x:c>
      <x:c r="J1144" t="str">
        <x:v>C</x:v>
      </x:c>
      <x:c r="K1144" s="14" t="n">
        <x:v>47.26</x:v>
      </x:c>
      <x:c r="L1144" s="14"/>
      <x:c r="M1144" s="14"/>
      <x:c r="N1144" s="14"/>
      <x:c r="O1144" s="14"/>
      <x:c r="P1144" s="14" t="n">
        <x:v>3.52</x:v>
      </x:c>
      <x:c r="Q1144" s="14" t="n">
        <x:v>50.78</x:v>
      </x:c>
      <x:c r="R1144" s="15"/>
      <x:c r="S1144" s="15"/>
      <x:c r="T1144" s="15"/>
      <x:c r="U1144" s="16"/>
      <x:c r="V1144" t="str">
        <x:v>Tatra Real</x:v>
      </x:c>
      <x:c r="W1144" t="str">
        <x:v>Ružinov</x:v>
      </x:c>
      <x:c r="X1144" s="11" t="str">
        <x:v>Predaný</x:v>
      </x:c>
      <x:c r="Y1144" s="11" t="str">
        <x:v>https://www.galvania.sk/byty/</x:v>
      </x:c>
      <x:c r="Z1144" s="11" t="n">
        <x:v>46249.4134212037</x:v>
      </x:c>
      <x:c r="AA1144" s="11" t="n">
        <x:v>46254.51251577547</x:v>
      </x:c>
      <x:c r="AB1144" s="11" t="n">
        <x:v>46254.51251577547</x:v>
      </x:c>
      <x:c r="AC1144" t="str">
        <x:v>galvania_rezidencie</x:v>
      </x:c>
    </x:row>
    <x:row r="1145" ht="22" customHeight="1">
      <x:c r="A1145" t="str">
        <x:v>Galvania Rezidencie</x:v>
      </x:c>
      <x:c r="B1145" t="str">
        <x:v>C4.11</x:v>
      </x:c>
      <x:c r="C1145" t="str">
        <x:v>sold</x:v>
      </x:c>
      <x:c r="D1145" t="str">
        <x:v>present</x:v>
      </x:c>
      <x:c r="E1145" t="str">
        <x:v>baseline</x:v>
      </x:c>
      <x:c r="F1145" s="11" t="n">
        <x:v>46249.4134212037</x:v>
      </x:c>
      <x:c r="G1145" t="str">
        <x:v>Byt</x:v>
      </x:c>
      <x:c r="H1145" s="12" t="n">
        <x:v>2</x:v>
      </x:c>
      <x:c r="I1145" s="13" t="n">
        <x:v>4</x:v>
      </x:c>
      <x:c r="J1145" t="str">
        <x:v>C</x:v>
      </x:c>
      <x:c r="K1145" s="14" t="n">
        <x:v>47.45</x:v>
      </x:c>
      <x:c r="L1145" s="14"/>
      <x:c r="M1145" s="14"/>
      <x:c r="N1145" s="14"/>
      <x:c r="O1145" s="14"/>
      <x:c r="P1145" s="14" t="n">
        <x:v>3.52</x:v>
      </x:c>
      <x:c r="Q1145" s="14" t="n">
        <x:v>50.97</x:v>
      </x:c>
      <x:c r="R1145" s="15"/>
      <x:c r="S1145" s="15"/>
      <x:c r="T1145" s="15"/>
      <x:c r="U1145" s="16"/>
      <x:c r="V1145" t="str">
        <x:v>Tatra Real</x:v>
      </x:c>
      <x:c r="W1145" t="str">
        <x:v>Ružinov</x:v>
      </x:c>
      <x:c r="X1145" s="11" t="str">
        <x:v>Predaný</x:v>
      </x:c>
      <x:c r="Y1145" s="11" t="str">
        <x:v>https://www.galvania.sk/byty/</x:v>
      </x:c>
      <x:c r="Z1145" s="11" t="n">
        <x:v>46249.4134212037</x:v>
      </x:c>
      <x:c r="AA1145" s="11" t="n">
        <x:v>46254.51251577547</x:v>
      </x:c>
      <x:c r="AB1145" s="11" t="n">
        <x:v>46254.51251577547</x:v>
      </x:c>
      <x:c r="AC1145" t="str">
        <x:v>galvania_rezidencie</x:v>
      </x:c>
    </x:row>
    <x:row r="1146" ht="22" customHeight="1">
      <x:c r="A1146" t="str">
        <x:v>Galvania Rezidencie</x:v>
      </x:c>
      <x:c r="B1146" t="str">
        <x:v>C5.01</x:v>
      </x:c>
      <x:c r="C1146" t="str">
        <x:v>sold</x:v>
      </x:c>
      <x:c r="D1146" t="str">
        <x:v>present</x:v>
      </x:c>
      <x:c r="E1146" t="str">
        <x:v>baseline</x:v>
      </x:c>
      <x:c r="F1146" s="11" t="n">
        <x:v>46249.4134212037</x:v>
      </x:c>
      <x:c r="G1146" t="str">
        <x:v>Byt</x:v>
      </x:c>
      <x:c r="H1146" s="12" t="n">
        <x:v>2</x:v>
      </x:c>
      <x:c r="I1146" s="13" t="n">
        <x:v>5</x:v>
      </x:c>
      <x:c r="J1146" t="str">
        <x:v>C</x:v>
      </x:c>
      <x:c r="K1146" s="14" t="n">
        <x:v>47.37</x:v>
      </x:c>
      <x:c r="L1146" s="14"/>
      <x:c r="M1146" s="14"/>
      <x:c r="N1146" s="14"/>
      <x:c r="O1146" s="14"/>
      <x:c r="P1146" s="14" t="n">
        <x:v>10.18</x:v>
      </x:c>
      <x:c r="Q1146" s="14" t="n">
        <x:v>57.55</x:v>
      </x:c>
      <x:c r="R1146" s="15"/>
      <x:c r="S1146" s="15"/>
      <x:c r="T1146" s="15"/>
      <x:c r="U1146" s="16"/>
      <x:c r="V1146" t="str">
        <x:v>Tatra Real</x:v>
      </x:c>
      <x:c r="W1146" t="str">
        <x:v>Ružinov</x:v>
      </x:c>
      <x:c r="X1146" s="11" t="str">
        <x:v>Predaný</x:v>
      </x:c>
      <x:c r="Y1146" s="11" t="str">
        <x:v>https://www.galvania.sk/byty/</x:v>
      </x:c>
      <x:c r="Z1146" s="11" t="n">
        <x:v>46249.4134212037</x:v>
      </x:c>
      <x:c r="AA1146" s="11" t="n">
        <x:v>46254.51251577547</x:v>
      </x:c>
      <x:c r="AB1146" s="11" t="n">
        <x:v>46254.51251577547</x:v>
      </x:c>
      <x:c r="AC1146" t="str">
        <x:v>galvania_rezidencie</x:v>
      </x:c>
    </x:row>
    <x:row r="1147" ht="22" customHeight="1">
      <x:c r="A1147" t="str">
        <x:v>Galvania Rezidencie</x:v>
      </x:c>
      <x:c r="B1147" t="str">
        <x:v>C5.02</x:v>
      </x:c>
      <x:c r="C1147" t="str">
        <x:v>sold</x:v>
      </x:c>
      <x:c r="D1147" t="str">
        <x:v>present</x:v>
      </x:c>
      <x:c r="E1147" t="str">
        <x:v>baseline</x:v>
      </x:c>
      <x:c r="F1147" s="11" t="n">
        <x:v>46249.4134212037</x:v>
      </x:c>
      <x:c r="G1147" t="str">
        <x:v>Byt</x:v>
      </x:c>
      <x:c r="H1147" s="12" t="n">
        <x:v>2</x:v>
      </x:c>
      <x:c r="I1147" s="13" t="n">
        <x:v>5</x:v>
      </x:c>
      <x:c r="J1147" t="str">
        <x:v>C</x:v>
      </x:c>
      <x:c r="K1147" s="14" t="n">
        <x:v>47.15</x:v>
      </x:c>
      <x:c r="L1147" s="14"/>
      <x:c r="M1147" s="14"/>
      <x:c r="N1147" s="14"/>
      <x:c r="O1147" s="14"/>
      <x:c r="P1147" s="14" t="n">
        <x:v>10.74</x:v>
      </x:c>
      <x:c r="Q1147" s="14" t="n">
        <x:v>57.89</x:v>
      </x:c>
      <x:c r="R1147" s="15"/>
      <x:c r="S1147" s="15"/>
      <x:c r="T1147" s="15"/>
      <x:c r="U1147" s="16"/>
      <x:c r="V1147" t="str">
        <x:v>Tatra Real</x:v>
      </x:c>
      <x:c r="W1147" t="str">
        <x:v>Ružinov</x:v>
      </x:c>
      <x:c r="X1147" s="11" t="str">
        <x:v>Predaný</x:v>
      </x:c>
      <x:c r="Y1147" s="11" t="str">
        <x:v>https://www.galvania.sk/byty/</x:v>
      </x:c>
      <x:c r="Z1147" s="11" t="n">
        <x:v>46249.4134212037</x:v>
      </x:c>
      <x:c r="AA1147" s="11" t="n">
        <x:v>46254.51251577547</x:v>
      </x:c>
      <x:c r="AB1147" s="11" t="n">
        <x:v>46254.51251577547</x:v>
      </x:c>
      <x:c r="AC1147" t="str">
        <x:v>galvania_rezidencie</x:v>
      </x:c>
    </x:row>
    <x:row r="1148" ht="22" customHeight="1">
      <x:c r="A1148" t="str">
        <x:v>Galvania Rezidencie</x:v>
      </x:c>
      <x:c r="B1148" t="str">
        <x:v>C5.03</x:v>
      </x:c>
      <x:c r="C1148" t="str">
        <x:v>sold</x:v>
      </x:c>
      <x:c r="D1148" t="str">
        <x:v>present</x:v>
      </x:c>
      <x:c r="E1148" t="str">
        <x:v>baseline</x:v>
      </x:c>
      <x:c r="F1148" s="11" t="n">
        <x:v>46249.4134212037</x:v>
      </x:c>
      <x:c r="G1148" t="str">
        <x:v>Byt</x:v>
      </x:c>
      <x:c r="H1148" s="12" t="n">
        <x:v>2</x:v>
      </x:c>
      <x:c r="I1148" s="13" t="n">
        <x:v>5</x:v>
      </x:c>
      <x:c r="J1148" t="str">
        <x:v>C</x:v>
      </x:c>
      <x:c r="K1148" s="14" t="n">
        <x:v>53.3</x:v>
      </x:c>
      <x:c r="L1148" s="14"/>
      <x:c r="M1148" s="14"/>
      <x:c r="N1148" s="14"/>
      <x:c r="O1148" s="14"/>
      <x:c r="P1148" s="14" t="n">
        <x:v>11.72</x:v>
      </x:c>
      <x:c r="Q1148" s="14" t="n">
        <x:v>65.02</x:v>
      </x:c>
      <x:c r="R1148" s="15"/>
      <x:c r="S1148" s="15"/>
      <x:c r="T1148" s="15"/>
      <x:c r="U1148" s="16"/>
      <x:c r="V1148" t="str">
        <x:v>Tatra Real</x:v>
      </x:c>
      <x:c r="W1148" t="str">
        <x:v>Ružinov</x:v>
      </x:c>
      <x:c r="X1148" s="11" t="str">
        <x:v>Predaný</x:v>
      </x:c>
      <x:c r="Y1148" s="11" t="str">
        <x:v>https://www.galvania.sk/byty/</x:v>
      </x:c>
      <x:c r="Z1148" s="11" t="n">
        <x:v>46249.4134212037</x:v>
      </x:c>
      <x:c r="AA1148" s="11" t="n">
        <x:v>46254.51251577547</x:v>
      </x:c>
      <x:c r="AB1148" s="11" t="n">
        <x:v>46254.51251577547</x:v>
      </x:c>
      <x:c r="AC1148" t="str">
        <x:v>galvania_rezidencie</x:v>
      </x:c>
    </x:row>
    <x:row r="1149" ht="22" customHeight="1">
      <x:c r="A1149" t="str">
        <x:v>Galvania Rezidencie</x:v>
      </x:c>
      <x:c r="B1149" t="str">
        <x:v>C5.04</x:v>
      </x:c>
      <x:c r="C1149" t="str">
        <x:v>reserved</x:v>
      </x:c>
      <x:c r="D1149" t="str">
        <x:v>present</x:v>
      </x:c>
      <x:c r="E1149" t="str">
        <x:v>baseline</x:v>
      </x:c>
      <x:c r="F1149" s="11" t="n">
        <x:v>46249.4134212037</x:v>
      </x:c>
      <x:c r="G1149" t="str">
        <x:v>Byt</x:v>
      </x:c>
      <x:c r="H1149" s="12" t="n">
        <x:v>2</x:v>
      </x:c>
      <x:c r="I1149" s="13" t="n">
        <x:v>5</x:v>
      </x:c>
      <x:c r="J1149" t="str">
        <x:v>C</x:v>
      </x:c>
      <x:c r="K1149" s="14" t="n">
        <x:v>53.21</x:v>
      </x:c>
      <x:c r="L1149" s="14"/>
      <x:c r="M1149" s="14"/>
      <x:c r="N1149" s="14"/>
      <x:c r="O1149" s="14"/>
      <x:c r="P1149" s="14" t="n">
        <x:v>8.72</x:v>
      </x:c>
      <x:c r="Q1149" s="14" t="n">
        <x:v>61.93</x:v>
      </x:c>
      <x:c r="R1149" s="15" t="n">
        <x:v>268000</x:v>
      </x:c>
      <x:c r="S1149" s="15" t="n">
        <x:v>268000</x:v>
      </x:c>
      <x:c r="T1149" s="15"/>
      <x:c r="U1149" s="16" t="n">
        <x:v>5036.65</x:v>
      </x:c>
      <x:c r="V1149" t="str">
        <x:v>Tatra Real</x:v>
      </x:c>
      <x:c r="W1149" t="str">
        <x:v>Ružinov</x:v>
      </x:c>
      <x:c r="X1149" s="11" t="str">
        <x:v>Rezervovaný</x:v>
      </x:c>
      <x:c r="Y1149" s="11" t="str">
        <x:v>https://www.galvania.sk/byty/mam-zaujem-o-byt-C5.04/</x:v>
      </x:c>
      <x:c r="Z1149" s="11" t="n">
        <x:v>46249.4134212037</x:v>
      </x:c>
      <x:c r="AA1149" s="11" t="n">
        <x:v>46254.51251577547</x:v>
      </x:c>
      <x:c r="AB1149" s="11" t="n">
        <x:v>46254.51251577547</x:v>
      </x:c>
      <x:c r="AC1149" t="str">
        <x:v>galvania_rezidencie</x:v>
      </x:c>
    </x:row>
    <x:row r="1150" ht="22" customHeight="1">
      <x:c r="A1150" t="str">
        <x:v>Galvania Rezidencie</x:v>
      </x:c>
      <x:c r="B1150" t="str">
        <x:v>C5.05</x:v>
      </x:c>
      <x:c r="C1150" t="str">
        <x:v>sold</x:v>
      </x:c>
      <x:c r="D1150" t="str">
        <x:v>present</x:v>
      </x:c>
      <x:c r="E1150" t="str">
        <x:v>baseline</x:v>
      </x:c>
      <x:c r="F1150" s="11" t="n">
        <x:v>46249.4134212037</x:v>
      </x:c>
      <x:c r="G1150" t="str">
        <x:v>Byt</x:v>
      </x:c>
      <x:c r="H1150" s="12" t="n">
        <x:v>2</x:v>
      </x:c>
      <x:c r="I1150" s="13" t="n">
        <x:v>5</x:v>
      </x:c>
      <x:c r="J1150" t="str">
        <x:v>C</x:v>
      </x:c>
      <x:c r="K1150" s="14" t="n">
        <x:v>47.34</x:v>
      </x:c>
      <x:c r="L1150" s="14"/>
      <x:c r="M1150" s="14"/>
      <x:c r="N1150" s="14"/>
      <x:c r="O1150" s="14"/>
      <x:c r="P1150" s="14" t="n">
        <x:v>10.64</x:v>
      </x:c>
      <x:c r="Q1150" s="14" t="n">
        <x:v>57.98</x:v>
      </x:c>
      <x:c r="R1150" s="15"/>
      <x:c r="S1150" s="15"/>
      <x:c r="T1150" s="15"/>
      <x:c r="U1150" s="16"/>
      <x:c r="V1150" t="str">
        <x:v>Tatra Real</x:v>
      </x:c>
      <x:c r="W1150" t="str">
        <x:v>Ružinov</x:v>
      </x:c>
      <x:c r="X1150" s="11" t="str">
        <x:v>Predaný</x:v>
      </x:c>
      <x:c r="Y1150" s="11" t="str">
        <x:v>https://www.galvania.sk/byty/</x:v>
      </x:c>
      <x:c r="Z1150" s="11" t="n">
        <x:v>46249.4134212037</x:v>
      </x:c>
      <x:c r="AA1150" s="11" t="n">
        <x:v>46254.51251577547</x:v>
      </x:c>
      <x:c r="AB1150" s="11" t="n">
        <x:v>46254.51251577547</x:v>
      </x:c>
      <x:c r="AC1150" t="str">
        <x:v>galvania_rezidencie</x:v>
      </x:c>
    </x:row>
    <x:row r="1151" ht="22" customHeight="1">
      <x:c r="A1151" t="str">
        <x:v>Galvania Rezidencie</x:v>
      </x:c>
      <x:c r="B1151" t="str">
        <x:v>C5.06</x:v>
      </x:c>
      <x:c r="C1151" t="str">
        <x:v>sold</x:v>
      </x:c>
      <x:c r="D1151" t="str">
        <x:v>present</x:v>
      </x:c>
      <x:c r="E1151" t="str">
        <x:v>baseline</x:v>
      </x:c>
      <x:c r="F1151" s="11" t="n">
        <x:v>46249.4134212037</x:v>
      </x:c>
      <x:c r="G1151" t="str">
        <x:v>Byt</x:v>
      </x:c>
      <x:c r="H1151" s="12" t="n">
        <x:v>2</x:v>
      </x:c>
      <x:c r="I1151" s="13" t="n">
        <x:v>5</x:v>
      </x:c>
      <x:c r="J1151" t="str">
        <x:v>C</x:v>
      </x:c>
      <x:c r="K1151" s="14" t="n">
        <x:v>47.33</x:v>
      </x:c>
      <x:c r="L1151" s="14"/>
      <x:c r="M1151" s="14"/>
      <x:c r="N1151" s="14"/>
      <x:c r="O1151" s="14"/>
      <x:c r="P1151" s="14" t="n">
        <x:v>10.87</x:v>
      </x:c>
      <x:c r="Q1151" s="14" t="n">
        <x:v>58.2</x:v>
      </x:c>
      <x:c r="R1151" s="15"/>
      <x:c r="S1151" s="15"/>
      <x:c r="T1151" s="15"/>
      <x:c r="U1151" s="16"/>
      <x:c r="V1151" t="str">
        <x:v>Tatra Real</x:v>
      </x:c>
      <x:c r="W1151" t="str">
        <x:v>Ružinov</x:v>
      </x:c>
      <x:c r="X1151" s="11" t="str">
        <x:v>Predaný</x:v>
      </x:c>
      <x:c r="Y1151" s="11" t="str">
        <x:v>https://www.galvania.sk/byty/</x:v>
      </x:c>
      <x:c r="Z1151" s="11" t="n">
        <x:v>46249.4134212037</x:v>
      </x:c>
      <x:c r="AA1151" s="11" t="n">
        <x:v>46254.51251577547</x:v>
      </x:c>
      <x:c r="AB1151" s="11" t="n">
        <x:v>46254.51251577547</x:v>
      </x:c>
      <x:c r="AC1151" t="str">
        <x:v>galvania_rezidencie</x:v>
      </x:c>
    </x:row>
    <x:row r="1152" ht="22" customHeight="1">
      <x:c r="A1152" t="str">
        <x:v>Galvania Rezidencie</x:v>
      </x:c>
      <x:c r="B1152" t="str">
        <x:v>C5.07</x:v>
      </x:c>
      <x:c r="C1152" t="str">
        <x:v>sold</x:v>
      </x:c>
      <x:c r="D1152" t="str">
        <x:v>present</x:v>
      </x:c>
      <x:c r="E1152" t="str">
        <x:v>baseline</x:v>
      </x:c>
      <x:c r="F1152" s="11" t="n">
        <x:v>46249.4134212037</x:v>
      </x:c>
      <x:c r="G1152" t="str">
        <x:v>Byt</x:v>
      </x:c>
      <x:c r="H1152" s="12" t="n">
        <x:v>2</x:v>
      </x:c>
      <x:c r="I1152" s="13" t="n">
        <x:v>5</x:v>
      </x:c>
      <x:c r="J1152" t="str">
        <x:v>C</x:v>
      </x:c>
      <x:c r="K1152" s="14" t="n">
        <x:v>47.34</x:v>
      </x:c>
      <x:c r="L1152" s="14"/>
      <x:c r="M1152" s="14"/>
      <x:c r="N1152" s="14"/>
      <x:c r="O1152" s="14"/>
      <x:c r="P1152" s="14" t="n">
        <x:v>10.87</x:v>
      </x:c>
      <x:c r="Q1152" s="14" t="n">
        <x:v>58.21</x:v>
      </x:c>
      <x:c r="R1152" s="15"/>
      <x:c r="S1152" s="15"/>
      <x:c r="T1152" s="15"/>
      <x:c r="U1152" s="16"/>
      <x:c r="V1152" t="str">
        <x:v>Tatra Real</x:v>
      </x:c>
      <x:c r="W1152" t="str">
        <x:v>Ružinov</x:v>
      </x:c>
      <x:c r="X1152" s="11" t="str">
        <x:v>Predaný</x:v>
      </x:c>
      <x:c r="Y1152" s="11" t="str">
        <x:v>https://www.galvania.sk/byty/</x:v>
      </x:c>
      <x:c r="Z1152" s="11" t="n">
        <x:v>46249.4134212037</x:v>
      </x:c>
      <x:c r="AA1152" s="11" t="n">
        <x:v>46254.51251577547</x:v>
      </x:c>
      <x:c r="AB1152" s="11" t="n">
        <x:v>46254.51251577547</x:v>
      </x:c>
      <x:c r="AC1152" t="str">
        <x:v>galvania_rezidencie</x:v>
      </x:c>
    </x:row>
    <x:row r="1153" ht="22" customHeight="1">
      <x:c r="A1153" t="str">
        <x:v>Galvania Rezidencie</x:v>
      </x:c>
      <x:c r="B1153" t="str">
        <x:v>C5.08</x:v>
      </x:c>
      <x:c r="C1153" t="str">
        <x:v>sold</x:v>
      </x:c>
      <x:c r="D1153" t="str">
        <x:v>present</x:v>
      </x:c>
      <x:c r="E1153" t="str">
        <x:v>baseline</x:v>
      </x:c>
      <x:c r="F1153" s="11" t="n">
        <x:v>46249.4134212037</x:v>
      </x:c>
      <x:c r="G1153" t="str">
        <x:v>Byt</x:v>
      </x:c>
      <x:c r="H1153" s="12" t="n">
        <x:v>2</x:v>
      </x:c>
      <x:c r="I1153" s="13" t="n">
        <x:v>5</x:v>
      </x:c>
      <x:c r="J1153" t="str">
        <x:v>C</x:v>
      </x:c>
      <x:c r="K1153" s="14" t="n">
        <x:v>47.34</x:v>
      </x:c>
      <x:c r="L1153" s="14"/>
      <x:c r="M1153" s="14"/>
      <x:c r="N1153" s="14"/>
      <x:c r="O1153" s="14"/>
      <x:c r="P1153" s="14" t="n">
        <x:v>10.87</x:v>
      </x:c>
      <x:c r="Q1153" s="14" t="n">
        <x:v>58.21</x:v>
      </x:c>
      <x:c r="R1153" s="15"/>
      <x:c r="S1153" s="15"/>
      <x:c r="T1153" s="15"/>
      <x:c r="U1153" s="16"/>
      <x:c r="V1153" t="str">
        <x:v>Tatra Real</x:v>
      </x:c>
      <x:c r="W1153" t="str">
        <x:v>Ružinov</x:v>
      </x:c>
      <x:c r="X1153" s="11" t="str">
        <x:v>Predaný</x:v>
      </x:c>
      <x:c r="Y1153" s="11" t="str">
        <x:v>https://www.galvania.sk/byty/</x:v>
      </x:c>
      <x:c r="Z1153" s="11" t="n">
        <x:v>46249.4134212037</x:v>
      </x:c>
      <x:c r="AA1153" s="11" t="n">
        <x:v>46254.51251577547</x:v>
      </x:c>
      <x:c r="AB1153" s="11" t="n">
        <x:v>46254.51251577547</x:v>
      </x:c>
      <x:c r="AC1153" t="str">
        <x:v>galvania_rezidencie</x:v>
      </x:c>
    </x:row>
    <x:row r="1154" ht="22" customHeight="1">
      <x:c r="A1154" t="str">
        <x:v>Galvania Rezidencie</x:v>
      </x:c>
      <x:c r="B1154" t="str">
        <x:v>C5.09</x:v>
      </x:c>
      <x:c r="C1154" t="str">
        <x:v>sold</x:v>
      </x:c>
      <x:c r="D1154" t="str">
        <x:v>present</x:v>
      </x:c>
      <x:c r="E1154" t="str">
        <x:v>baseline</x:v>
      </x:c>
      <x:c r="F1154" s="11" t="n">
        <x:v>46249.4134212037</x:v>
      </x:c>
      <x:c r="G1154" t="str">
        <x:v>Byt</x:v>
      </x:c>
      <x:c r="H1154" s="12" t="n">
        <x:v>2</x:v>
      </x:c>
      <x:c r="I1154" s="13" t="n">
        <x:v>5</x:v>
      </x:c>
      <x:c r="J1154" t="str">
        <x:v>C</x:v>
      </x:c>
      <x:c r="K1154" s="14" t="n">
        <x:v>47.84</x:v>
      </x:c>
      <x:c r="L1154" s="14"/>
      <x:c r="M1154" s="14"/>
      <x:c r="N1154" s="14"/>
      <x:c r="O1154" s="14"/>
      <x:c r="P1154" s="14" t="n">
        <x:v>11.01</x:v>
      </x:c>
      <x:c r="Q1154" s="14" t="n">
        <x:v>58.85</x:v>
      </x:c>
      <x:c r="R1154" s="15"/>
      <x:c r="S1154" s="15"/>
      <x:c r="T1154" s="15"/>
      <x:c r="U1154" s="16"/>
      <x:c r="V1154" t="str">
        <x:v>Tatra Real</x:v>
      </x:c>
      <x:c r="W1154" t="str">
        <x:v>Ružinov</x:v>
      </x:c>
      <x:c r="X1154" s="11" t="str">
        <x:v>Predaný</x:v>
      </x:c>
      <x:c r="Y1154" s="11" t="str">
        <x:v>https://www.galvania.sk/byty/</x:v>
      </x:c>
      <x:c r="Z1154" s="11" t="n">
        <x:v>46249.4134212037</x:v>
      </x:c>
      <x:c r="AA1154" s="11" t="n">
        <x:v>46254.51251577547</x:v>
      </x:c>
      <x:c r="AB1154" s="11" t="n">
        <x:v>46254.51251577547</x:v>
      </x:c>
      <x:c r="AC1154" t="str">
        <x:v>galvania_rezidencie</x:v>
      </x:c>
    </x:row>
    <x:row r="1155" ht="22" customHeight="1">
      <x:c r="A1155" t="str">
        <x:v>Galvania Rezidencie</x:v>
      </x:c>
      <x:c r="B1155" t="str">
        <x:v>C5.10</x:v>
      </x:c>
      <x:c r="C1155" t="str">
        <x:v>sold</x:v>
      </x:c>
      <x:c r="D1155" t="str">
        <x:v>present</x:v>
      </x:c>
      <x:c r="E1155" t="str">
        <x:v>baseline</x:v>
      </x:c>
      <x:c r="F1155" s="11" t="n">
        <x:v>46249.4134212037</x:v>
      </x:c>
      <x:c r="G1155" t="str">
        <x:v>Byt</x:v>
      </x:c>
      <x:c r="H1155" s="12" t="n">
        <x:v>2</x:v>
      </x:c>
      <x:c r="I1155" s="13" t="n">
        <x:v>5</x:v>
      </x:c>
      <x:c r="J1155" t="str">
        <x:v>C</x:v>
      </x:c>
      <x:c r="K1155" s="14" t="n">
        <x:v>47.23</x:v>
      </x:c>
      <x:c r="L1155" s="14"/>
      <x:c r="M1155" s="14"/>
      <x:c r="N1155" s="14"/>
      <x:c r="O1155" s="14"/>
      <x:c r="P1155" s="14" t="n">
        <x:v>3.52</x:v>
      </x:c>
      <x:c r="Q1155" s="14" t="n">
        <x:v>50.75</x:v>
      </x:c>
      <x:c r="R1155" s="15"/>
      <x:c r="S1155" s="15"/>
      <x:c r="T1155" s="15"/>
      <x:c r="U1155" s="16"/>
      <x:c r="V1155" t="str">
        <x:v>Tatra Real</x:v>
      </x:c>
      <x:c r="W1155" t="str">
        <x:v>Ružinov</x:v>
      </x:c>
      <x:c r="X1155" s="11" t="str">
        <x:v>Predaný</x:v>
      </x:c>
      <x:c r="Y1155" s="11" t="str">
        <x:v>https://www.galvania.sk/byty/</x:v>
      </x:c>
      <x:c r="Z1155" s="11" t="n">
        <x:v>46249.4134212037</x:v>
      </x:c>
      <x:c r="AA1155" s="11" t="n">
        <x:v>46254.51251577547</x:v>
      </x:c>
      <x:c r="AB1155" s="11" t="n">
        <x:v>46254.51251577547</x:v>
      </x:c>
      <x:c r="AC1155" t="str">
        <x:v>galvania_rezidencie</x:v>
      </x:c>
    </x:row>
    <x:row r="1156" ht="22" customHeight="1">
      <x:c r="A1156" t="str">
        <x:v>Galvania Rezidencie</x:v>
      </x:c>
      <x:c r="B1156" t="str">
        <x:v>C5.11</x:v>
      </x:c>
      <x:c r="C1156" t="str">
        <x:v>sold</x:v>
      </x:c>
      <x:c r="D1156" t="str">
        <x:v>present</x:v>
      </x:c>
      <x:c r="E1156" t="str">
        <x:v>baseline</x:v>
      </x:c>
      <x:c r="F1156" s="11" t="n">
        <x:v>46249.4134212037</x:v>
      </x:c>
      <x:c r="G1156" t="str">
        <x:v>Byt</x:v>
      </x:c>
      <x:c r="H1156" s="12" t="n">
        <x:v>2</x:v>
      </x:c>
      <x:c r="I1156" s="13" t="n">
        <x:v>5</x:v>
      </x:c>
      <x:c r="J1156" t="str">
        <x:v>C</x:v>
      </x:c>
      <x:c r="K1156" s="14" t="n">
        <x:v>47.41</x:v>
      </x:c>
      <x:c r="L1156" s="14"/>
      <x:c r="M1156" s="14"/>
      <x:c r="N1156" s="14"/>
      <x:c r="O1156" s="14"/>
      <x:c r="P1156" s="14" t="n">
        <x:v>3.52</x:v>
      </x:c>
      <x:c r="Q1156" s="14" t="n">
        <x:v>50.93</x:v>
      </x:c>
      <x:c r="R1156" s="15"/>
      <x:c r="S1156" s="15"/>
      <x:c r="T1156" s="15"/>
      <x:c r="U1156" s="16"/>
      <x:c r="V1156" t="str">
        <x:v>Tatra Real</x:v>
      </x:c>
      <x:c r="W1156" t="str">
        <x:v>Ružinov</x:v>
      </x:c>
      <x:c r="X1156" s="11" t="str">
        <x:v>Predaný</x:v>
      </x:c>
      <x:c r="Y1156" s="11" t="str">
        <x:v>https://www.galvania.sk/byty/</x:v>
      </x:c>
      <x:c r="Z1156" s="11" t="n">
        <x:v>46249.4134212037</x:v>
      </x:c>
      <x:c r="AA1156" s="11" t="n">
        <x:v>46254.51251577547</x:v>
      </x:c>
      <x:c r="AB1156" s="11" t="n">
        <x:v>46254.51251577547</x:v>
      </x:c>
      <x:c r="AC1156" t="str">
        <x:v>galvania_rezidencie</x:v>
      </x:c>
    </x:row>
    <x:row r="1157" ht="22" customHeight="1">
      <x:c r="A1157" t="str">
        <x:v>Galvania Rezidencie</x:v>
      </x:c>
      <x:c r="B1157" t="str">
        <x:v>C6.01</x:v>
      </x:c>
      <x:c r="C1157" t="str">
        <x:v>sold</x:v>
      </x:c>
      <x:c r="D1157" t="str">
        <x:v>present</x:v>
      </x:c>
      <x:c r="E1157" t="str">
        <x:v>baseline</x:v>
      </x:c>
      <x:c r="F1157" s="11" t="n">
        <x:v>46249.4134212037</x:v>
      </x:c>
      <x:c r="G1157" t="str">
        <x:v>Byt</x:v>
      </x:c>
      <x:c r="H1157" s="12" t="n">
        <x:v>2</x:v>
      </x:c>
      <x:c r="I1157" s="13" t="n">
        <x:v>6</x:v>
      </x:c>
      <x:c r="J1157" t="str">
        <x:v>C</x:v>
      </x:c>
      <x:c r="K1157" s="14" t="n">
        <x:v>47.61</x:v>
      </x:c>
      <x:c r="L1157" s="14"/>
      <x:c r="M1157" s="14"/>
      <x:c r="N1157" s="14"/>
      <x:c r="O1157" s="14"/>
      <x:c r="P1157" s="14" t="n">
        <x:v>10.18</x:v>
      </x:c>
      <x:c r="Q1157" s="14" t="n">
        <x:v>57.79</x:v>
      </x:c>
      <x:c r="R1157" s="15"/>
      <x:c r="S1157" s="15"/>
      <x:c r="T1157" s="15"/>
      <x:c r="U1157" s="16"/>
      <x:c r="V1157" t="str">
        <x:v>Tatra Real</x:v>
      </x:c>
      <x:c r="W1157" t="str">
        <x:v>Ružinov</x:v>
      </x:c>
      <x:c r="X1157" s="11" t="str">
        <x:v>Predaný</x:v>
      </x:c>
      <x:c r="Y1157" s="11" t="str">
        <x:v>https://www.galvania.sk/byty/</x:v>
      </x:c>
      <x:c r="Z1157" s="11" t="n">
        <x:v>46249.4134212037</x:v>
      </x:c>
      <x:c r="AA1157" s="11" t="n">
        <x:v>46254.51251577547</x:v>
      </x:c>
      <x:c r="AB1157" s="11" t="n">
        <x:v>46254.51251577547</x:v>
      </x:c>
      <x:c r="AC1157" t="str">
        <x:v>galvania_rezidencie</x:v>
      </x:c>
    </x:row>
    <x:row r="1158" ht="22" customHeight="1">
      <x:c r="A1158" t="str">
        <x:v>Galvania Rezidencie</x:v>
      </x:c>
      <x:c r="B1158" t="str">
        <x:v>C6.02</x:v>
      </x:c>
      <x:c r="C1158" t="str">
        <x:v>pre_reserved</x:v>
      </x:c>
      <x:c r="D1158" t="str">
        <x:v>present</x:v>
      </x:c>
      <x:c r="E1158" t="str">
        <x:v>baseline</x:v>
      </x:c>
      <x:c r="F1158" s="11" t="n">
        <x:v>46249.4134212037</x:v>
      </x:c>
      <x:c r="G1158" t="str">
        <x:v>Byt</x:v>
      </x:c>
      <x:c r="H1158" s="12" t="n">
        <x:v>2</x:v>
      </x:c>
      <x:c r="I1158" s="13" t="n">
        <x:v>6</x:v>
      </x:c>
      <x:c r="J1158" t="str">
        <x:v>C</x:v>
      </x:c>
      <x:c r="K1158" s="14" t="n">
        <x:v>47.39</x:v>
      </x:c>
      <x:c r="L1158" s="14"/>
      <x:c r="M1158" s="14"/>
      <x:c r="N1158" s="14"/>
      <x:c r="O1158" s="14"/>
      <x:c r="P1158" s="14" t="n">
        <x:v>10.74</x:v>
      </x:c>
      <x:c r="Q1158" s="14" t="n">
        <x:v>58.13</x:v>
      </x:c>
      <x:c r="R1158" s="15"/>
      <x:c r="S1158" s="15"/>
      <x:c r="T1158" s="15"/>
      <x:c r="U1158" s="16"/>
      <x:c r="V1158" t="str">
        <x:v>Tatra Real</x:v>
      </x:c>
      <x:c r="W1158" t="str">
        <x:v>Ružinov</x:v>
      </x:c>
      <x:c r="X1158" s="11" t="str">
        <x:v>Predrezervovaný</x:v>
      </x:c>
      <x:c r="Y1158" s="11" t="str">
        <x:v>https://www.galvania.sk/byty/mam-zaujem-o-byt-C6.02/</x:v>
      </x:c>
      <x:c r="Z1158" s="11" t="n">
        <x:v>46249.4134212037</x:v>
      </x:c>
      <x:c r="AA1158" s="11" t="n">
        <x:v>46254.51251577547</x:v>
      </x:c>
      <x:c r="AB1158" s="11" t="n">
        <x:v>46254.51251577547</x:v>
      </x:c>
      <x:c r="AC1158" t="str">
        <x:v>galvania_rezidencie</x:v>
      </x:c>
    </x:row>
    <x:row r="1159" ht="22" customHeight="1">
      <x:c r="A1159" t="str">
        <x:v>Galvania Rezidencie</x:v>
      </x:c>
      <x:c r="B1159" t="str">
        <x:v>C6.03</x:v>
      </x:c>
      <x:c r="C1159" t="str">
        <x:v>pre_reserved</x:v>
      </x:c>
      <x:c r="D1159" t="str">
        <x:v>present</x:v>
      </x:c>
      <x:c r="E1159" t="str">
        <x:v>baseline</x:v>
      </x:c>
      <x:c r="F1159" s="11" t="n">
        <x:v>46249.4134212037</x:v>
      </x:c>
      <x:c r="G1159" t="str">
        <x:v>Byt</x:v>
      </x:c>
      <x:c r="H1159" s="12" t="n">
        <x:v>2</x:v>
      </x:c>
      <x:c r="I1159" s="13" t="n">
        <x:v>6</x:v>
      </x:c>
      <x:c r="J1159" t="str">
        <x:v>C</x:v>
      </x:c>
      <x:c r="K1159" s="14" t="n">
        <x:v>53.56</x:v>
      </x:c>
      <x:c r="L1159" s="14"/>
      <x:c r="M1159" s="14"/>
      <x:c r="N1159" s="14"/>
      <x:c r="O1159" s="14"/>
      <x:c r="P1159" s="14" t="n">
        <x:v>11.72</x:v>
      </x:c>
      <x:c r="Q1159" s="14" t="n">
        <x:v>65.28</x:v>
      </x:c>
      <x:c r="R1159" s="15"/>
      <x:c r="S1159" s="15"/>
      <x:c r="T1159" s="15"/>
      <x:c r="U1159" s="16"/>
      <x:c r="V1159" t="str">
        <x:v>Tatra Real</x:v>
      </x:c>
      <x:c r="W1159" t="str">
        <x:v>Ružinov</x:v>
      </x:c>
      <x:c r="X1159" s="11" t="str">
        <x:v>Predrezervovaný</x:v>
      </x:c>
      <x:c r="Y1159" s="11" t="str">
        <x:v>https://www.galvania.sk/byty/mam-zaujem-o-byt-C6.03/</x:v>
      </x:c>
      <x:c r="Z1159" s="11" t="n">
        <x:v>46249.4134212037</x:v>
      </x:c>
      <x:c r="AA1159" s="11" t="n">
        <x:v>46254.51251577547</x:v>
      </x:c>
      <x:c r="AB1159" s="11" t="n">
        <x:v>46254.51251577547</x:v>
      </x:c>
      <x:c r="AC1159" t="str">
        <x:v>galvania_rezidencie</x:v>
      </x:c>
    </x:row>
    <x:row r="1160" ht="22" customHeight="1">
      <x:c r="A1160" t="str">
        <x:v>Galvania Rezidencie</x:v>
      </x:c>
      <x:c r="B1160" t="str">
        <x:v>C6.04</x:v>
      </x:c>
      <x:c r="C1160" t="str">
        <x:v>sold</x:v>
      </x:c>
      <x:c r="D1160" t="str">
        <x:v>present</x:v>
      </x:c>
      <x:c r="E1160" t="str">
        <x:v>baseline</x:v>
      </x:c>
      <x:c r="F1160" s="11" t="n">
        <x:v>46249.4134212037</x:v>
      </x:c>
      <x:c r="G1160" t="str">
        <x:v>Byt</x:v>
      </x:c>
      <x:c r="H1160" s="12" t="n">
        <x:v>2</x:v>
      </x:c>
      <x:c r="I1160" s="13" t="n">
        <x:v>6</x:v>
      </x:c>
      <x:c r="J1160" t="str">
        <x:v>C</x:v>
      </x:c>
      <x:c r="K1160" s="14" t="n">
        <x:v>53.52</x:v>
      </x:c>
      <x:c r="L1160" s="14"/>
      <x:c r="M1160" s="14"/>
      <x:c r="N1160" s="14"/>
      <x:c r="O1160" s="14"/>
      <x:c r="P1160" s="14" t="n">
        <x:v>8.72</x:v>
      </x:c>
      <x:c r="Q1160" s="14" t="n">
        <x:v>62.24</x:v>
      </x:c>
      <x:c r="R1160" s="15"/>
      <x:c r="S1160" s="15"/>
      <x:c r="T1160" s="15"/>
      <x:c r="U1160" s="16"/>
      <x:c r="V1160" t="str">
        <x:v>Tatra Real</x:v>
      </x:c>
      <x:c r="W1160" t="str">
        <x:v>Ružinov</x:v>
      </x:c>
      <x:c r="X1160" s="11" t="str">
        <x:v>Predaný</x:v>
      </x:c>
      <x:c r="Y1160" s="11" t="str">
        <x:v>https://www.galvania.sk/byty/</x:v>
      </x:c>
      <x:c r="Z1160" s="11" t="n">
        <x:v>46249.4134212037</x:v>
      </x:c>
      <x:c r="AA1160" s="11" t="n">
        <x:v>46254.51251577547</x:v>
      </x:c>
      <x:c r="AB1160" s="11" t="n">
        <x:v>46254.51251577547</x:v>
      </x:c>
      <x:c r="AC1160" t="str">
        <x:v>galvania_rezidencie</x:v>
      </x:c>
    </x:row>
    <x:row r="1161" ht="22" customHeight="1">
      <x:c r="A1161" t="str">
        <x:v>Galvania Rezidencie</x:v>
      </x:c>
      <x:c r="B1161" t="str">
        <x:v>C6.05</x:v>
      </x:c>
      <x:c r="C1161" t="str">
        <x:v>sold</x:v>
      </x:c>
      <x:c r="D1161" t="str">
        <x:v>present</x:v>
      </x:c>
      <x:c r="E1161" t="str">
        <x:v>baseline</x:v>
      </x:c>
      <x:c r="F1161" s="11" t="n">
        <x:v>46249.4134212037</x:v>
      </x:c>
      <x:c r="G1161" t="str">
        <x:v>Byt</x:v>
      </x:c>
      <x:c r="H1161" s="12" t="n">
        <x:v>2</x:v>
      </x:c>
      <x:c r="I1161" s="13" t="n">
        <x:v>6</x:v>
      </x:c>
      <x:c r="J1161" t="str">
        <x:v>C</x:v>
      </x:c>
      <x:c r="K1161" s="14" t="n">
        <x:v>47.54</x:v>
      </x:c>
      <x:c r="L1161" s="14"/>
      <x:c r="M1161" s="14"/>
      <x:c r="N1161" s="14"/>
      <x:c r="O1161" s="14"/>
      <x:c r="P1161" s="14" t="n">
        <x:v>10.64</x:v>
      </x:c>
      <x:c r="Q1161" s="14" t="n">
        <x:v>58.18</x:v>
      </x:c>
      <x:c r="R1161" s="15"/>
      <x:c r="S1161" s="15"/>
      <x:c r="T1161" s="15"/>
      <x:c r="U1161" s="16"/>
      <x:c r="V1161" t="str">
        <x:v>Tatra Real</x:v>
      </x:c>
      <x:c r="W1161" t="str">
        <x:v>Ružinov</x:v>
      </x:c>
      <x:c r="X1161" s="11" t="str">
        <x:v>Predaný</x:v>
      </x:c>
      <x:c r="Y1161" s="11" t="str">
        <x:v>https://www.galvania.sk/byty/</x:v>
      </x:c>
      <x:c r="Z1161" s="11" t="n">
        <x:v>46249.4134212037</x:v>
      </x:c>
      <x:c r="AA1161" s="11" t="n">
        <x:v>46254.51251577547</x:v>
      </x:c>
      <x:c r="AB1161" s="11" t="n">
        <x:v>46254.51251577547</x:v>
      </x:c>
      <x:c r="AC1161" t="str">
        <x:v>galvania_rezidencie</x:v>
      </x:c>
    </x:row>
    <x:row r="1162" ht="22" customHeight="1">
      <x:c r="A1162" t="str">
        <x:v>Galvania Rezidencie</x:v>
      </x:c>
      <x:c r="B1162" t="str">
        <x:v>C6.06</x:v>
      </x:c>
      <x:c r="C1162" t="str">
        <x:v>sold</x:v>
      </x:c>
      <x:c r="D1162" t="str">
        <x:v>present</x:v>
      </x:c>
      <x:c r="E1162" t="str">
        <x:v>baseline</x:v>
      </x:c>
      <x:c r="F1162" s="11" t="n">
        <x:v>46249.4134212037</x:v>
      </x:c>
      <x:c r="G1162" t="str">
        <x:v>Byt</x:v>
      </x:c>
      <x:c r="H1162" s="12" t="n">
        <x:v>2</x:v>
      </x:c>
      <x:c r="I1162" s="13" t="n">
        <x:v>6</x:v>
      </x:c>
      <x:c r="J1162" t="str">
        <x:v>C</x:v>
      </x:c>
      <x:c r="K1162" s="14" t="n">
        <x:v>47.54</x:v>
      </x:c>
      <x:c r="L1162" s="14"/>
      <x:c r="M1162" s="14"/>
      <x:c r="N1162" s="14"/>
      <x:c r="O1162" s="14"/>
      <x:c r="P1162" s="14" t="n">
        <x:v>10.87</x:v>
      </x:c>
      <x:c r="Q1162" s="14" t="n">
        <x:v>58.41</x:v>
      </x:c>
      <x:c r="R1162" s="15"/>
      <x:c r="S1162" s="15"/>
      <x:c r="T1162" s="15"/>
      <x:c r="U1162" s="16"/>
      <x:c r="V1162" t="str">
        <x:v>Tatra Real</x:v>
      </x:c>
      <x:c r="W1162" t="str">
        <x:v>Ružinov</x:v>
      </x:c>
      <x:c r="X1162" s="11" t="str">
        <x:v>Predaný</x:v>
      </x:c>
      <x:c r="Y1162" s="11" t="str">
        <x:v>https://www.galvania.sk/byty/</x:v>
      </x:c>
      <x:c r="Z1162" s="11" t="n">
        <x:v>46249.4134212037</x:v>
      </x:c>
      <x:c r="AA1162" s="11" t="n">
        <x:v>46254.51251577547</x:v>
      </x:c>
      <x:c r="AB1162" s="11" t="n">
        <x:v>46254.51251577547</x:v>
      </x:c>
      <x:c r="AC1162" t="str">
        <x:v>galvania_rezidencie</x:v>
      </x:c>
    </x:row>
    <x:row r="1163" ht="22" customHeight="1">
      <x:c r="A1163" t="str">
        <x:v>Galvania Rezidencie</x:v>
      </x:c>
      <x:c r="B1163" t="str">
        <x:v>C6.07</x:v>
      </x:c>
      <x:c r="C1163" t="str">
        <x:v>sold</x:v>
      </x:c>
      <x:c r="D1163" t="str">
        <x:v>present</x:v>
      </x:c>
      <x:c r="E1163" t="str">
        <x:v>baseline</x:v>
      </x:c>
      <x:c r="F1163" s="11" t="n">
        <x:v>46249.4134212037</x:v>
      </x:c>
      <x:c r="G1163" t="str">
        <x:v>Byt</x:v>
      </x:c>
      <x:c r="H1163" s="12" t="n">
        <x:v>2</x:v>
      </x:c>
      <x:c r="I1163" s="13" t="n">
        <x:v>6</x:v>
      </x:c>
      <x:c r="J1163" t="str">
        <x:v>C</x:v>
      </x:c>
      <x:c r="K1163" s="14" t="n">
        <x:v>47.54</x:v>
      </x:c>
      <x:c r="L1163" s="14"/>
      <x:c r="M1163" s="14"/>
      <x:c r="N1163" s="14"/>
      <x:c r="O1163" s="14"/>
      <x:c r="P1163" s="14" t="n">
        <x:v>10.87</x:v>
      </x:c>
      <x:c r="Q1163" s="14" t="n">
        <x:v>58.41</x:v>
      </x:c>
      <x:c r="R1163" s="15"/>
      <x:c r="S1163" s="15"/>
      <x:c r="T1163" s="15"/>
      <x:c r="U1163" s="16"/>
      <x:c r="V1163" t="str">
        <x:v>Tatra Real</x:v>
      </x:c>
      <x:c r="W1163" t="str">
        <x:v>Ružinov</x:v>
      </x:c>
      <x:c r="X1163" s="11" t="str">
        <x:v>Predaný</x:v>
      </x:c>
      <x:c r="Y1163" s="11" t="str">
        <x:v>https://www.galvania.sk/byty/</x:v>
      </x:c>
      <x:c r="Z1163" s="11" t="n">
        <x:v>46249.4134212037</x:v>
      </x:c>
      <x:c r="AA1163" s="11" t="n">
        <x:v>46254.51251577547</x:v>
      </x:c>
      <x:c r="AB1163" s="11" t="n">
        <x:v>46254.51251577547</x:v>
      </x:c>
      <x:c r="AC1163" t="str">
        <x:v>galvania_rezidencie</x:v>
      </x:c>
    </x:row>
    <x:row r="1164" ht="22" customHeight="1">
      <x:c r="A1164" t="str">
        <x:v>Galvania Rezidencie</x:v>
      </x:c>
      <x:c r="B1164" t="str">
        <x:v>C6.08</x:v>
      </x:c>
      <x:c r="C1164" t="str">
        <x:v>sold</x:v>
      </x:c>
      <x:c r="D1164" t="str">
        <x:v>present</x:v>
      </x:c>
      <x:c r="E1164" t="str">
        <x:v>baseline</x:v>
      </x:c>
      <x:c r="F1164" s="11" t="n">
        <x:v>46249.4134212037</x:v>
      </x:c>
      <x:c r="G1164" t="str">
        <x:v>Byt</x:v>
      </x:c>
      <x:c r="H1164" s="12" t="n">
        <x:v>2</x:v>
      </x:c>
      <x:c r="I1164" s="13" t="n">
        <x:v>6</x:v>
      </x:c>
      <x:c r="J1164" t="str">
        <x:v>C</x:v>
      </x:c>
      <x:c r="K1164" s="14" t="n">
        <x:v>47.54</x:v>
      </x:c>
      <x:c r="L1164" s="14"/>
      <x:c r="M1164" s="14"/>
      <x:c r="N1164" s="14"/>
      <x:c r="O1164" s="14"/>
      <x:c r="P1164" s="14" t="n">
        <x:v>10.87</x:v>
      </x:c>
      <x:c r="Q1164" s="14" t="n">
        <x:v>58.41</x:v>
      </x:c>
      <x:c r="R1164" s="15"/>
      <x:c r="S1164" s="15"/>
      <x:c r="T1164" s="15"/>
      <x:c r="U1164" s="16"/>
      <x:c r="V1164" t="str">
        <x:v>Tatra Real</x:v>
      </x:c>
      <x:c r="W1164" t="str">
        <x:v>Ružinov</x:v>
      </x:c>
      <x:c r="X1164" s="11" t="str">
        <x:v>Predaný</x:v>
      </x:c>
      <x:c r="Y1164" s="11" t="str">
        <x:v>https://www.galvania.sk/byty/</x:v>
      </x:c>
      <x:c r="Z1164" s="11" t="n">
        <x:v>46249.4134212037</x:v>
      </x:c>
      <x:c r="AA1164" s="11" t="n">
        <x:v>46254.51251577547</x:v>
      </x:c>
      <x:c r="AB1164" s="11" t="n">
        <x:v>46254.51251577547</x:v>
      </x:c>
      <x:c r="AC1164" t="str">
        <x:v>galvania_rezidencie</x:v>
      </x:c>
    </x:row>
    <x:row r="1165" ht="22" customHeight="1">
      <x:c r="A1165" t="str">
        <x:v>Galvania Rezidencie</x:v>
      </x:c>
      <x:c r="B1165" t="str">
        <x:v>C6.09</x:v>
      </x:c>
      <x:c r="C1165" t="str">
        <x:v>pre_reserved</x:v>
      </x:c>
      <x:c r="D1165" t="str">
        <x:v>present</x:v>
      </x:c>
      <x:c r="E1165" t="str">
        <x:v>baseline</x:v>
      </x:c>
      <x:c r="F1165" s="11" t="n">
        <x:v>46249.4134212037</x:v>
      </x:c>
      <x:c r="G1165" t="str">
        <x:v>Byt</x:v>
      </x:c>
      <x:c r="H1165" s="12" t="n">
        <x:v>2</x:v>
      </x:c>
      <x:c r="I1165" s="13" t="n">
        <x:v>6</x:v>
      </x:c>
      <x:c r="J1165" t="str">
        <x:v>C</x:v>
      </x:c>
      <x:c r="K1165" s="14" t="n">
        <x:v>48.04</x:v>
      </x:c>
      <x:c r="L1165" s="14"/>
      <x:c r="M1165" s="14"/>
      <x:c r="N1165" s="14"/>
      <x:c r="O1165" s="14"/>
      <x:c r="P1165" s="14" t="n">
        <x:v>11.01</x:v>
      </x:c>
      <x:c r="Q1165" s="14" t="n">
        <x:v>59.05</x:v>
      </x:c>
      <x:c r="R1165" s="15"/>
      <x:c r="S1165" s="15"/>
      <x:c r="T1165" s="15"/>
      <x:c r="U1165" s="16"/>
      <x:c r="V1165" t="str">
        <x:v>Tatra Real</x:v>
      </x:c>
      <x:c r="W1165" t="str">
        <x:v>Ružinov</x:v>
      </x:c>
      <x:c r="X1165" s="11" t="str">
        <x:v>Predrezervovaný</x:v>
      </x:c>
      <x:c r="Y1165" s="11" t="str">
        <x:v>https://www.galvania.sk/byty/mam-zaujem-o-byt-C6.09/</x:v>
      </x:c>
      <x:c r="Z1165" s="11" t="n">
        <x:v>46249.4134212037</x:v>
      </x:c>
      <x:c r="AA1165" s="11" t="n">
        <x:v>46254.51251577547</x:v>
      </x:c>
      <x:c r="AB1165" s="11" t="n">
        <x:v>46254.51251577547</x:v>
      </x:c>
      <x:c r="AC1165" t="str">
        <x:v>galvania_rezidencie</x:v>
      </x:c>
    </x:row>
    <x:row r="1166" ht="22" customHeight="1">
      <x:c r="A1166" t="str">
        <x:v>Galvania Rezidencie</x:v>
      </x:c>
      <x:c r="B1166" t="str">
        <x:v>C6.10</x:v>
      </x:c>
      <x:c r="C1166" t="str">
        <x:v>sold</x:v>
      </x:c>
      <x:c r="D1166" t="str">
        <x:v>present</x:v>
      </x:c>
      <x:c r="E1166" t="str">
        <x:v>baseline</x:v>
      </x:c>
      <x:c r="F1166" s="11" t="n">
        <x:v>46249.4134212037</x:v>
      </x:c>
      <x:c r="G1166" t="str">
        <x:v>Byt</x:v>
      </x:c>
      <x:c r="H1166" s="12" t="n">
        <x:v>2</x:v>
      </x:c>
      <x:c r="I1166" s="13" t="n">
        <x:v>6</x:v>
      </x:c>
      <x:c r="J1166" t="str">
        <x:v>C</x:v>
      </x:c>
      <x:c r="K1166" s="14" t="n">
        <x:v>47.47</x:v>
      </x:c>
      <x:c r="L1166" s="14"/>
      <x:c r="M1166" s="14"/>
      <x:c r="N1166" s="14"/>
      <x:c r="O1166" s="14"/>
      <x:c r="P1166" s="14" t="n">
        <x:v>3.52</x:v>
      </x:c>
      <x:c r="Q1166" s="14" t="n">
        <x:v>50.99</x:v>
      </x:c>
      <x:c r="R1166" s="15"/>
      <x:c r="S1166" s="15"/>
      <x:c r="T1166" s="15"/>
      <x:c r="U1166" s="16"/>
      <x:c r="V1166" t="str">
        <x:v>Tatra Real</x:v>
      </x:c>
      <x:c r="W1166" t="str">
        <x:v>Ružinov</x:v>
      </x:c>
      <x:c r="X1166" s="11" t="str">
        <x:v>Predaný</x:v>
      </x:c>
      <x:c r="Y1166" s="11" t="str">
        <x:v>https://www.galvania.sk/byty/</x:v>
      </x:c>
      <x:c r="Z1166" s="11" t="n">
        <x:v>46249.4134212037</x:v>
      </x:c>
      <x:c r="AA1166" s="11" t="n">
        <x:v>46254.51251577547</x:v>
      </x:c>
      <x:c r="AB1166" s="11" t="n">
        <x:v>46254.51251577547</x:v>
      </x:c>
      <x:c r="AC1166" t="str">
        <x:v>galvania_rezidencie</x:v>
      </x:c>
    </x:row>
    <x:row r="1167" ht="22" customHeight="1">
      <x:c r="A1167" t="str">
        <x:v>Galvania Rezidencie</x:v>
      </x:c>
      <x:c r="B1167" t="str">
        <x:v>C6.11</x:v>
      </x:c>
      <x:c r="C1167" t="str">
        <x:v>sold</x:v>
      </x:c>
      <x:c r="D1167" t="str">
        <x:v>present</x:v>
      </x:c>
      <x:c r="E1167" t="str">
        <x:v>baseline</x:v>
      </x:c>
      <x:c r="F1167" s="11" t="n">
        <x:v>46249.4134212037</x:v>
      </x:c>
      <x:c r="G1167" t="str">
        <x:v>Byt</x:v>
      </x:c>
      <x:c r="H1167" s="12" t="n">
        <x:v>2</x:v>
      </x:c>
      <x:c r="I1167" s="13" t="n">
        <x:v>6</x:v>
      </x:c>
      <x:c r="J1167" t="str">
        <x:v>C</x:v>
      </x:c>
      <x:c r="K1167" s="14" t="n">
        <x:v>47.66</x:v>
      </x:c>
      <x:c r="L1167" s="14"/>
      <x:c r="M1167" s="14"/>
      <x:c r="N1167" s="14"/>
      <x:c r="O1167" s="14"/>
      <x:c r="P1167" s="14" t="n">
        <x:v>3.52</x:v>
      </x:c>
      <x:c r="Q1167" s="14" t="n">
        <x:v>51.18</x:v>
      </x:c>
      <x:c r="R1167" s="15"/>
      <x:c r="S1167" s="15"/>
      <x:c r="T1167" s="15"/>
      <x:c r="U1167" s="16"/>
      <x:c r="V1167" t="str">
        <x:v>Tatra Real</x:v>
      </x:c>
      <x:c r="W1167" t="str">
        <x:v>Ružinov</x:v>
      </x:c>
      <x:c r="X1167" s="11" t="str">
        <x:v>Predaný</x:v>
      </x:c>
      <x:c r="Y1167" s="11" t="str">
        <x:v>https://www.galvania.sk/byty/</x:v>
      </x:c>
      <x:c r="Z1167" s="11" t="n">
        <x:v>46249.4134212037</x:v>
      </x:c>
      <x:c r="AA1167" s="11" t="n">
        <x:v>46254.51251577547</x:v>
      </x:c>
      <x:c r="AB1167" s="11" t="n">
        <x:v>46254.51251577547</x:v>
      </x:c>
      <x:c r="AC1167" t="str">
        <x:v>galvania_rezidencie</x:v>
      </x:c>
    </x:row>
    <x:row r="1168" ht="22" customHeight="1">
      <x:c r="A1168" t="str">
        <x:v>Galvania Rezidencie</x:v>
      </x:c>
      <x:c r="B1168" t="str">
        <x:v>C7.01</x:v>
      </x:c>
      <x:c r="C1168" t="str">
        <x:v>pre_reserved</x:v>
      </x:c>
      <x:c r="D1168" t="str">
        <x:v>present</x:v>
      </x:c>
      <x:c r="E1168" t="str">
        <x:v>baseline</x:v>
      </x:c>
      <x:c r="F1168" s="11" t="n">
        <x:v>46249.4134212037</x:v>
      </x:c>
      <x:c r="G1168" t="str">
        <x:v>Byt</x:v>
      </x:c>
      <x:c r="H1168" s="12" t="n">
        <x:v>2</x:v>
      </x:c>
      <x:c r="I1168" s="13" t="n">
        <x:v>7</x:v>
      </x:c>
      <x:c r="J1168" t="str">
        <x:v>C</x:v>
      </x:c>
      <x:c r="K1168" s="14" t="n">
        <x:v>47.61</x:v>
      </x:c>
      <x:c r="L1168" s="14"/>
      <x:c r="M1168" s="14"/>
      <x:c r="N1168" s="14"/>
      <x:c r="O1168" s="14"/>
      <x:c r="P1168" s="14" t="n">
        <x:v>10.18</x:v>
      </x:c>
      <x:c r="Q1168" s="14" t="n">
        <x:v>57.79</x:v>
      </x:c>
      <x:c r="R1168" s="15"/>
      <x:c r="S1168" s="15"/>
      <x:c r="T1168" s="15"/>
      <x:c r="U1168" s="16"/>
      <x:c r="V1168" t="str">
        <x:v>Tatra Real</x:v>
      </x:c>
      <x:c r="W1168" t="str">
        <x:v>Ružinov</x:v>
      </x:c>
      <x:c r="X1168" s="11" t="str">
        <x:v>Predrezervovaný</x:v>
      </x:c>
      <x:c r="Y1168" s="11" t="str">
        <x:v>https://www.galvania.sk/byty/mam-zaujem-o-byt-C7.01/</x:v>
      </x:c>
      <x:c r="Z1168" s="11" t="n">
        <x:v>46249.4134212037</x:v>
      </x:c>
      <x:c r="AA1168" s="11" t="n">
        <x:v>46254.51251577547</x:v>
      </x:c>
      <x:c r="AB1168" s="11" t="n">
        <x:v>46254.51251577547</x:v>
      </x:c>
      <x:c r="AC1168" t="str">
        <x:v>galvania_rezidencie</x:v>
      </x:c>
    </x:row>
    <x:row r="1169" ht="22" customHeight="1">
      <x:c r="A1169" t="str">
        <x:v>Galvania Rezidencie</x:v>
      </x:c>
      <x:c r="B1169" t="str">
        <x:v>C7.02</x:v>
      </x:c>
      <x:c r="C1169" t="str">
        <x:v>pre_reserved</x:v>
      </x:c>
      <x:c r="D1169" t="str">
        <x:v>present</x:v>
      </x:c>
      <x:c r="E1169" t="str">
        <x:v>baseline</x:v>
      </x:c>
      <x:c r="F1169" s="11" t="n">
        <x:v>46249.4134212037</x:v>
      </x:c>
      <x:c r="G1169" t="str">
        <x:v>Byt</x:v>
      </x:c>
      <x:c r="H1169" s="12" t="n">
        <x:v>2</x:v>
      </x:c>
      <x:c r="I1169" s="13" t="n">
        <x:v>7</x:v>
      </x:c>
      <x:c r="J1169" t="str">
        <x:v>C</x:v>
      </x:c>
      <x:c r="K1169" s="14" t="n">
        <x:v>47.39</x:v>
      </x:c>
      <x:c r="L1169" s="14"/>
      <x:c r="M1169" s="14"/>
      <x:c r="N1169" s="14"/>
      <x:c r="O1169" s="14"/>
      <x:c r="P1169" s="14" t="n">
        <x:v>10.47</x:v>
      </x:c>
      <x:c r="Q1169" s="14" t="n">
        <x:v>57.86</x:v>
      </x:c>
      <x:c r="R1169" s="15"/>
      <x:c r="S1169" s="15"/>
      <x:c r="T1169" s="15"/>
      <x:c r="U1169" s="16"/>
      <x:c r="V1169" t="str">
        <x:v>Tatra Real</x:v>
      </x:c>
      <x:c r="W1169" t="str">
        <x:v>Ružinov</x:v>
      </x:c>
      <x:c r="X1169" s="11" t="str">
        <x:v>Predrezervovaný</x:v>
      </x:c>
      <x:c r="Y1169" s="11" t="str">
        <x:v>https://www.galvania.sk/byty/mam-zaujem-o-byt-C7.02/</x:v>
      </x:c>
      <x:c r="Z1169" s="11" t="n">
        <x:v>46249.4134212037</x:v>
      </x:c>
      <x:c r="AA1169" s="11" t="n">
        <x:v>46254.51251577547</x:v>
      </x:c>
      <x:c r="AB1169" s="11" t="n">
        <x:v>46254.51251577547</x:v>
      </x:c>
      <x:c r="AC1169" t="str">
        <x:v>galvania_rezidencie</x:v>
      </x:c>
    </x:row>
    <x:row r="1170" ht="22" customHeight="1">
      <x:c r="A1170" t="str">
        <x:v>Galvania Rezidencie</x:v>
      </x:c>
      <x:c r="B1170" t="str">
        <x:v>C7.03</x:v>
      </x:c>
      <x:c r="C1170" t="str">
        <x:v>pre_reserved</x:v>
      </x:c>
      <x:c r="D1170" t="str">
        <x:v>present</x:v>
      </x:c>
      <x:c r="E1170" t="str">
        <x:v>baseline</x:v>
      </x:c>
      <x:c r="F1170" s="11" t="n">
        <x:v>46249.4134212037</x:v>
      </x:c>
      <x:c r="G1170" t="str">
        <x:v>Byt</x:v>
      </x:c>
      <x:c r="H1170" s="12" t="n">
        <x:v>2</x:v>
      </x:c>
      <x:c r="I1170" s="13" t="n">
        <x:v>7</x:v>
      </x:c>
      <x:c r="J1170" t="str">
        <x:v>C</x:v>
      </x:c>
      <x:c r="K1170" s="14" t="n">
        <x:v>53.56</x:v>
      </x:c>
      <x:c r="L1170" s="14"/>
      <x:c r="M1170" s="14"/>
      <x:c r="N1170" s="14"/>
      <x:c r="O1170" s="14"/>
      <x:c r="P1170" s="14" t="n">
        <x:v>11.76</x:v>
      </x:c>
      <x:c r="Q1170" s="14" t="n">
        <x:v>65.32</x:v>
      </x:c>
      <x:c r="R1170" s="15"/>
      <x:c r="S1170" s="15"/>
      <x:c r="T1170" s="15"/>
      <x:c r="U1170" s="16"/>
      <x:c r="V1170" t="str">
        <x:v>Tatra Real</x:v>
      </x:c>
      <x:c r="W1170" t="str">
        <x:v>Ružinov</x:v>
      </x:c>
      <x:c r="X1170" s="11" t="str">
        <x:v>Predrezervovaný</x:v>
      </x:c>
      <x:c r="Y1170" s="11" t="str">
        <x:v>https://www.galvania.sk/byty/mam-zaujem-o-byt-C7.03/</x:v>
      </x:c>
      <x:c r="Z1170" s="11" t="n">
        <x:v>46249.4134212037</x:v>
      </x:c>
      <x:c r="AA1170" s="11" t="n">
        <x:v>46254.51251577547</x:v>
      </x:c>
      <x:c r="AB1170" s="11" t="n">
        <x:v>46254.51251577547</x:v>
      </x:c>
      <x:c r="AC1170" t="str">
        <x:v>galvania_rezidencie</x:v>
      </x:c>
    </x:row>
    <x:row r="1171" ht="22" customHeight="1">
      <x:c r="A1171" t="str">
        <x:v>Galvania Rezidencie</x:v>
      </x:c>
      <x:c r="B1171" t="str">
        <x:v>C7.04</x:v>
      </x:c>
      <x:c r="C1171" t="str">
        <x:v>pre_reserved</x:v>
      </x:c>
      <x:c r="D1171" t="str">
        <x:v>present</x:v>
      </x:c>
      <x:c r="E1171" t="str">
        <x:v>baseline</x:v>
      </x:c>
      <x:c r="F1171" s="11" t="n">
        <x:v>46249.4134212037</x:v>
      </x:c>
      <x:c r="G1171" t="str">
        <x:v>Byt</x:v>
      </x:c>
      <x:c r="H1171" s="12" t="n">
        <x:v>2</x:v>
      </x:c>
      <x:c r="I1171" s="13" t="n">
        <x:v>7</x:v>
      </x:c>
      <x:c r="J1171" t="str">
        <x:v>C</x:v>
      </x:c>
      <x:c r="K1171" s="14" t="n">
        <x:v>53.52</x:v>
      </x:c>
      <x:c r="L1171" s="14"/>
      <x:c r="M1171" s="14"/>
      <x:c r="N1171" s="14"/>
      <x:c r="O1171" s="14"/>
      <x:c r="P1171" s="14" t="n">
        <x:v>8.71</x:v>
      </x:c>
      <x:c r="Q1171" s="14" t="n">
        <x:v>62.23</x:v>
      </x:c>
      <x:c r="R1171" s="15"/>
      <x:c r="S1171" s="15"/>
      <x:c r="T1171" s="15"/>
      <x:c r="U1171" s="16"/>
      <x:c r="V1171" t="str">
        <x:v>Tatra Real</x:v>
      </x:c>
      <x:c r="W1171" t="str">
        <x:v>Ružinov</x:v>
      </x:c>
      <x:c r="X1171" s="11" t="str">
        <x:v>Predrezervovaný</x:v>
      </x:c>
      <x:c r="Y1171" s="11" t="str">
        <x:v>https://www.galvania.sk/byty/mam-zaujem-o-byt-C7.04/</x:v>
      </x:c>
      <x:c r="Z1171" s="11" t="n">
        <x:v>46249.4134212037</x:v>
      </x:c>
      <x:c r="AA1171" s="11" t="n">
        <x:v>46254.51251577547</x:v>
      </x:c>
      <x:c r="AB1171" s="11" t="n">
        <x:v>46254.51251577547</x:v>
      </x:c>
      <x:c r="AC1171" t="str">
        <x:v>galvania_rezidencie</x:v>
      </x:c>
    </x:row>
    <x:row r="1172" ht="22" customHeight="1">
      <x:c r="A1172" t="str">
        <x:v>Galvania Rezidencie</x:v>
      </x:c>
      <x:c r="B1172" t="str">
        <x:v>C7.05</x:v>
      </x:c>
      <x:c r="C1172" t="str">
        <x:v>pre_reserved</x:v>
      </x:c>
      <x:c r="D1172" t="str">
        <x:v>present</x:v>
      </x:c>
      <x:c r="E1172" t="str">
        <x:v>baseline</x:v>
      </x:c>
      <x:c r="F1172" s="11" t="n">
        <x:v>46249.4134212037</x:v>
      </x:c>
      <x:c r="G1172" t="str">
        <x:v>Byt</x:v>
      </x:c>
      <x:c r="H1172" s="12" t="n">
        <x:v>2</x:v>
      </x:c>
      <x:c r="I1172" s="13" t="n">
        <x:v>7</x:v>
      </x:c>
      <x:c r="J1172" t="str">
        <x:v>C</x:v>
      </x:c>
      <x:c r="K1172" s="14" t="n">
        <x:v>47.54</x:v>
      </x:c>
      <x:c r="L1172" s="14"/>
      <x:c r="M1172" s="14"/>
      <x:c r="N1172" s="14"/>
      <x:c r="O1172" s="14"/>
      <x:c r="P1172" s="14" t="n">
        <x:v>10.64</x:v>
      </x:c>
      <x:c r="Q1172" s="14" t="n">
        <x:v>58.18</x:v>
      </x:c>
      <x:c r="R1172" s="15"/>
      <x:c r="S1172" s="15"/>
      <x:c r="T1172" s="15"/>
      <x:c r="U1172" s="16"/>
      <x:c r="V1172" t="str">
        <x:v>Tatra Real</x:v>
      </x:c>
      <x:c r="W1172" t="str">
        <x:v>Ružinov</x:v>
      </x:c>
      <x:c r="X1172" s="11" t="str">
        <x:v>Predrezervovaný</x:v>
      </x:c>
      <x:c r="Y1172" s="11" t="str">
        <x:v>https://www.galvania.sk/byty/mam-zaujem-o-byt-C7.05/</x:v>
      </x:c>
      <x:c r="Z1172" s="11" t="n">
        <x:v>46249.4134212037</x:v>
      </x:c>
      <x:c r="AA1172" s="11" t="n">
        <x:v>46254.51251577547</x:v>
      </x:c>
      <x:c r="AB1172" s="11" t="n">
        <x:v>46254.51251577547</x:v>
      </x:c>
      <x:c r="AC1172" t="str">
        <x:v>galvania_rezidencie</x:v>
      </x:c>
    </x:row>
    <x:row r="1173" ht="22" customHeight="1">
      <x:c r="A1173" t="str">
        <x:v>Galvania Rezidencie</x:v>
      </x:c>
      <x:c r="B1173" t="str">
        <x:v>C7.06</x:v>
      </x:c>
      <x:c r="C1173" t="str">
        <x:v>pre_reserved</x:v>
      </x:c>
      <x:c r="D1173" t="str">
        <x:v>present</x:v>
      </x:c>
      <x:c r="E1173" t="str">
        <x:v>baseline</x:v>
      </x:c>
      <x:c r="F1173" s="11" t="n">
        <x:v>46249.4134212037</x:v>
      </x:c>
      <x:c r="G1173" t="str">
        <x:v>Byt</x:v>
      </x:c>
      <x:c r="H1173" s="12" t="n">
        <x:v>2</x:v>
      </x:c>
      <x:c r="I1173" s="13" t="n">
        <x:v>7</x:v>
      </x:c>
      <x:c r="J1173" t="str">
        <x:v>C</x:v>
      </x:c>
      <x:c r="K1173" s="14" t="n">
        <x:v>47.54</x:v>
      </x:c>
      <x:c r="L1173" s="14"/>
      <x:c r="M1173" s="14"/>
      <x:c r="N1173" s="14"/>
      <x:c r="O1173" s="14"/>
      <x:c r="P1173" s="14" t="n">
        <x:v>10.87</x:v>
      </x:c>
      <x:c r="Q1173" s="14" t="n">
        <x:v>58.41</x:v>
      </x:c>
      <x:c r="R1173" s="15"/>
      <x:c r="S1173" s="15"/>
      <x:c r="T1173" s="15"/>
      <x:c r="U1173" s="16"/>
      <x:c r="V1173" t="str">
        <x:v>Tatra Real</x:v>
      </x:c>
      <x:c r="W1173" t="str">
        <x:v>Ružinov</x:v>
      </x:c>
      <x:c r="X1173" s="11" t="str">
        <x:v>Predrezervovaný</x:v>
      </x:c>
      <x:c r="Y1173" s="11" t="str">
        <x:v>https://www.galvania.sk/byty/mam-zaujem-o-byt-C7.06/</x:v>
      </x:c>
      <x:c r="Z1173" s="11" t="n">
        <x:v>46249.4134212037</x:v>
      </x:c>
      <x:c r="AA1173" s="11" t="n">
        <x:v>46254.51251577547</x:v>
      </x:c>
      <x:c r="AB1173" s="11" t="n">
        <x:v>46254.51251577547</x:v>
      </x:c>
      <x:c r="AC1173" t="str">
        <x:v>galvania_rezidencie</x:v>
      </x:c>
    </x:row>
    <x:row r="1174" ht="22" customHeight="1">
      <x:c r="A1174" t="str">
        <x:v>Galvania Rezidencie</x:v>
      </x:c>
      <x:c r="B1174" t="str">
        <x:v>C7.07</x:v>
      </x:c>
      <x:c r="C1174" t="str">
        <x:v>pre_reserved</x:v>
      </x:c>
      <x:c r="D1174" t="str">
        <x:v>present</x:v>
      </x:c>
      <x:c r="E1174" t="str">
        <x:v>baseline</x:v>
      </x:c>
      <x:c r="F1174" s="11" t="n">
        <x:v>46249.4134212037</x:v>
      </x:c>
      <x:c r="G1174" t="str">
        <x:v>Byt</x:v>
      </x:c>
      <x:c r="H1174" s="12" t="n">
        <x:v>2</x:v>
      </x:c>
      <x:c r="I1174" s="13" t="n">
        <x:v>7</x:v>
      </x:c>
      <x:c r="J1174" t="str">
        <x:v>C</x:v>
      </x:c>
      <x:c r="K1174" s="14" t="n">
        <x:v>47.54</x:v>
      </x:c>
      <x:c r="L1174" s="14"/>
      <x:c r="M1174" s="14"/>
      <x:c r="N1174" s="14"/>
      <x:c r="O1174" s="14"/>
      <x:c r="P1174" s="14" t="n">
        <x:v>10.87</x:v>
      </x:c>
      <x:c r="Q1174" s="14" t="n">
        <x:v>58.41</x:v>
      </x:c>
      <x:c r="R1174" s="15"/>
      <x:c r="S1174" s="15"/>
      <x:c r="T1174" s="15"/>
      <x:c r="U1174" s="16"/>
      <x:c r="V1174" t="str">
        <x:v>Tatra Real</x:v>
      </x:c>
      <x:c r="W1174" t="str">
        <x:v>Ružinov</x:v>
      </x:c>
      <x:c r="X1174" s="11" t="str">
        <x:v>Predrezervovaný</x:v>
      </x:c>
      <x:c r="Y1174" s="11" t="str">
        <x:v>https://www.galvania.sk/byty/mam-zaujem-o-byt-C7.07/</x:v>
      </x:c>
      <x:c r="Z1174" s="11" t="n">
        <x:v>46249.4134212037</x:v>
      </x:c>
      <x:c r="AA1174" s="11" t="n">
        <x:v>46254.51251577547</x:v>
      </x:c>
      <x:c r="AB1174" s="11" t="n">
        <x:v>46254.51251577547</x:v>
      </x:c>
      <x:c r="AC1174" t="str">
        <x:v>galvania_rezidencie</x:v>
      </x:c>
    </x:row>
    <x:row r="1175" ht="22" customHeight="1">
      <x:c r="A1175" t="str">
        <x:v>Galvania Rezidencie</x:v>
      </x:c>
      <x:c r="B1175" t="str">
        <x:v>C7.08</x:v>
      </x:c>
      <x:c r="C1175" t="str">
        <x:v>pre_reserved</x:v>
      </x:c>
      <x:c r="D1175" t="str">
        <x:v>present</x:v>
      </x:c>
      <x:c r="E1175" t="str">
        <x:v>baseline</x:v>
      </x:c>
      <x:c r="F1175" s="11" t="n">
        <x:v>46249.4134212037</x:v>
      </x:c>
      <x:c r="G1175" t="str">
        <x:v>Byt</x:v>
      </x:c>
      <x:c r="H1175" s="12" t="n">
        <x:v>2</x:v>
      </x:c>
      <x:c r="I1175" s="13" t="n">
        <x:v>7</x:v>
      </x:c>
      <x:c r="J1175" t="str">
        <x:v>C</x:v>
      </x:c>
      <x:c r="K1175" s="14" t="n">
        <x:v>47.54</x:v>
      </x:c>
      <x:c r="L1175" s="14"/>
      <x:c r="M1175" s="14"/>
      <x:c r="N1175" s="14"/>
      <x:c r="O1175" s="14"/>
      <x:c r="P1175" s="14" t="n">
        <x:v>10.87</x:v>
      </x:c>
      <x:c r="Q1175" s="14" t="n">
        <x:v>58.41</x:v>
      </x:c>
      <x:c r="R1175" s="15"/>
      <x:c r="S1175" s="15"/>
      <x:c r="T1175" s="15"/>
      <x:c r="U1175" s="16"/>
      <x:c r="V1175" t="str">
        <x:v>Tatra Real</x:v>
      </x:c>
      <x:c r="W1175" t="str">
        <x:v>Ružinov</x:v>
      </x:c>
      <x:c r="X1175" s="11" t="str">
        <x:v>Predrezervovaný</x:v>
      </x:c>
      <x:c r="Y1175" s="11" t="str">
        <x:v>https://www.galvania.sk/byty/mam-zaujem-o-byt-C7.08/</x:v>
      </x:c>
      <x:c r="Z1175" s="11" t="n">
        <x:v>46249.4134212037</x:v>
      </x:c>
      <x:c r="AA1175" s="11" t="n">
        <x:v>46254.51251577547</x:v>
      </x:c>
      <x:c r="AB1175" s="11" t="n">
        <x:v>46254.51251577547</x:v>
      </x:c>
      <x:c r="AC1175" t="str">
        <x:v>galvania_rezidencie</x:v>
      </x:c>
    </x:row>
    <x:row r="1176" ht="22" customHeight="1">
      <x:c r="A1176" t="str">
        <x:v>Galvania Rezidencie</x:v>
      </x:c>
      <x:c r="B1176" t="str">
        <x:v>C7.09</x:v>
      </x:c>
      <x:c r="C1176" t="str">
        <x:v>pre_reserved</x:v>
      </x:c>
      <x:c r="D1176" t="str">
        <x:v>present</x:v>
      </x:c>
      <x:c r="E1176" t="str">
        <x:v>baseline</x:v>
      </x:c>
      <x:c r="F1176" s="11" t="n">
        <x:v>46249.4134212037</x:v>
      </x:c>
      <x:c r="G1176" t="str">
        <x:v>Byt</x:v>
      </x:c>
      <x:c r="H1176" s="12" t="n">
        <x:v>2</x:v>
      </x:c>
      <x:c r="I1176" s="13" t="n">
        <x:v>7</x:v>
      </x:c>
      <x:c r="J1176" t="str">
        <x:v>C</x:v>
      </x:c>
      <x:c r="K1176" s="14" t="n">
        <x:v>48.04</x:v>
      </x:c>
      <x:c r="L1176" s="14"/>
      <x:c r="M1176" s="14"/>
      <x:c r="N1176" s="14"/>
      <x:c r="O1176" s="14"/>
      <x:c r="P1176" s="14" t="n">
        <x:v>10.91</x:v>
      </x:c>
      <x:c r="Q1176" s="14" t="n">
        <x:v>58.95</x:v>
      </x:c>
      <x:c r="R1176" s="15"/>
      <x:c r="S1176" s="15"/>
      <x:c r="T1176" s="15"/>
      <x:c r="U1176" s="16"/>
      <x:c r="V1176" t="str">
        <x:v>Tatra Real</x:v>
      </x:c>
      <x:c r="W1176" t="str">
        <x:v>Ružinov</x:v>
      </x:c>
      <x:c r="X1176" s="11" t="str">
        <x:v>Predrezervovaný</x:v>
      </x:c>
      <x:c r="Y1176" s="11" t="str">
        <x:v>https://www.galvania.sk/byty/mam-zaujem-o-byt-C7.09/</x:v>
      </x:c>
      <x:c r="Z1176" s="11" t="n">
        <x:v>46249.4134212037</x:v>
      </x:c>
      <x:c r="AA1176" s="11" t="n">
        <x:v>46254.51251577547</x:v>
      </x:c>
      <x:c r="AB1176" s="11" t="n">
        <x:v>46254.51251577547</x:v>
      </x:c>
      <x:c r="AC1176" t="str">
        <x:v>galvania_rezidencie</x:v>
      </x:c>
    </x:row>
    <x:row r="1177" ht="22" customHeight="1">
      <x:c r="A1177" t="str">
        <x:v>Galvania Rezidencie</x:v>
      </x:c>
      <x:c r="B1177" t="str">
        <x:v>C7.10</x:v>
      </x:c>
      <x:c r="C1177" t="str">
        <x:v>pre_reserved</x:v>
      </x:c>
      <x:c r="D1177" t="str">
        <x:v>present</x:v>
      </x:c>
      <x:c r="E1177" t="str">
        <x:v>baseline</x:v>
      </x:c>
      <x:c r="F1177" s="11" t="n">
        <x:v>46249.4134212037</x:v>
      </x:c>
      <x:c r="G1177" t="str">
        <x:v>Byt</x:v>
      </x:c>
      <x:c r="H1177" s="12" t="n">
        <x:v>2</x:v>
      </x:c>
      <x:c r="I1177" s="13" t="n">
        <x:v>7</x:v>
      </x:c>
      <x:c r="J1177" t="str">
        <x:v>C</x:v>
      </x:c>
      <x:c r="K1177" s="14" t="n">
        <x:v>47.47</x:v>
      </x:c>
      <x:c r="L1177" s="14"/>
      <x:c r="M1177" s="14"/>
      <x:c r="N1177" s="14"/>
      <x:c r="O1177" s="14"/>
      <x:c r="P1177" s="14" t="n">
        <x:v>3.52</x:v>
      </x:c>
      <x:c r="Q1177" s="14" t="n">
        <x:v>50.99</x:v>
      </x:c>
      <x:c r="R1177" s="15"/>
      <x:c r="S1177" s="15"/>
      <x:c r="T1177" s="15"/>
      <x:c r="U1177" s="16"/>
      <x:c r="V1177" t="str">
        <x:v>Tatra Real</x:v>
      </x:c>
      <x:c r="W1177" t="str">
        <x:v>Ružinov</x:v>
      </x:c>
      <x:c r="X1177" s="11" t="str">
        <x:v>Predrezervovaný</x:v>
      </x:c>
      <x:c r="Y1177" s="11" t="str">
        <x:v>https://www.galvania.sk/byty/mam-zaujem-o-byt-C7.10/</x:v>
      </x:c>
      <x:c r="Z1177" s="11" t="n">
        <x:v>46249.4134212037</x:v>
      </x:c>
      <x:c r="AA1177" s="11" t="n">
        <x:v>46254.51251577547</x:v>
      </x:c>
      <x:c r="AB1177" s="11" t="n">
        <x:v>46254.51251577547</x:v>
      </x:c>
      <x:c r="AC1177" t="str">
        <x:v>galvania_rezidencie</x:v>
      </x:c>
    </x:row>
    <x:row r="1178" ht="22" customHeight="1">
      <x:c r="A1178" t="str">
        <x:v>Galvania Rezidencie</x:v>
      </x:c>
      <x:c r="B1178" t="str">
        <x:v>C7.11</x:v>
      </x:c>
      <x:c r="C1178" t="str">
        <x:v>pre_reserved</x:v>
      </x:c>
      <x:c r="D1178" t="str">
        <x:v>present</x:v>
      </x:c>
      <x:c r="E1178" t="str">
        <x:v>baseline</x:v>
      </x:c>
      <x:c r="F1178" s="11" t="n">
        <x:v>46249.4134212037</x:v>
      </x:c>
      <x:c r="G1178" t="str">
        <x:v>Byt</x:v>
      </x:c>
      <x:c r="H1178" s="12" t="n">
        <x:v>2</x:v>
      </x:c>
      <x:c r="I1178" s="13" t="n">
        <x:v>7</x:v>
      </x:c>
      <x:c r="J1178" t="str">
        <x:v>C</x:v>
      </x:c>
      <x:c r="K1178" s="14" t="n">
        <x:v>47.66</x:v>
      </x:c>
      <x:c r="L1178" s="14"/>
      <x:c r="M1178" s="14"/>
      <x:c r="N1178" s="14"/>
      <x:c r="O1178" s="14"/>
      <x:c r="P1178" s="14" t="n">
        <x:v>3.52</x:v>
      </x:c>
      <x:c r="Q1178" s="14" t="n">
        <x:v>51.18</x:v>
      </x:c>
      <x:c r="R1178" s="15"/>
      <x:c r="S1178" s="15"/>
      <x:c r="T1178" s="15"/>
      <x:c r="U1178" s="16"/>
      <x:c r="V1178" t="str">
        <x:v>Tatra Real</x:v>
      </x:c>
      <x:c r="W1178" t="str">
        <x:v>Ružinov</x:v>
      </x:c>
      <x:c r="X1178" s="11" t="str">
        <x:v>Predrezervovaný</x:v>
      </x:c>
      <x:c r="Y1178" s="11" t="str">
        <x:v>https://www.galvania.sk/byty/mam-zaujem-o-byt-C7.11/</x:v>
      </x:c>
      <x:c r="Z1178" s="11" t="n">
        <x:v>46249.4134212037</x:v>
      </x:c>
      <x:c r="AA1178" s="11" t="n">
        <x:v>46254.51251577547</x:v>
      </x:c>
      <x:c r="AB1178" s="11" t="n">
        <x:v>46254.51251577547</x:v>
      </x:c>
      <x:c r="AC1178" t="str">
        <x:v>galvania_rezidencie</x:v>
      </x:c>
    </x:row>
    <x:row r="1179" ht="22" customHeight="1">
      <x:c r="A1179" t="str">
        <x:v>Galvania Rezidencie</x:v>
      </x:c>
      <x:c r="B1179" t="str">
        <x:v>C8.01</x:v>
      </x:c>
      <x:c r="C1179" t="str">
        <x:v>available</x:v>
      </x:c>
      <x:c r="D1179" t="str">
        <x:v>present</x:v>
      </x:c>
      <x:c r="E1179" t="str">
        <x:v>baseline</x:v>
      </x:c>
      <x:c r="F1179" s="11" t="n">
        <x:v>46249.4134212037</x:v>
      </x:c>
      <x:c r="G1179" t="str">
        <x:v>Byt</x:v>
      </x:c>
      <x:c r="H1179" s="12" t="n">
        <x:v>3</x:v>
      </x:c>
      <x:c r="I1179" s="13" t="n">
        <x:v>8</x:v>
      </x:c>
      <x:c r="J1179" t="str">
        <x:v>C</x:v>
      </x:c>
      <x:c r="K1179" s="14" t="n">
        <x:v>80.16</x:v>
      </x:c>
      <x:c r="L1179" s="14"/>
      <x:c r="M1179" s="14"/>
      <x:c r="N1179" s="14"/>
      <x:c r="O1179" s="14"/>
      <x:c r="P1179" s="14" t="n">
        <x:v>65.17</x:v>
      </x:c>
      <x:c r="Q1179" s="14" t="n">
        <x:v>145.33</x:v>
      </x:c>
      <x:c r="R1179" s="15" t="n">
        <x:v>495000</x:v>
      </x:c>
      <x:c r="S1179" s="15" t="n">
        <x:v>495000</x:v>
      </x:c>
      <x:c r="T1179" s="15"/>
      <x:c r="U1179" s="16" t="n">
        <x:v>6175.15</x:v>
      </x:c>
      <x:c r="V1179" t="str">
        <x:v>Tatra Real</x:v>
      </x:c>
      <x:c r="W1179" t="str">
        <x:v>Ružinov</x:v>
      </x:c>
      <x:c r="X1179" s="11" t="str">
        <x:v>Voľný</x:v>
      </x:c>
      <x:c r="Y1179" s="11" t="str">
        <x:v>https://www.galvania.sk/byty/mam-zaujem-o-byt-C8.01/</x:v>
      </x:c>
      <x:c r="Z1179" s="11" t="n">
        <x:v>46249.4134212037</x:v>
      </x:c>
      <x:c r="AA1179" s="11" t="n">
        <x:v>46254.51251577547</x:v>
      </x:c>
      <x:c r="AB1179" s="11" t="n">
        <x:v>46254.51251577547</x:v>
      </x:c>
      <x:c r="AC1179" t="str">
        <x:v>galvania_rezidencie</x:v>
      </x:c>
    </x:row>
    <x:row r="1180" ht="22" customHeight="1">
      <x:c r="A1180" t="str">
        <x:v>Galvania Rezidencie</x:v>
      </x:c>
      <x:c r="B1180" t="str">
        <x:v>C8.02</x:v>
      </x:c>
      <x:c r="C1180" t="str">
        <x:v>available</x:v>
      </x:c>
      <x:c r="D1180" t="str">
        <x:v>present</x:v>
      </x:c>
      <x:c r="E1180" t="str">
        <x:v>baseline</x:v>
      </x:c>
      <x:c r="F1180" s="11" t="n">
        <x:v>46249.4134212037</x:v>
      </x:c>
      <x:c r="G1180" t="str">
        <x:v>Byt</x:v>
      </x:c>
      <x:c r="H1180" s="12" t="n">
        <x:v>2</x:v>
      </x:c>
      <x:c r="I1180" s="13" t="n">
        <x:v>8</x:v>
      </x:c>
      <x:c r="J1180" t="str">
        <x:v>C</x:v>
      </x:c>
      <x:c r="K1180" s="14" t="n">
        <x:v>54.55</x:v>
      </x:c>
      <x:c r="L1180" s="14"/>
      <x:c r="M1180" s="14"/>
      <x:c r="N1180" s="14"/>
      <x:c r="O1180" s="14"/>
      <x:c r="P1180" s="14" t="n">
        <x:v>30.81</x:v>
      </x:c>
      <x:c r="Q1180" s="14" t="n">
        <x:v>85.36</x:v>
      </x:c>
      <x:c r="R1180" s="15" t="n">
        <x:v>332100</x:v>
      </x:c>
      <x:c r="S1180" s="15" t="n">
        <x:v>332100</x:v>
      </x:c>
      <x:c r="T1180" s="15"/>
      <x:c r="U1180" s="16" t="n">
        <x:v>6087.99</x:v>
      </x:c>
      <x:c r="V1180" t="str">
        <x:v>Tatra Real</x:v>
      </x:c>
      <x:c r="W1180" t="str">
        <x:v>Ružinov</x:v>
      </x:c>
      <x:c r="X1180" s="11" t="str">
        <x:v>Voľný</x:v>
      </x:c>
      <x:c r="Y1180" s="11" t="str">
        <x:v>https://www.galvania.sk/byty/mam-zaujem-o-byt-C8.02/</x:v>
      </x:c>
      <x:c r="Z1180" s="11" t="n">
        <x:v>46249.4134212037</x:v>
      </x:c>
      <x:c r="AA1180" s="11" t="n">
        <x:v>46254.51251577547</x:v>
      </x:c>
      <x:c r="AB1180" s="11" t="n">
        <x:v>46254.51251577547</x:v>
      </x:c>
      <x:c r="AC1180" t="str">
        <x:v>galvania_rezidencie</x:v>
      </x:c>
    </x:row>
    <x:row r="1181" ht="22" customHeight="1">
      <x:c r="A1181" t="str">
        <x:v>Galvania Rezidencie</x:v>
      </x:c>
      <x:c r="B1181" t="str">
        <x:v>C8.03</x:v>
      </x:c>
      <x:c r="C1181" t="str">
        <x:v>pre_reserved</x:v>
      </x:c>
      <x:c r="D1181" t="str">
        <x:v>present</x:v>
      </x:c>
      <x:c r="E1181" t="str">
        <x:v>baseline</x:v>
      </x:c>
      <x:c r="F1181" s="11" t="n">
        <x:v>46249.4134212037</x:v>
      </x:c>
      <x:c r="G1181" t="str">
        <x:v>Byt</x:v>
      </x:c>
      <x:c r="H1181" s="12" t="n">
        <x:v>2</x:v>
      </x:c>
      <x:c r="I1181" s="13" t="n">
        <x:v>8</x:v>
      </x:c>
      <x:c r="J1181" t="str">
        <x:v>C</x:v>
      </x:c>
      <x:c r="K1181" s="14" t="n">
        <x:v>57.76</x:v>
      </x:c>
      <x:c r="L1181" s="14"/>
      <x:c r="M1181" s="14"/>
      <x:c r="N1181" s="14"/>
      <x:c r="O1181" s="14"/>
      <x:c r="P1181" s="14" t="n">
        <x:v>36.6</x:v>
      </x:c>
      <x:c r="Q1181" s="14" t="n">
        <x:v>94.36</x:v>
      </x:c>
      <x:c r="R1181" s="15"/>
      <x:c r="S1181" s="15"/>
      <x:c r="T1181" s="15"/>
      <x:c r="U1181" s="16"/>
      <x:c r="V1181" t="str">
        <x:v>Tatra Real</x:v>
      </x:c>
      <x:c r="W1181" t="str">
        <x:v>Ružinov</x:v>
      </x:c>
      <x:c r="X1181" s="11" t="str">
        <x:v>Predrezervovaný</x:v>
      </x:c>
      <x:c r="Y1181" s="11" t="str">
        <x:v>https://www.galvania.sk/byty/mam-zaujem-o-byt-C8.03/</x:v>
      </x:c>
      <x:c r="Z1181" s="11" t="n">
        <x:v>46249.4134212037</x:v>
      </x:c>
      <x:c r="AA1181" s="11" t="n">
        <x:v>46254.51251577547</x:v>
      </x:c>
      <x:c r="AB1181" s="11" t="n">
        <x:v>46254.51251577547</x:v>
      </x:c>
      <x:c r="AC1181" t="str">
        <x:v>galvania_rezidencie</x:v>
      </x:c>
    </x:row>
    <x:row r="1182" ht="22" customHeight="1">
      <x:c r="A1182" t="str">
        <x:v>Galvania Rezidencie</x:v>
      </x:c>
      <x:c r="B1182" t="str">
        <x:v>C8.04</x:v>
      </x:c>
      <x:c r="C1182" t="str">
        <x:v>pre_reserved</x:v>
      </x:c>
      <x:c r="D1182" t="str">
        <x:v>present</x:v>
      </x:c>
      <x:c r="E1182" t="str">
        <x:v>baseline</x:v>
      </x:c>
      <x:c r="F1182" s="11" t="n">
        <x:v>46249.4134212037</x:v>
      </x:c>
      <x:c r="G1182" t="str">
        <x:v>Byt</x:v>
      </x:c>
      <x:c r="H1182" s="12" t="n">
        <x:v>3</x:v>
      </x:c>
      <x:c r="I1182" s="13" t="n">
        <x:v>8</x:v>
      </x:c>
      <x:c r="J1182" t="str">
        <x:v>C</x:v>
      </x:c>
      <x:c r="K1182" s="14" t="n">
        <x:v>79.67</x:v>
      </x:c>
      <x:c r="L1182" s="14"/>
      <x:c r="M1182" s="14"/>
      <x:c r="N1182" s="14"/>
      <x:c r="O1182" s="14"/>
      <x:c r="P1182" s="14" t="n">
        <x:v>65.09</x:v>
      </x:c>
      <x:c r="Q1182" s="14" t="n">
        <x:v>144.76</x:v>
      </x:c>
      <x:c r="R1182" s="15"/>
      <x:c r="S1182" s="15"/>
      <x:c r="T1182" s="15"/>
      <x:c r="U1182" s="16"/>
      <x:c r="V1182" t="str">
        <x:v>Tatra Real</x:v>
      </x:c>
      <x:c r="W1182" t="str">
        <x:v>Ružinov</x:v>
      </x:c>
      <x:c r="X1182" s="11" t="str">
        <x:v>Predrezervovaný</x:v>
      </x:c>
      <x:c r="Y1182" s="11" t="str">
        <x:v>https://www.galvania.sk/byty/mam-zaujem-o-byt-C8.04/</x:v>
      </x:c>
      <x:c r="Z1182" s="11" t="n">
        <x:v>46249.4134212037</x:v>
      </x:c>
      <x:c r="AA1182" s="11" t="n">
        <x:v>46254.51251577547</x:v>
      </x:c>
      <x:c r="AB1182" s="11" t="n">
        <x:v>46254.51251577547</x:v>
      </x:c>
      <x:c r="AC1182" t="str">
        <x:v>galvania_rezidencie</x:v>
      </x:c>
    </x:row>
    <x:row r="1183" ht="22" customHeight="1">
      <x:c r="A1183" t="str">
        <x:v>Jašik Ružinov</x:v>
      </x:c>
      <x:c r="B1183" t="str">
        <x:v>A1.2</x:v>
      </x:c>
      <x:c r="C1183" t="str">
        <x:v>available</x:v>
      </x:c>
      <x:c r="D1183" t="str">
        <x:v>present</x:v>
      </x:c>
      <x:c r="E1183" t="str">
        <x:v>baseline</x:v>
      </x:c>
      <x:c r="F1183" s="11" t="n">
        <x:v>46249.4134212037</x:v>
      </x:c>
      <x:c r="G1183" t="str"/>
      <x:c r="H1183" s="12" t="n">
        <x:v>3</x:v>
      </x:c>
      <x:c r="I1183" s="13" t="n">
        <x:v>2</x:v>
      </x:c>
      <x:c r="J1183" t="str">
        <x:v>A</x:v>
      </x:c>
      <x:c r="K1183" s="14" t="n">
        <x:v>79.26</x:v>
      </x:c>
      <x:c r="L1183" s="14"/>
      <x:c r="M1183" s="14"/>
      <x:c r="N1183" s="14"/>
      <x:c r="O1183" s="14"/>
      <x:c r="P1183" s="14" t="n">
        <x:v>42.16</x:v>
      </x:c>
      <x:c r="Q1183" s="14" t="n">
        <x:v>121.42</x:v>
      </x:c>
      <x:c r="R1183" s="15" t="n">
        <x:v>516600</x:v>
      </x:c>
      <x:c r="S1183" s="15" t="n">
        <x:v>516600</x:v>
      </x:c>
      <x:c r="T1183" s="15"/>
      <x:c r="U1183" s="16" t="n">
        <x:v>6517.79</x:v>
      </x:c>
      <x:c r="V1183" t="str">
        <x:v>CRESCO Real Estate</x:v>
      </x:c>
      <x:c r="W1183" t="str">
        <x:v>Ružinov</x:v>
      </x:c>
      <x:c r="X1183" s="11" t="str">
        <x:v>voľný</x:v>
      </x:c>
      <x:c r="Y1183" s="11" t="str">
        <x:v>https://jasikruzinov.sk/ponuka-bytov/a1-2</x:v>
      </x:c>
      <x:c r="Z1183" s="11" t="n">
        <x:v>46249.4134212037</x:v>
      </x:c>
      <x:c r="AA1183" s="11" t="n">
        <x:v>46254.51251577547</x:v>
      </x:c>
      <x:c r="AB1183" s="11" t="n">
        <x:v>46254.51251577547</x:v>
      </x:c>
      <x:c r="AC1183" t="str">
        <x:v>jasik_ruzinov</x:v>
      </x:c>
    </x:row>
    <x:row r="1184" ht="22" customHeight="1">
      <x:c r="A1184" t="str">
        <x:v>Jašik Ružinov</x:v>
      </x:c>
      <x:c r="B1184" t="str">
        <x:v>A1.3</x:v>
      </x:c>
      <x:c r="C1184" t="str">
        <x:v>sold</x:v>
      </x:c>
      <x:c r="D1184" t="str">
        <x:v>present</x:v>
      </x:c>
      <x:c r="E1184" t="str">
        <x:v>baseline</x:v>
      </x:c>
      <x:c r="F1184" s="11" t="n">
        <x:v>46249.4134212037</x:v>
      </x:c>
      <x:c r="G1184" t="str"/>
      <x:c r="H1184" s="12" t="n">
        <x:v>3</x:v>
      </x:c>
      <x:c r="I1184" s="13" t="n">
        <x:v>3</x:v>
      </x:c>
      <x:c r="J1184" t="str">
        <x:v>A</x:v>
      </x:c>
      <x:c r="K1184" s="14" t="n">
        <x:v>79.26</x:v>
      </x:c>
      <x:c r="L1184" s="14"/>
      <x:c r="M1184" s="14"/>
      <x:c r="N1184" s="14"/>
      <x:c r="O1184" s="14"/>
      <x:c r="P1184" s="14" t="n">
        <x:v>7.81</x:v>
      </x:c>
      <x:c r="Q1184" s="14" t="n">
        <x:v>87.07</x:v>
      </x:c>
      <x:c r="R1184" s="15"/>
      <x:c r="S1184" s="15"/>
      <x:c r="T1184" s="15"/>
      <x:c r="U1184" s="16"/>
      <x:c r="V1184" t="str">
        <x:v>CRESCO Real Estate</x:v>
      </x:c>
      <x:c r="W1184" t="str">
        <x:v>Ružinov</x:v>
      </x:c>
      <x:c r="X1184" s="11" t="str">
        <x:v>predaný</x:v>
      </x:c>
      <x:c r="Y1184" s="11" t="str">
        <x:v>https://jasikruzinov.sk/ponuka-bytov/a1-3</x:v>
      </x:c>
      <x:c r="Z1184" s="11" t="n">
        <x:v>46249.4134212037</x:v>
      </x:c>
      <x:c r="AA1184" s="11" t="n">
        <x:v>46254.51251577547</x:v>
      </x:c>
      <x:c r="AB1184" s="11" t="n">
        <x:v>46254.51251577547</x:v>
      </x:c>
      <x:c r="AC1184" t="str">
        <x:v>jasik_ruzinov</x:v>
      </x:c>
    </x:row>
    <x:row r="1185" ht="22" customHeight="1">
      <x:c r="A1185" t="str">
        <x:v>Jašik Ružinov</x:v>
      </x:c>
      <x:c r="B1185" t="str">
        <x:v>A1.4</x:v>
      </x:c>
      <x:c r="C1185" t="str">
        <x:v>sold</x:v>
      </x:c>
      <x:c r="D1185" t="str">
        <x:v>present</x:v>
      </x:c>
      <x:c r="E1185" t="str">
        <x:v>baseline</x:v>
      </x:c>
      <x:c r="F1185" s="11" t="n">
        <x:v>46249.4134212037</x:v>
      </x:c>
      <x:c r="G1185" t="str"/>
      <x:c r="H1185" s="12" t="n">
        <x:v>3</x:v>
      </x:c>
      <x:c r="I1185" s="13" t="n">
        <x:v>4</x:v>
      </x:c>
      <x:c r="J1185" t="str">
        <x:v>A</x:v>
      </x:c>
      <x:c r="K1185" s="14" t="n">
        <x:v>79.26</x:v>
      </x:c>
      <x:c r="L1185" s="14"/>
      <x:c r="M1185" s="14"/>
      <x:c r="N1185" s="14"/>
      <x:c r="O1185" s="14"/>
      <x:c r="P1185" s="14" t="n">
        <x:v>7.81</x:v>
      </x:c>
      <x:c r="Q1185" s="14" t="n">
        <x:v>87.07</x:v>
      </x:c>
      <x:c r="R1185" s="15"/>
      <x:c r="S1185" s="15"/>
      <x:c r="T1185" s="15"/>
      <x:c r="U1185" s="16"/>
      <x:c r="V1185" t="str">
        <x:v>CRESCO Real Estate</x:v>
      </x:c>
      <x:c r="W1185" t="str">
        <x:v>Ružinov</x:v>
      </x:c>
      <x:c r="X1185" s="11" t="str">
        <x:v>predaný</x:v>
      </x:c>
      <x:c r="Y1185" s="11" t="str">
        <x:v>https://jasikruzinov.sk/ponuka-bytov/a1-4</x:v>
      </x:c>
      <x:c r="Z1185" s="11" t="n">
        <x:v>46249.4134212037</x:v>
      </x:c>
      <x:c r="AA1185" s="11" t="n">
        <x:v>46254.51251577547</x:v>
      </x:c>
      <x:c r="AB1185" s="11" t="n">
        <x:v>46254.51251577547</x:v>
      </x:c>
      <x:c r="AC1185" t="str">
        <x:v>jasik_ruzinov</x:v>
      </x:c>
    </x:row>
    <x:row r="1186" ht="22" customHeight="1">
      <x:c r="A1186" t="str">
        <x:v>Jašik Ružinov</x:v>
      </x:c>
      <x:c r="B1186" t="str">
        <x:v>A1.5</x:v>
      </x:c>
      <x:c r="C1186" t="str">
        <x:v>sold</x:v>
      </x:c>
      <x:c r="D1186" t="str">
        <x:v>present</x:v>
      </x:c>
      <x:c r="E1186" t="str">
        <x:v>baseline</x:v>
      </x:c>
      <x:c r="F1186" s="11" t="n">
        <x:v>46249.4134212037</x:v>
      </x:c>
      <x:c r="G1186" t="str"/>
      <x:c r="H1186" s="12" t="n">
        <x:v>3</x:v>
      </x:c>
      <x:c r="I1186" s="13" t="n">
        <x:v>5</x:v>
      </x:c>
      <x:c r="J1186" t="str">
        <x:v>A</x:v>
      </x:c>
      <x:c r="K1186" s="14" t="n">
        <x:v>79.26</x:v>
      </x:c>
      <x:c r="L1186" s="14"/>
      <x:c r="M1186" s="14"/>
      <x:c r="N1186" s="14"/>
      <x:c r="O1186" s="14"/>
      <x:c r="P1186" s="14" t="n">
        <x:v>7.81</x:v>
      </x:c>
      <x:c r="Q1186" s="14" t="n">
        <x:v>87.07</x:v>
      </x:c>
      <x:c r="R1186" s="15"/>
      <x:c r="S1186" s="15"/>
      <x:c r="T1186" s="15"/>
      <x:c r="U1186" s="16"/>
      <x:c r="V1186" t="str">
        <x:v>CRESCO Real Estate</x:v>
      </x:c>
      <x:c r="W1186" t="str">
        <x:v>Ružinov</x:v>
      </x:c>
      <x:c r="X1186" s="11" t="str">
        <x:v>predaný</x:v>
      </x:c>
      <x:c r="Y1186" s="11" t="str">
        <x:v>https://jasikruzinov.sk/ponuka-bytov/a1-5</x:v>
      </x:c>
      <x:c r="Z1186" s="11" t="n">
        <x:v>46249.4134212037</x:v>
      </x:c>
      <x:c r="AA1186" s="11" t="n">
        <x:v>46254.51251577547</x:v>
      </x:c>
      <x:c r="AB1186" s="11" t="n">
        <x:v>46254.51251577547</x:v>
      </x:c>
      <x:c r="AC1186" t="str">
        <x:v>jasik_ruzinov</x:v>
      </x:c>
    </x:row>
    <x:row r="1187" ht="22" customHeight="1">
      <x:c r="A1187" t="str">
        <x:v>Jašik Ružinov</x:v>
      </x:c>
      <x:c r="B1187" t="str">
        <x:v>A2.2</x:v>
      </x:c>
      <x:c r="C1187" t="str">
        <x:v>available</x:v>
      </x:c>
      <x:c r="D1187" t="str">
        <x:v>present</x:v>
      </x:c>
      <x:c r="E1187" t="str">
        <x:v>baseline</x:v>
      </x:c>
      <x:c r="F1187" s="11" t="n">
        <x:v>46249.4134212037</x:v>
      </x:c>
      <x:c r="G1187" t="str"/>
      <x:c r="H1187" s="12" t="n">
        <x:v>2</x:v>
      </x:c>
      <x:c r="I1187" s="13" t="n">
        <x:v>2</x:v>
      </x:c>
      <x:c r="J1187" t="str">
        <x:v>A</x:v>
      </x:c>
      <x:c r="K1187" s="14" t="n">
        <x:v>52.9</x:v>
      </x:c>
      <x:c r="L1187" s="14"/>
      <x:c r="M1187" s="14"/>
      <x:c r="N1187" s="14"/>
      <x:c r="O1187" s="14"/>
      <x:c r="P1187" s="14" t="n">
        <x:v>22.9</x:v>
      </x:c>
      <x:c r="Q1187" s="14" t="n">
        <x:v>75.8</x:v>
      </x:c>
      <x:c r="R1187" s="15" t="n">
        <x:v>337020</x:v>
      </x:c>
      <x:c r="S1187" s="15" t="n">
        <x:v>337020</x:v>
      </x:c>
      <x:c r="T1187" s="15"/>
      <x:c r="U1187" s="16" t="n">
        <x:v>6370.89</x:v>
      </x:c>
      <x:c r="V1187" t="str">
        <x:v>CRESCO Real Estate</x:v>
      </x:c>
      <x:c r="W1187" t="str">
        <x:v>Ružinov</x:v>
      </x:c>
      <x:c r="X1187" s="11" t="str">
        <x:v>voľný</x:v>
      </x:c>
      <x:c r="Y1187" s="11" t="str">
        <x:v>https://jasikruzinov.sk/ponuka-bytov/a2-2</x:v>
      </x:c>
      <x:c r="Z1187" s="11" t="n">
        <x:v>46249.4134212037</x:v>
      </x:c>
      <x:c r="AA1187" s="11" t="n">
        <x:v>46254.51251577547</x:v>
      </x:c>
      <x:c r="AB1187" s="11" t="n">
        <x:v>46254.51251577547</x:v>
      </x:c>
      <x:c r="AC1187" t="str">
        <x:v>jasik_ruzinov</x:v>
      </x:c>
    </x:row>
    <x:row r="1188" ht="22" customHeight="1">
      <x:c r="A1188" t="str">
        <x:v>Jašik Ružinov</x:v>
      </x:c>
      <x:c r="B1188" t="str">
        <x:v>A2.3</x:v>
      </x:c>
      <x:c r="C1188" t="str">
        <x:v>available</x:v>
      </x:c>
      <x:c r="D1188" t="str">
        <x:v>present</x:v>
      </x:c>
      <x:c r="E1188" t="str">
        <x:v>baseline</x:v>
      </x:c>
      <x:c r="F1188" s="11" t="n">
        <x:v>46249.4134212037</x:v>
      </x:c>
      <x:c r="G1188" t="str"/>
      <x:c r="H1188" s="12" t="n">
        <x:v>2</x:v>
      </x:c>
      <x:c r="I1188" s="13" t="n">
        <x:v>3</x:v>
      </x:c>
      <x:c r="J1188" t="str">
        <x:v>A</x:v>
      </x:c>
      <x:c r="K1188" s="14" t="n">
        <x:v>52.9</x:v>
      </x:c>
      <x:c r="L1188" s="14"/>
      <x:c r="M1188" s="14"/>
      <x:c r="N1188" s="14"/>
      <x:c r="O1188" s="14"/>
      <x:c r="P1188" s="14" t="n">
        <x:v>22.9</x:v>
      </x:c>
      <x:c r="Q1188" s="14" t="n">
        <x:v>75.8</x:v>
      </x:c>
      <x:c r="R1188" s="15" t="n">
        <x:v>339480</x:v>
      </x:c>
      <x:c r="S1188" s="15" t="n">
        <x:v>339480</x:v>
      </x:c>
      <x:c r="T1188" s="15"/>
      <x:c r="U1188" s="16" t="n">
        <x:v>6417.39</x:v>
      </x:c>
      <x:c r="V1188" t="str">
        <x:v>CRESCO Real Estate</x:v>
      </x:c>
      <x:c r="W1188" t="str">
        <x:v>Ružinov</x:v>
      </x:c>
      <x:c r="X1188" s="11" t="str">
        <x:v>voľný</x:v>
      </x:c>
      <x:c r="Y1188" s="11" t="str">
        <x:v>https://jasikruzinov.sk/ponuka-bytov/a2-3</x:v>
      </x:c>
      <x:c r="Z1188" s="11" t="n">
        <x:v>46249.4134212037</x:v>
      </x:c>
      <x:c r="AA1188" s="11" t="n">
        <x:v>46254.51251577547</x:v>
      </x:c>
      <x:c r="AB1188" s="11" t="n">
        <x:v>46254.51251577547</x:v>
      </x:c>
      <x:c r="AC1188" t="str">
        <x:v>jasik_ruzinov</x:v>
      </x:c>
    </x:row>
    <x:row r="1189" ht="22" customHeight="1">
      <x:c r="A1189" t="str">
        <x:v>Jašik Ružinov</x:v>
      </x:c>
      <x:c r="B1189" t="str">
        <x:v>A2.4</x:v>
      </x:c>
      <x:c r="C1189" t="str">
        <x:v>available</x:v>
      </x:c>
      <x:c r="D1189" t="str">
        <x:v>present</x:v>
      </x:c>
      <x:c r="E1189" t="str">
        <x:v>baseline</x:v>
      </x:c>
      <x:c r="F1189" s="11" t="n">
        <x:v>46249.4134212037</x:v>
      </x:c>
      <x:c r="G1189" t="str"/>
      <x:c r="H1189" s="12" t="n">
        <x:v>2</x:v>
      </x:c>
      <x:c r="I1189" s="13" t="n">
        <x:v>4</x:v>
      </x:c>
      <x:c r="J1189" t="str">
        <x:v>A</x:v>
      </x:c>
      <x:c r="K1189" s="14" t="n">
        <x:v>52.9</x:v>
      </x:c>
      <x:c r="L1189" s="14"/>
      <x:c r="M1189" s="14"/>
      <x:c r="N1189" s="14"/>
      <x:c r="O1189" s="14"/>
      <x:c r="P1189" s="14" t="n">
        <x:v>22.9</x:v>
      </x:c>
      <x:c r="Q1189" s="14" t="n">
        <x:v>75.8</x:v>
      </x:c>
      <x:c r="R1189" s="15" t="n">
        <x:v>343170</x:v>
      </x:c>
      <x:c r="S1189" s="15" t="n">
        <x:v>343170</x:v>
      </x:c>
      <x:c r="T1189" s="15"/>
      <x:c r="U1189" s="16" t="n">
        <x:v>6487.15</x:v>
      </x:c>
      <x:c r="V1189" t="str">
        <x:v>CRESCO Real Estate</x:v>
      </x:c>
      <x:c r="W1189" t="str">
        <x:v>Ružinov</x:v>
      </x:c>
      <x:c r="X1189" s="11" t="str">
        <x:v>voľný</x:v>
      </x:c>
      <x:c r="Y1189" s="11" t="str">
        <x:v>https://jasikruzinov.sk/ponuka-bytov/a2-4</x:v>
      </x:c>
      <x:c r="Z1189" s="11" t="n">
        <x:v>46249.4134212037</x:v>
      </x:c>
      <x:c r="AA1189" s="11" t="n">
        <x:v>46254.51251577547</x:v>
      </x:c>
      <x:c r="AB1189" s="11" t="n">
        <x:v>46254.51251577547</x:v>
      </x:c>
      <x:c r="AC1189" t="str">
        <x:v>jasik_ruzinov</x:v>
      </x:c>
    </x:row>
    <x:row r="1190" ht="22" customHeight="1">
      <x:c r="A1190" t="str">
        <x:v>Jašik Ružinov</x:v>
      </x:c>
      <x:c r="B1190" t="str">
        <x:v>A2.5</x:v>
      </x:c>
      <x:c r="C1190" t="str">
        <x:v>reserved</x:v>
      </x:c>
      <x:c r="D1190" t="str">
        <x:v>present</x:v>
      </x:c>
      <x:c r="E1190" t="str">
        <x:v>baseline</x:v>
      </x:c>
      <x:c r="F1190" s="11" t="n">
        <x:v>46249.4134212037</x:v>
      </x:c>
      <x:c r="G1190" t="str"/>
      <x:c r="H1190" s="12" t="n">
        <x:v>2</x:v>
      </x:c>
      <x:c r="I1190" s="13" t="n">
        <x:v>5</x:v>
      </x:c>
      <x:c r="J1190" t="str">
        <x:v>A</x:v>
      </x:c>
      <x:c r="K1190" s="14" t="n">
        <x:v>52.9</x:v>
      </x:c>
      <x:c r="L1190" s="14"/>
      <x:c r="M1190" s="14"/>
      <x:c r="N1190" s="14"/>
      <x:c r="O1190" s="14"/>
      <x:c r="P1190" s="14" t="n">
        <x:v>22.9</x:v>
      </x:c>
      <x:c r="Q1190" s="14" t="n">
        <x:v>75.8</x:v>
      </x:c>
      <x:c r="R1190" s="15" t="n">
        <x:v>349320</x:v>
      </x:c>
      <x:c r="S1190" s="15" t="n">
        <x:v>349320</x:v>
      </x:c>
      <x:c r="T1190" s="15"/>
      <x:c r="U1190" s="16" t="n">
        <x:v>6603.4</x:v>
      </x:c>
      <x:c r="V1190" t="str">
        <x:v>CRESCO Real Estate</x:v>
      </x:c>
      <x:c r="W1190" t="str">
        <x:v>Ružinov</x:v>
      </x:c>
      <x:c r="X1190" s="11" t="str">
        <x:v>rezervovaný</x:v>
      </x:c>
      <x:c r="Y1190" s="11" t="str">
        <x:v>https://jasikruzinov.sk/ponuka-bytov/a2-5</x:v>
      </x:c>
      <x:c r="Z1190" s="11" t="n">
        <x:v>46249.4134212037</x:v>
      </x:c>
      <x:c r="AA1190" s="11" t="n">
        <x:v>46254.51251577547</x:v>
      </x:c>
      <x:c r="AB1190" s="11" t="n">
        <x:v>46254.51251577547</x:v>
      </x:c>
      <x:c r="AC1190" t="str">
        <x:v>jasik_ruzinov</x:v>
      </x:c>
    </x:row>
    <x:row r="1191" ht="22" customHeight="1">
      <x:c r="A1191" t="str">
        <x:v>Jašik Ružinov</x:v>
      </x:c>
      <x:c r="B1191" t="str">
        <x:v>A3.2</x:v>
      </x:c>
      <x:c r="C1191" t="str">
        <x:v>sold</x:v>
      </x:c>
      <x:c r="D1191" t="str">
        <x:v>present</x:v>
      </x:c>
      <x:c r="E1191" t="str">
        <x:v>baseline</x:v>
      </x:c>
      <x:c r="F1191" s="11" t="n">
        <x:v>46249.4134212037</x:v>
      </x:c>
      <x:c r="G1191" t="str"/>
      <x:c r="H1191" s="12" t="n">
        <x:v>2</x:v>
      </x:c>
      <x:c r="I1191" s="13" t="n">
        <x:v>2</x:v>
      </x:c>
      <x:c r="J1191" t="str">
        <x:v>A</x:v>
      </x:c>
      <x:c r="K1191" s="14" t="n">
        <x:v>52.82</x:v>
      </x:c>
      <x:c r="L1191" s="14"/>
      <x:c r="M1191" s="14"/>
      <x:c r="N1191" s="14"/>
      <x:c r="O1191" s="14"/>
      <x:c r="P1191" s="14" t="n">
        <x:v>3.84</x:v>
      </x:c>
      <x:c r="Q1191" s="14" t="n">
        <x:v>56.66</x:v>
      </x:c>
      <x:c r="R1191" s="15"/>
      <x:c r="S1191" s="15"/>
      <x:c r="T1191" s="15"/>
      <x:c r="U1191" s="16"/>
      <x:c r="V1191" t="str">
        <x:v>CRESCO Real Estate</x:v>
      </x:c>
      <x:c r="W1191" t="str">
        <x:v>Ružinov</x:v>
      </x:c>
      <x:c r="X1191" s="11" t="str">
        <x:v>predaný</x:v>
      </x:c>
      <x:c r="Y1191" s="11" t="str">
        <x:v>https://jasikruzinov.sk/ponuka-bytov/a3-2</x:v>
      </x:c>
      <x:c r="Z1191" s="11" t="n">
        <x:v>46249.4134212037</x:v>
      </x:c>
      <x:c r="AA1191" s="11" t="n">
        <x:v>46254.51251577547</x:v>
      </x:c>
      <x:c r="AB1191" s="11" t="n">
        <x:v>46254.51251577547</x:v>
      </x:c>
      <x:c r="AC1191" t="str">
        <x:v>jasik_ruzinov</x:v>
      </x:c>
    </x:row>
    <x:row r="1192" ht="22" customHeight="1">
      <x:c r="A1192" t="str">
        <x:v>Jašik Ružinov</x:v>
      </x:c>
      <x:c r="B1192" t="str">
        <x:v>A3.3</x:v>
      </x:c>
      <x:c r="C1192" t="str">
        <x:v>sold</x:v>
      </x:c>
      <x:c r="D1192" t="str">
        <x:v>present</x:v>
      </x:c>
      <x:c r="E1192" t="str">
        <x:v>baseline</x:v>
      </x:c>
      <x:c r="F1192" s="11" t="n">
        <x:v>46249.4134212037</x:v>
      </x:c>
      <x:c r="G1192" t="str"/>
      <x:c r="H1192" s="12" t="n">
        <x:v>2</x:v>
      </x:c>
      <x:c r="I1192" s="13" t="n">
        <x:v>3</x:v>
      </x:c>
      <x:c r="J1192" t="str">
        <x:v>A</x:v>
      </x:c>
      <x:c r="K1192" s="14" t="n">
        <x:v>52.82</x:v>
      </x:c>
      <x:c r="L1192" s="14"/>
      <x:c r="M1192" s="14"/>
      <x:c r="N1192" s="14"/>
      <x:c r="O1192" s="14"/>
      <x:c r="P1192" s="14" t="n">
        <x:v>3.84</x:v>
      </x:c>
      <x:c r="Q1192" s="14" t="n">
        <x:v>56.66</x:v>
      </x:c>
      <x:c r="R1192" s="15"/>
      <x:c r="S1192" s="15"/>
      <x:c r="T1192" s="15"/>
      <x:c r="U1192" s="16"/>
      <x:c r="V1192" t="str">
        <x:v>CRESCO Real Estate</x:v>
      </x:c>
      <x:c r="W1192" t="str">
        <x:v>Ružinov</x:v>
      </x:c>
      <x:c r="X1192" s="11" t="str">
        <x:v>predaný</x:v>
      </x:c>
      <x:c r="Y1192" s="11" t="str">
        <x:v>https://jasikruzinov.sk/ponuka-bytov/a3-3</x:v>
      </x:c>
      <x:c r="Z1192" s="11" t="n">
        <x:v>46249.4134212037</x:v>
      </x:c>
      <x:c r="AA1192" s="11" t="n">
        <x:v>46254.51251577547</x:v>
      </x:c>
      <x:c r="AB1192" s="11" t="n">
        <x:v>46254.51251577547</x:v>
      </x:c>
      <x:c r="AC1192" t="str">
        <x:v>jasik_ruzinov</x:v>
      </x:c>
    </x:row>
    <x:row r="1193" ht="22" customHeight="1">
      <x:c r="A1193" t="str">
        <x:v>Jašik Ružinov</x:v>
      </x:c>
      <x:c r="B1193" t="str">
        <x:v>A3.4</x:v>
      </x:c>
      <x:c r="C1193" t="str">
        <x:v>sold</x:v>
      </x:c>
      <x:c r="D1193" t="str">
        <x:v>present</x:v>
      </x:c>
      <x:c r="E1193" t="str">
        <x:v>baseline</x:v>
      </x:c>
      <x:c r="F1193" s="11" t="n">
        <x:v>46249.4134212037</x:v>
      </x:c>
      <x:c r="G1193" t="str"/>
      <x:c r="H1193" s="12" t="n">
        <x:v>2</x:v>
      </x:c>
      <x:c r="I1193" s="13" t="n">
        <x:v>4</x:v>
      </x:c>
      <x:c r="J1193" t="str">
        <x:v>A</x:v>
      </x:c>
      <x:c r="K1193" s="14" t="n">
        <x:v>52.82</x:v>
      </x:c>
      <x:c r="L1193" s="14"/>
      <x:c r="M1193" s="14"/>
      <x:c r="N1193" s="14"/>
      <x:c r="O1193" s="14"/>
      <x:c r="P1193" s="14" t="n">
        <x:v>3.84</x:v>
      </x:c>
      <x:c r="Q1193" s="14" t="n">
        <x:v>56.66</x:v>
      </x:c>
      <x:c r="R1193" s="15"/>
      <x:c r="S1193" s="15"/>
      <x:c r="T1193" s="15"/>
      <x:c r="U1193" s="16"/>
      <x:c r="V1193" t="str">
        <x:v>CRESCO Real Estate</x:v>
      </x:c>
      <x:c r="W1193" t="str">
        <x:v>Ružinov</x:v>
      </x:c>
      <x:c r="X1193" s="11" t="str">
        <x:v>predaný</x:v>
      </x:c>
      <x:c r="Y1193" s="11" t="str">
        <x:v>https://jasikruzinov.sk/ponuka-bytov/a3-4</x:v>
      </x:c>
      <x:c r="Z1193" s="11" t="n">
        <x:v>46249.4134212037</x:v>
      </x:c>
      <x:c r="AA1193" s="11" t="n">
        <x:v>46254.51251577547</x:v>
      </x:c>
      <x:c r="AB1193" s="11" t="n">
        <x:v>46254.51251577547</x:v>
      </x:c>
      <x:c r="AC1193" t="str">
        <x:v>jasik_ruzinov</x:v>
      </x:c>
    </x:row>
    <x:row r="1194" ht="22" customHeight="1">
      <x:c r="A1194" t="str">
        <x:v>Jašik Ružinov</x:v>
      </x:c>
      <x:c r="B1194" t="str">
        <x:v>A3.5</x:v>
      </x:c>
      <x:c r="C1194" t="str">
        <x:v>sold</x:v>
      </x:c>
      <x:c r="D1194" t="str">
        <x:v>present</x:v>
      </x:c>
      <x:c r="E1194" t="str">
        <x:v>baseline</x:v>
      </x:c>
      <x:c r="F1194" s="11" t="n">
        <x:v>46249.4134212037</x:v>
      </x:c>
      <x:c r="G1194" t="str"/>
      <x:c r="H1194" s="12" t="n">
        <x:v>2</x:v>
      </x:c>
      <x:c r="I1194" s="13" t="n">
        <x:v>5</x:v>
      </x:c>
      <x:c r="J1194" t="str">
        <x:v>A</x:v>
      </x:c>
      <x:c r="K1194" s="14" t="n">
        <x:v>52.82</x:v>
      </x:c>
      <x:c r="L1194" s="14"/>
      <x:c r="M1194" s="14"/>
      <x:c r="N1194" s="14"/>
      <x:c r="O1194" s="14"/>
      <x:c r="P1194" s="14" t="n">
        <x:v>3.84</x:v>
      </x:c>
      <x:c r="Q1194" s="14" t="n">
        <x:v>56.66</x:v>
      </x:c>
      <x:c r="R1194" s="15"/>
      <x:c r="S1194" s="15"/>
      <x:c r="T1194" s="15"/>
      <x:c r="U1194" s="16"/>
      <x:c r="V1194" t="str">
        <x:v>CRESCO Real Estate</x:v>
      </x:c>
      <x:c r="W1194" t="str">
        <x:v>Ružinov</x:v>
      </x:c>
      <x:c r="X1194" s="11" t="str">
        <x:v>predaný</x:v>
      </x:c>
      <x:c r="Y1194" s="11" t="str">
        <x:v>https://jasikruzinov.sk/ponuka-bytov/a3-5</x:v>
      </x:c>
      <x:c r="Z1194" s="11" t="n">
        <x:v>46249.4134212037</x:v>
      </x:c>
      <x:c r="AA1194" s="11" t="n">
        <x:v>46254.51251577547</x:v>
      </x:c>
      <x:c r="AB1194" s="11" t="n">
        <x:v>46254.51251577547</x:v>
      </x:c>
      <x:c r="AC1194" t="str">
        <x:v>jasik_ruzinov</x:v>
      </x:c>
    </x:row>
    <x:row r="1195" ht="22" customHeight="1">
      <x:c r="A1195" t="str">
        <x:v>Jašik Ružinov</x:v>
      </x:c>
      <x:c r="B1195" t="str">
        <x:v>A4.2</x:v>
      </x:c>
      <x:c r="C1195" t="str">
        <x:v>sold</x:v>
      </x:c>
      <x:c r="D1195" t="str">
        <x:v>present</x:v>
      </x:c>
      <x:c r="E1195" t="str">
        <x:v>baseline</x:v>
      </x:c>
      <x:c r="F1195" s="11" t="n">
        <x:v>46249.4134212037</x:v>
      </x:c>
      <x:c r="G1195" t="str"/>
      <x:c r="H1195" s="12" t="n">
        <x:v>1</x:v>
      </x:c>
      <x:c r="I1195" s="13" t="n">
        <x:v>2</x:v>
      </x:c>
      <x:c r="J1195" t="str">
        <x:v>A</x:v>
      </x:c>
      <x:c r="K1195" s="14" t="n">
        <x:v>25.27</x:v>
      </x:c>
      <x:c r="L1195" s="14"/>
      <x:c r="M1195" s="14"/>
      <x:c r="N1195" s="14"/>
      <x:c r="O1195" s="14"/>
      <x:c r="P1195" s="14" t="n">
        <x:v>4.04</x:v>
      </x:c>
      <x:c r="Q1195" s="14" t="n">
        <x:v>29.31</x:v>
      </x:c>
      <x:c r="R1195" s="15"/>
      <x:c r="S1195" s="15"/>
      <x:c r="T1195" s="15"/>
      <x:c r="U1195" s="16"/>
      <x:c r="V1195" t="str">
        <x:v>CRESCO Real Estate</x:v>
      </x:c>
      <x:c r="W1195" t="str">
        <x:v>Ružinov</x:v>
      </x:c>
      <x:c r="X1195" s="11" t="str">
        <x:v>predaný</x:v>
      </x:c>
      <x:c r="Y1195" s="11" t="str">
        <x:v>https://jasikruzinov.sk/ponuka-bytov/a4-2</x:v>
      </x:c>
      <x:c r="Z1195" s="11" t="n">
        <x:v>46249.4134212037</x:v>
      </x:c>
      <x:c r="AA1195" s="11" t="n">
        <x:v>46254.51251577547</x:v>
      </x:c>
      <x:c r="AB1195" s="11" t="n">
        <x:v>46254.51251577547</x:v>
      </x:c>
      <x:c r="AC1195" t="str">
        <x:v>jasik_ruzinov</x:v>
      </x:c>
    </x:row>
    <x:row r="1196" ht="22" customHeight="1">
      <x:c r="A1196" t="str">
        <x:v>Jašik Ružinov</x:v>
      </x:c>
      <x:c r="B1196" t="str">
        <x:v>A4.3</x:v>
      </x:c>
      <x:c r="C1196" t="str">
        <x:v>sold</x:v>
      </x:c>
      <x:c r="D1196" t="str">
        <x:v>present</x:v>
      </x:c>
      <x:c r="E1196" t="str">
        <x:v>baseline</x:v>
      </x:c>
      <x:c r="F1196" s="11" t="n">
        <x:v>46249.4134212037</x:v>
      </x:c>
      <x:c r="G1196" t="str"/>
      <x:c r="H1196" s="12" t="n">
        <x:v>1</x:v>
      </x:c>
      <x:c r="I1196" s="13" t="n">
        <x:v>3</x:v>
      </x:c>
      <x:c r="J1196" t="str">
        <x:v>A</x:v>
      </x:c>
      <x:c r="K1196" s="14" t="n">
        <x:v>25.27</x:v>
      </x:c>
      <x:c r="L1196" s="14"/>
      <x:c r="M1196" s="14"/>
      <x:c r="N1196" s="14"/>
      <x:c r="O1196" s="14"/>
      <x:c r="P1196" s="14" t="n">
        <x:v>4.04</x:v>
      </x:c>
      <x:c r="Q1196" s="14" t="n">
        <x:v>29.31</x:v>
      </x:c>
      <x:c r="R1196" s="15"/>
      <x:c r="S1196" s="15"/>
      <x:c r="T1196" s="15"/>
      <x:c r="U1196" s="16"/>
      <x:c r="V1196" t="str">
        <x:v>CRESCO Real Estate</x:v>
      </x:c>
      <x:c r="W1196" t="str">
        <x:v>Ružinov</x:v>
      </x:c>
      <x:c r="X1196" s="11" t="str">
        <x:v>predaný</x:v>
      </x:c>
      <x:c r="Y1196" s="11" t="str">
        <x:v>https://jasikruzinov.sk/ponuka-bytov/a4-3</x:v>
      </x:c>
      <x:c r="Z1196" s="11" t="n">
        <x:v>46249.4134212037</x:v>
      </x:c>
      <x:c r="AA1196" s="11" t="n">
        <x:v>46254.51251577547</x:v>
      </x:c>
      <x:c r="AB1196" s="11" t="n">
        <x:v>46254.51251577547</x:v>
      </x:c>
      <x:c r="AC1196" t="str">
        <x:v>jasik_ruzinov</x:v>
      </x:c>
    </x:row>
    <x:row r="1197" ht="22" customHeight="1">
      <x:c r="A1197" t="str">
        <x:v>Jašik Ružinov</x:v>
      </x:c>
      <x:c r="B1197" t="str">
        <x:v>A4.4</x:v>
      </x:c>
      <x:c r="C1197" t="str">
        <x:v>sold</x:v>
      </x:c>
      <x:c r="D1197" t="str">
        <x:v>present</x:v>
      </x:c>
      <x:c r="E1197" t="str">
        <x:v>baseline</x:v>
      </x:c>
      <x:c r="F1197" s="11" t="n">
        <x:v>46249.4134212037</x:v>
      </x:c>
      <x:c r="G1197" t="str"/>
      <x:c r="H1197" s="12" t="n">
        <x:v>1</x:v>
      </x:c>
      <x:c r="I1197" s="13" t="n">
        <x:v>4</x:v>
      </x:c>
      <x:c r="J1197" t="str">
        <x:v>A</x:v>
      </x:c>
      <x:c r="K1197" s="14" t="n">
        <x:v>25.27</x:v>
      </x:c>
      <x:c r="L1197" s="14"/>
      <x:c r="M1197" s="14"/>
      <x:c r="N1197" s="14"/>
      <x:c r="O1197" s="14"/>
      <x:c r="P1197" s="14" t="n">
        <x:v>4.04</x:v>
      </x:c>
      <x:c r="Q1197" s="14" t="n">
        <x:v>29.31</x:v>
      </x:c>
      <x:c r="R1197" s="15"/>
      <x:c r="S1197" s="15"/>
      <x:c r="T1197" s="15"/>
      <x:c r="U1197" s="16"/>
      <x:c r="V1197" t="str">
        <x:v>CRESCO Real Estate</x:v>
      </x:c>
      <x:c r="W1197" t="str">
        <x:v>Ružinov</x:v>
      </x:c>
      <x:c r="X1197" s="11" t="str">
        <x:v>predaný</x:v>
      </x:c>
      <x:c r="Y1197" s="11" t="str">
        <x:v>https://jasikruzinov.sk/ponuka-bytov/a4-4</x:v>
      </x:c>
      <x:c r="Z1197" s="11" t="n">
        <x:v>46249.4134212037</x:v>
      </x:c>
      <x:c r="AA1197" s="11" t="n">
        <x:v>46254.51251577547</x:v>
      </x:c>
      <x:c r="AB1197" s="11" t="n">
        <x:v>46254.51251577547</x:v>
      </x:c>
      <x:c r="AC1197" t="str">
        <x:v>jasik_ruzinov</x:v>
      </x:c>
    </x:row>
    <x:row r="1198" ht="22" customHeight="1">
      <x:c r="A1198" t="str">
        <x:v>Jašik Ružinov</x:v>
      </x:c>
      <x:c r="B1198" t="str">
        <x:v>A4.5</x:v>
      </x:c>
      <x:c r="C1198" t="str">
        <x:v>sold</x:v>
      </x:c>
      <x:c r="D1198" t="str">
        <x:v>present</x:v>
      </x:c>
      <x:c r="E1198" t="str">
        <x:v>baseline</x:v>
      </x:c>
      <x:c r="F1198" s="11" t="n">
        <x:v>46249.4134212037</x:v>
      </x:c>
      <x:c r="G1198" t="str"/>
      <x:c r="H1198" s="12" t="n">
        <x:v>1</x:v>
      </x:c>
      <x:c r="I1198" s="13" t="n">
        <x:v>5</x:v>
      </x:c>
      <x:c r="J1198" t="str">
        <x:v>A</x:v>
      </x:c>
      <x:c r="K1198" s="14" t="n">
        <x:v>25.27</x:v>
      </x:c>
      <x:c r="L1198" s="14"/>
      <x:c r="M1198" s="14"/>
      <x:c r="N1198" s="14"/>
      <x:c r="O1198" s="14"/>
      <x:c r="P1198" s="14" t="n">
        <x:v>4.04</x:v>
      </x:c>
      <x:c r="Q1198" s="14" t="n">
        <x:v>29.31</x:v>
      </x:c>
      <x:c r="R1198" s="15" t="n">
        <x:v>164820</x:v>
      </x:c>
      <x:c r="S1198" s="15" t="n">
        <x:v>164820</x:v>
      </x:c>
      <x:c r="T1198" s="15"/>
      <x:c r="U1198" s="16" t="n">
        <x:v>6522.36</x:v>
      </x:c>
      <x:c r="V1198" t="str">
        <x:v>CRESCO Real Estate</x:v>
      </x:c>
      <x:c r="W1198" t="str">
        <x:v>Ružinov</x:v>
      </x:c>
      <x:c r="X1198" s="11" t="str">
        <x:v>predaný</x:v>
      </x:c>
      <x:c r="Y1198" s="11" t="str">
        <x:v>https://jasikruzinov.sk/ponuka-bytov/a4-5</x:v>
      </x:c>
      <x:c r="Z1198" s="11" t="n">
        <x:v>46249.4134212037</x:v>
      </x:c>
      <x:c r="AA1198" s="11" t="n">
        <x:v>46254.51251577547</x:v>
      </x:c>
      <x:c r="AB1198" s="11" t="n">
        <x:v>46254.51251577547</x:v>
      </x:c>
      <x:c r="AC1198" t="str">
        <x:v>jasik_ruzinov</x:v>
      </x:c>
    </x:row>
    <x:row r="1199" ht="22" customHeight="1">
      <x:c r="A1199" t="str">
        <x:v>Jašik Ružinov</x:v>
      </x:c>
      <x:c r="B1199" t="str">
        <x:v>A5.2</x:v>
      </x:c>
      <x:c r="C1199" t="str">
        <x:v>available</x:v>
      </x:c>
      <x:c r="D1199" t="str">
        <x:v>present</x:v>
      </x:c>
      <x:c r="E1199" t="str">
        <x:v>baseline</x:v>
      </x:c>
      <x:c r="F1199" s="11" t="n">
        <x:v>46249.4134212037</x:v>
      </x:c>
      <x:c r="G1199" t="str"/>
      <x:c r="H1199" s="12" t="n">
        <x:v>3</x:v>
      </x:c>
      <x:c r="I1199" s="13" t="n">
        <x:v>2</x:v>
      </x:c>
      <x:c r="J1199" t="str">
        <x:v>A</x:v>
      </x:c>
      <x:c r="K1199" s="14" t="n">
        <x:v>67.03</x:v>
      </x:c>
      <x:c r="L1199" s="14"/>
      <x:c r="M1199" s="14"/>
      <x:c r="N1199" s="14"/>
      <x:c r="O1199" s="14"/>
      <x:c r="P1199" s="14" t="n">
        <x:v>12.09</x:v>
      </x:c>
      <x:c r="Q1199" s="14" t="n">
        <x:v>79.12</x:v>
      </x:c>
      <x:c r="R1199" s="15" t="n">
        <x:v>377610</x:v>
      </x:c>
      <x:c r="S1199" s="15" t="n">
        <x:v>377610</x:v>
      </x:c>
      <x:c r="T1199" s="15"/>
      <x:c r="U1199" s="16" t="n">
        <x:v>5633.45</x:v>
      </x:c>
      <x:c r="V1199" t="str">
        <x:v>CRESCO Real Estate</x:v>
      </x:c>
      <x:c r="W1199" t="str">
        <x:v>Ružinov</x:v>
      </x:c>
      <x:c r="X1199" s="11" t="str">
        <x:v>voľný</x:v>
      </x:c>
      <x:c r="Y1199" s="11" t="str">
        <x:v>https://jasikruzinov.sk/ponuka-bytov/a5-2</x:v>
      </x:c>
      <x:c r="Z1199" s="11" t="n">
        <x:v>46249.4134212037</x:v>
      </x:c>
      <x:c r="AA1199" s="11" t="n">
        <x:v>46254.51251577547</x:v>
      </x:c>
      <x:c r="AB1199" s="11" t="n">
        <x:v>46254.51251577547</x:v>
      </x:c>
      <x:c r="AC1199" t="str">
        <x:v>jasik_ruzinov</x:v>
      </x:c>
    </x:row>
    <x:row r="1200" ht="22" customHeight="1">
      <x:c r="A1200" t="str">
        <x:v>Jašik Ružinov</x:v>
      </x:c>
      <x:c r="B1200" t="str">
        <x:v>A5.3</x:v>
      </x:c>
      <x:c r="C1200" t="str">
        <x:v>available</x:v>
      </x:c>
      <x:c r="D1200" t="str">
        <x:v>present</x:v>
      </x:c>
      <x:c r="E1200" t="str">
        <x:v>baseline</x:v>
      </x:c>
      <x:c r="F1200" s="11" t="n">
        <x:v>46249.4134212037</x:v>
      </x:c>
      <x:c r="G1200" t="str"/>
      <x:c r="H1200" s="12" t="n">
        <x:v>3</x:v>
      </x:c>
      <x:c r="I1200" s="13" t="n">
        <x:v>3</x:v>
      </x:c>
      <x:c r="J1200" t="str">
        <x:v>A</x:v>
      </x:c>
      <x:c r="K1200" s="14" t="n">
        <x:v>67.03</x:v>
      </x:c>
      <x:c r="L1200" s="14"/>
      <x:c r="M1200" s="14"/>
      <x:c r="N1200" s="14"/>
      <x:c r="O1200" s="14"/>
      <x:c r="P1200" s="14" t="n">
        <x:v>12.09</x:v>
      </x:c>
      <x:c r="Q1200" s="14" t="n">
        <x:v>79.12</x:v>
      </x:c>
      <x:c r="R1200" s="15" t="n">
        <x:v>382530</x:v>
      </x:c>
      <x:c r="S1200" s="15" t="n">
        <x:v>382530</x:v>
      </x:c>
      <x:c r="T1200" s="15"/>
      <x:c r="U1200" s="16" t="n">
        <x:v>5706.85</x:v>
      </x:c>
      <x:c r="V1200" t="str">
        <x:v>CRESCO Real Estate</x:v>
      </x:c>
      <x:c r="W1200" t="str">
        <x:v>Ružinov</x:v>
      </x:c>
      <x:c r="X1200" s="11" t="str">
        <x:v>voľný</x:v>
      </x:c>
      <x:c r="Y1200" s="11" t="str">
        <x:v>https://jasikruzinov.sk/ponuka-bytov/a5-3</x:v>
      </x:c>
      <x:c r="Z1200" s="11" t="n">
        <x:v>46249.4134212037</x:v>
      </x:c>
      <x:c r="AA1200" s="11" t="n">
        <x:v>46254.51251577547</x:v>
      </x:c>
      <x:c r="AB1200" s="11" t="n">
        <x:v>46254.51251577547</x:v>
      </x:c>
      <x:c r="AC1200" t="str">
        <x:v>jasik_ruzinov</x:v>
      </x:c>
    </x:row>
    <x:row r="1201" ht="22" customHeight="1">
      <x:c r="A1201" t="str">
        <x:v>Jašik Ružinov</x:v>
      </x:c>
      <x:c r="B1201" t="str">
        <x:v>A5.4</x:v>
      </x:c>
      <x:c r="C1201" t="str">
        <x:v>sold</x:v>
      </x:c>
      <x:c r="D1201" t="str">
        <x:v>present</x:v>
      </x:c>
      <x:c r="E1201" t="str">
        <x:v>baseline</x:v>
      </x:c>
      <x:c r="F1201" s="11" t="n">
        <x:v>46249.4134212037</x:v>
      </x:c>
      <x:c r="G1201" t="str"/>
      <x:c r="H1201" s="12" t="n">
        <x:v>3</x:v>
      </x:c>
      <x:c r="I1201" s="13" t="n">
        <x:v>4</x:v>
      </x:c>
      <x:c r="J1201" t="str">
        <x:v>A</x:v>
      </x:c>
      <x:c r="K1201" s="14" t="n">
        <x:v>67.03</x:v>
      </x:c>
      <x:c r="L1201" s="14"/>
      <x:c r="M1201" s="14"/>
      <x:c r="N1201" s="14"/>
      <x:c r="O1201" s="14"/>
      <x:c r="P1201" s="14" t="n">
        <x:v>12.09</x:v>
      </x:c>
      <x:c r="Q1201" s="14" t="n">
        <x:v>79.12</x:v>
      </x:c>
      <x:c r="R1201" s="15"/>
      <x:c r="S1201" s="15"/>
      <x:c r="T1201" s="15"/>
      <x:c r="U1201" s="16"/>
      <x:c r="V1201" t="str">
        <x:v>CRESCO Real Estate</x:v>
      </x:c>
      <x:c r="W1201" t="str">
        <x:v>Ružinov</x:v>
      </x:c>
      <x:c r="X1201" s="11" t="str">
        <x:v>predaný</x:v>
      </x:c>
      <x:c r="Y1201" s="11" t="str">
        <x:v>https://jasikruzinov.sk/ponuka-bytov/a5-4</x:v>
      </x:c>
      <x:c r="Z1201" s="11" t="n">
        <x:v>46249.4134212037</x:v>
      </x:c>
      <x:c r="AA1201" s="11" t="n">
        <x:v>46254.51251577547</x:v>
      </x:c>
      <x:c r="AB1201" s="11" t="n">
        <x:v>46254.51251577547</x:v>
      </x:c>
      <x:c r="AC1201" t="str">
        <x:v>jasik_ruzinov</x:v>
      </x:c>
    </x:row>
    <x:row r="1202" ht="22" customHeight="1">
      <x:c r="A1202" t="str">
        <x:v>Jašik Ružinov</x:v>
      </x:c>
      <x:c r="B1202" t="str">
        <x:v>A5.5</x:v>
      </x:c>
      <x:c r="C1202" t="str">
        <x:v>sold</x:v>
      </x:c>
      <x:c r="D1202" t="str">
        <x:v>present</x:v>
      </x:c>
      <x:c r="E1202" t="str">
        <x:v>baseline</x:v>
      </x:c>
      <x:c r="F1202" s="11" t="n">
        <x:v>46249.4134212037</x:v>
      </x:c>
      <x:c r="G1202" t="str"/>
      <x:c r="H1202" s="12" t="n">
        <x:v>3</x:v>
      </x:c>
      <x:c r="I1202" s="13" t="n">
        <x:v>5</x:v>
      </x:c>
      <x:c r="J1202" t="str">
        <x:v>A</x:v>
      </x:c>
      <x:c r="K1202" s="14" t="n">
        <x:v>67.03</x:v>
      </x:c>
      <x:c r="L1202" s="14"/>
      <x:c r="M1202" s="14"/>
      <x:c r="N1202" s="14"/>
      <x:c r="O1202" s="14"/>
      <x:c r="P1202" s="14" t="n">
        <x:v>12.09</x:v>
      </x:c>
      <x:c r="Q1202" s="14" t="n">
        <x:v>79.12</x:v>
      </x:c>
      <x:c r="R1202" s="15"/>
      <x:c r="S1202" s="15"/>
      <x:c r="T1202" s="15"/>
      <x:c r="U1202" s="16"/>
      <x:c r="V1202" t="str">
        <x:v>CRESCO Real Estate</x:v>
      </x:c>
      <x:c r="W1202" t="str">
        <x:v>Ružinov</x:v>
      </x:c>
      <x:c r="X1202" s="11" t="str">
        <x:v>predaný</x:v>
      </x:c>
      <x:c r="Y1202" s="11" t="str">
        <x:v>https://jasikruzinov.sk/ponuka-bytov/a5-5</x:v>
      </x:c>
      <x:c r="Z1202" s="11" t="n">
        <x:v>46249.4134212037</x:v>
      </x:c>
      <x:c r="AA1202" s="11" t="n">
        <x:v>46254.51251577547</x:v>
      </x:c>
      <x:c r="AB1202" s="11" t="n">
        <x:v>46254.51251577547</x:v>
      </x:c>
      <x:c r="AC1202" t="str">
        <x:v>jasik_ruzinov</x:v>
      </x:c>
    </x:row>
    <x:row r="1203" ht="22" customHeight="1">
      <x:c r="A1203" t="str">
        <x:v>Jašik Ružinov</x:v>
      </x:c>
      <x:c r="B1203" t="str">
        <x:v>B1.2</x:v>
      </x:c>
      <x:c r="C1203" t="str">
        <x:v>available</x:v>
      </x:c>
      <x:c r="D1203" t="str">
        <x:v>present</x:v>
      </x:c>
      <x:c r="E1203" t="str">
        <x:v>baseline</x:v>
      </x:c>
      <x:c r="F1203" s="11" t="n">
        <x:v>46249.4134212037</x:v>
      </x:c>
      <x:c r="G1203" t="str"/>
      <x:c r="H1203" s="12" t="n">
        <x:v>3</x:v>
      </x:c>
      <x:c r="I1203" s="13" t="n">
        <x:v>2</x:v>
      </x:c>
      <x:c r="J1203" t="str">
        <x:v>B</x:v>
      </x:c>
      <x:c r="K1203" s="14" t="n">
        <x:v>73.05</x:v>
      </x:c>
      <x:c r="L1203" s="14"/>
      <x:c r="M1203" s="14"/>
      <x:c r="N1203" s="14"/>
      <x:c r="O1203" s="14"/>
      <x:c r="P1203" s="14" t="n">
        <x:v>12.4</x:v>
      </x:c>
      <x:c r="Q1203" s="14" t="n">
        <x:v>85.45</x:v>
      </x:c>
      <x:c r="R1203" s="15" t="n">
        <x:v>408360</x:v>
      </x:c>
      <x:c r="S1203" s="15" t="n">
        <x:v>408360</x:v>
      </x:c>
      <x:c r="T1203" s="15"/>
      <x:c r="U1203" s="16" t="n">
        <x:v>5590.14</x:v>
      </x:c>
      <x:c r="V1203" t="str">
        <x:v>CRESCO Real Estate</x:v>
      </x:c>
      <x:c r="W1203" t="str">
        <x:v>Ružinov</x:v>
      </x:c>
      <x:c r="X1203" s="11" t="str">
        <x:v>voľný</x:v>
      </x:c>
      <x:c r="Y1203" s="11" t="str">
        <x:v>https://jasikruzinov.sk/ponuka-bytov/b1-2</x:v>
      </x:c>
      <x:c r="Z1203" s="11" t="n">
        <x:v>46249.4134212037</x:v>
      </x:c>
      <x:c r="AA1203" s="11" t="n">
        <x:v>46254.51251577547</x:v>
      </x:c>
      <x:c r="AB1203" s="11" t="n">
        <x:v>46254.51251577547</x:v>
      </x:c>
      <x:c r="AC1203" t="str">
        <x:v>jasik_ruzinov</x:v>
      </x:c>
    </x:row>
    <x:row r="1204" ht="22" customHeight="1">
      <x:c r="A1204" t="str">
        <x:v>Jašik Ružinov</x:v>
      </x:c>
      <x:c r="B1204" t="str">
        <x:v>B1.3</x:v>
      </x:c>
      <x:c r="C1204" t="str">
        <x:v>available</x:v>
      </x:c>
      <x:c r="D1204" t="str">
        <x:v>present</x:v>
      </x:c>
      <x:c r="E1204" t="str">
        <x:v>baseline</x:v>
      </x:c>
      <x:c r="F1204" s="11" t="n">
        <x:v>46249.4134212037</x:v>
      </x:c>
      <x:c r="G1204" t="str"/>
      <x:c r="H1204" s="12" t="n">
        <x:v>3</x:v>
      </x:c>
      <x:c r="I1204" s="13" t="n">
        <x:v>3</x:v>
      </x:c>
      <x:c r="J1204" t="str">
        <x:v>B</x:v>
      </x:c>
      <x:c r="K1204" s="14" t="n">
        <x:v>73.05</x:v>
      </x:c>
      <x:c r="L1204" s="14"/>
      <x:c r="M1204" s="14"/>
      <x:c r="N1204" s="14"/>
      <x:c r="O1204" s="14"/>
      <x:c r="P1204" s="14" t="n">
        <x:v>12.4</x:v>
      </x:c>
      <x:c r="Q1204" s="14" t="n">
        <x:v>85.45</x:v>
      </x:c>
      <x:c r="R1204" s="15" t="n">
        <x:v>414510</x:v>
      </x:c>
      <x:c r="S1204" s="15" t="n">
        <x:v>414510</x:v>
      </x:c>
      <x:c r="T1204" s="15"/>
      <x:c r="U1204" s="16" t="n">
        <x:v>5674.33</x:v>
      </x:c>
      <x:c r="V1204" t="str">
        <x:v>CRESCO Real Estate</x:v>
      </x:c>
      <x:c r="W1204" t="str">
        <x:v>Ružinov</x:v>
      </x:c>
      <x:c r="X1204" s="11" t="str">
        <x:v>voľný</x:v>
      </x:c>
      <x:c r="Y1204" s="11" t="str">
        <x:v>https://jasikruzinov.sk/ponuka-bytov/b1-3</x:v>
      </x:c>
      <x:c r="Z1204" s="11" t="n">
        <x:v>46249.4134212037</x:v>
      </x:c>
      <x:c r="AA1204" s="11" t="n">
        <x:v>46254.51251577547</x:v>
      </x:c>
      <x:c r="AB1204" s="11" t="n">
        <x:v>46254.51251577547</x:v>
      </x:c>
      <x:c r="AC1204" t="str">
        <x:v>jasik_ruzinov</x:v>
      </x:c>
    </x:row>
    <x:row r="1205" ht="22" customHeight="1">
      <x:c r="A1205" t="str">
        <x:v>Jašik Ružinov</x:v>
      </x:c>
      <x:c r="B1205" t="str">
        <x:v>B1.4</x:v>
      </x:c>
      <x:c r="C1205" t="str">
        <x:v>sold</x:v>
      </x:c>
      <x:c r="D1205" t="str">
        <x:v>present</x:v>
      </x:c>
      <x:c r="E1205" t="str">
        <x:v>baseline</x:v>
      </x:c>
      <x:c r="F1205" s="11" t="n">
        <x:v>46249.4134212037</x:v>
      </x:c>
      <x:c r="G1205" t="str"/>
      <x:c r="H1205" s="12" t="n">
        <x:v>3</x:v>
      </x:c>
      <x:c r="I1205" s="13" t="n">
        <x:v>4</x:v>
      </x:c>
      <x:c r="J1205" t="str">
        <x:v>B</x:v>
      </x:c>
      <x:c r="K1205" s="14" t="n">
        <x:v>73.05</x:v>
      </x:c>
      <x:c r="L1205" s="14"/>
      <x:c r="M1205" s="14"/>
      <x:c r="N1205" s="14"/>
      <x:c r="O1205" s="14"/>
      <x:c r="P1205" s="14" t="n">
        <x:v>12.4</x:v>
      </x:c>
      <x:c r="Q1205" s="14" t="n">
        <x:v>85.45</x:v>
      </x:c>
      <x:c r="R1205" s="15"/>
      <x:c r="S1205" s="15"/>
      <x:c r="T1205" s="15"/>
      <x:c r="U1205" s="16"/>
      <x:c r="V1205" t="str">
        <x:v>CRESCO Real Estate</x:v>
      </x:c>
      <x:c r="W1205" t="str">
        <x:v>Ružinov</x:v>
      </x:c>
      <x:c r="X1205" s="11" t="str">
        <x:v>predaný</x:v>
      </x:c>
      <x:c r="Y1205" s="11" t="str">
        <x:v>https://jasikruzinov.sk/ponuka-bytov/b1-4</x:v>
      </x:c>
      <x:c r="Z1205" s="11" t="n">
        <x:v>46249.4134212037</x:v>
      </x:c>
      <x:c r="AA1205" s="11" t="n">
        <x:v>46254.51251577547</x:v>
      </x:c>
      <x:c r="AB1205" s="11" t="n">
        <x:v>46254.51251577547</x:v>
      </x:c>
      <x:c r="AC1205" t="str">
        <x:v>jasik_ruzinov</x:v>
      </x:c>
    </x:row>
    <x:row r="1206" ht="22" customHeight="1">
      <x:c r="A1206" t="str">
        <x:v>Jašik Ružinov</x:v>
      </x:c>
      <x:c r="B1206" t="str">
        <x:v>B1.5</x:v>
      </x:c>
      <x:c r="C1206" t="str">
        <x:v>sold</x:v>
      </x:c>
      <x:c r="D1206" t="str">
        <x:v>present</x:v>
      </x:c>
      <x:c r="E1206" t="str">
        <x:v>baseline</x:v>
      </x:c>
      <x:c r="F1206" s="11" t="n">
        <x:v>46249.4134212037</x:v>
      </x:c>
      <x:c r="G1206" t="str"/>
      <x:c r="H1206" s="12" t="n">
        <x:v>3</x:v>
      </x:c>
      <x:c r="I1206" s="13" t="n">
        <x:v>5</x:v>
      </x:c>
      <x:c r="J1206" t="str">
        <x:v>B</x:v>
      </x:c>
      <x:c r="K1206" s="14" t="n">
        <x:v>73.05</x:v>
      </x:c>
      <x:c r="L1206" s="14"/>
      <x:c r="M1206" s="14"/>
      <x:c r="N1206" s="14"/>
      <x:c r="O1206" s="14"/>
      <x:c r="P1206" s="14" t="n">
        <x:v>12.4</x:v>
      </x:c>
      <x:c r="Q1206" s="14" t="n">
        <x:v>85.45</x:v>
      </x:c>
      <x:c r="R1206" s="15" t="n">
        <x:v>424350</x:v>
      </x:c>
      <x:c r="S1206" s="15" t="n">
        <x:v>424350</x:v>
      </x:c>
      <x:c r="T1206" s="15"/>
      <x:c r="U1206" s="16" t="n">
        <x:v>5809.03</x:v>
      </x:c>
      <x:c r="V1206" t="str">
        <x:v>CRESCO Real Estate</x:v>
      </x:c>
      <x:c r="W1206" t="str">
        <x:v>Ružinov</x:v>
      </x:c>
      <x:c r="X1206" s="11" t="str">
        <x:v>predaný</x:v>
      </x:c>
      <x:c r="Y1206" s="11" t="str">
        <x:v>https://jasikruzinov.sk/ponuka-bytov/b1-5</x:v>
      </x:c>
      <x:c r="Z1206" s="11" t="n">
        <x:v>46249.4134212037</x:v>
      </x:c>
      <x:c r="AA1206" s="11" t="n">
        <x:v>46254.51251577547</x:v>
      </x:c>
      <x:c r="AB1206" s="11" t="n">
        <x:v>46254.51251577547</x:v>
      </x:c>
      <x:c r="AC1206" t="str">
        <x:v>jasik_ruzinov</x:v>
      </x:c>
    </x:row>
    <x:row r="1207" ht="22" customHeight="1">
      <x:c r="A1207" t="str">
        <x:v>Jašik Ružinov</x:v>
      </x:c>
      <x:c r="B1207" t="str">
        <x:v>B2.2</x:v>
      </x:c>
      <x:c r="C1207" t="str">
        <x:v>sold</x:v>
      </x:c>
      <x:c r="D1207" t="str">
        <x:v>present</x:v>
      </x:c>
      <x:c r="E1207" t="str">
        <x:v>baseline</x:v>
      </x:c>
      <x:c r="F1207" s="11" t="n">
        <x:v>46249.4134212037</x:v>
      </x:c>
      <x:c r="G1207" t="str"/>
      <x:c r="H1207" s="12" t="n">
        <x:v>1</x:v>
      </x:c>
      <x:c r="I1207" s="13" t="n">
        <x:v>2</x:v>
      </x:c>
      <x:c r="J1207" t="str">
        <x:v>B</x:v>
      </x:c>
      <x:c r="K1207" s="14" t="n">
        <x:v>39.1</x:v>
      </x:c>
      <x:c r="L1207" s="14"/>
      <x:c r="M1207" s="14"/>
      <x:c r="N1207" s="14"/>
      <x:c r="O1207" s="14"/>
      <x:c r="P1207" s="14" t="n">
        <x:v>4.73</x:v>
      </x:c>
      <x:c r="Q1207" s="14" t="n">
        <x:v>43.83</x:v>
      </x:c>
      <x:c r="R1207" s="15"/>
      <x:c r="S1207" s="15"/>
      <x:c r="T1207" s="15"/>
      <x:c r="U1207" s="16"/>
      <x:c r="V1207" t="str">
        <x:v>CRESCO Real Estate</x:v>
      </x:c>
      <x:c r="W1207" t="str">
        <x:v>Ružinov</x:v>
      </x:c>
      <x:c r="X1207" s="11" t="str">
        <x:v>predaný</x:v>
      </x:c>
      <x:c r="Y1207" s="11" t="str">
        <x:v>https://jasikruzinov.sk/ponuka-bytov/b2-2</x:v>
      </x:c>
      <x:c r="Z1207" s="11" t="n">
        <x:v>46249.4134212037</x:v>
      </x:c>
      <x:c r="AA1207" s="11" t="n">
        <x:v>46254.51251577547</x:v>
      </x:c>
      <x:c r="AB1207" s="11" t="n">
        <x:v>46254.51251577547</x:v>
      </x:c>
      <x:c r="AC1207" t="str">
        <x:v>jasik_ruzinov</x:v>
      </x:c>
    </x:row>
    <x:row r="1208" ht="22" customHeight="1">
      <x:c r="A1208" t="str">
        <x:v>Jašik Ružinov</x:v>
      </x:c>
      <x:c r="B1208" t="str">
        <x:v>B2.3</x:v>
      </x:c>
      <x:c r="C1208" t="str">
        <x:v>sold</x:v>
      </x:c>
      <x:c r="D1208" t="str">
        <x:v>present</x:v>
      </x:c>
      <x:c r="E1208" t="str">
        <x:v>baseline</x:v>
      </x:c>
      <x:c r="F1208" s="11" t="n">
        <x:v>46249.4134212037</x:v>
      </x:c>
      <x:c r="G1208" t="str"/>
      <x:c r="H1208" s="12" t="n">
        <x:v>1</x:v>
      </x:c>
      <x:c r="I1208" s="13" t="n">
        <x:v>3</x:v>
      </x:c>
      <x:c r="J1208" t="str">
        <x:v>B</x:v>
      </x:c>
      <x:c r="K1208" s="14" t="n">
        <x:v>39.1</x:v>
      </x:c>
      <x:c r="L1208" s="14"/>
      <x:c r="M1208" s="14"/>
      <x:c r="N1208" s="14"/>
      <x:c r="O1208" s="14"/>
      <x:c r="P1208" s="14" t="n">
        <x:v>4.73</x:v>
      </x:c>
      <x:c r="Q1208" s="14" t="n">
        <x:v>43.83</x:v>
      </x:c>
      <x:c r="R1208" s="15"/>
      <x:c r="S1208" s="15"/>
      <x:c r="T1208" s="15"/>
      <x:c r="U1208" s="16"/>
      <x:c r="V1208" t="str">
        <x:v>CRESCO Real Estate</x:v>
      </x:c>
      <x:c r="W1208" t="str">
        <x:v>Ružinov</x:v>
      </x:c>
      <x:c r="X1208" s="11" t="str">
        <x:v>predaný</x:v>
      </x:c>
      <x:c r="Y1208" s="11" t="str">
        <x:v>https://jasikruzinov.sk/ponuka-bytov/b2-3</x:v>
      </x:c>
      <x:c r="Z1208" s="11" t="n">
        <x:v>46249.4134212037</x:v>
      </x:c>
      <x:c r="AA1208" s="11" t="n">
        <x:v>46254.51251577547</x:v>
      </x:c>
      <x:c r="AB1208" s="11" t="n">
        <x:v>46254.51251577547</x:v>
      </x:c>
      <x:c r="AC1208" t="str">
        <x:v>jasik_ruzinov</x:v>
      </x:c>
    </x:row>
    <x:row r="1209" ht="22" customHeight="1">
      <x:c r="A1209" t="str">
        <x:v>Jašik Ružinov</x:v>
      </x:c>
      <x:c r="B1209" t="str">
        <x:v>B2.4</x:v>
      </x:c>
      <x:c r="C1209" t="str">
        <x:v>sold</x:v>
      </x:c>
      <x:c r="D1209" t="str">
        <x:v>present</x:v>
      </x:c>
      <x:c r="E1209" t="str">
        <x:v>baseline</x:v>
      </x:c>
      <x:c r="F1209" s="11" t="n">
        <x:v>46249.4134212037</x:v>
      </x:c>
      <x:c r="G1209" t="str"/>
      <x:c r="H1209" s="12" t="n">
        <x:v>1</x:v>
      </x:c>
      <x:c r="I1209" s="13" t="n">
        <x:v>4</x:v>
      </x:c>
      <x:c r="J1209" t="str">
        <x:v>B</x:v>
      </x:c>
      <x:c r="K1209" s="14" t="n">
        <x:v>39.1</x:v>
      </x:c>
      <x:c r="L1209" s="14"/>
      <x:c r="M1209" s="14"/>
      <x:c r="N1209" s="14"/>
      <x:c r="O1209" s="14"/>
      <x:c r="P1209" s="14" t="n">
        <x:v>4.73</x:v>
      </x:c>
      <x:c r="Q1209" s="14" t="n">
        <x:v>43.83</x:v>
      </x:c>
      <x:c r="R1209" s="15"/>
      <x:c r="S1209" s="15"/>
      <x:c r="T1209" s="15"/>
      <x:c r="U1209" s="16"/>
      <x:c r="V1209" t="str">
        <x:v>CRESCO Real Estate</x:v>
      </x:c>
      <x:c r="W1209" t="str">
        <x:v>Ružinov</x:v>
      </x:c>
      <x:c r="X1209" s="11" t="str">
        <x:v>predaný</x:v>
      </x:c>
      <x:c r="Y1209" s="11" t="str">
        <x:v>https://jasikruzinov.sk/ponuka-bytov/b2-4</x:v>
      </x:c>
      <x:c r="Z1209" s="11" t="n">
        <x:v>46249.4134212037</x:v>
      </x:c>
      <x:c r="AA1209" s="11" t="n">
        <x:v>46254.51251577547</x:v>
      </x:c>
      <x:c r="AB1209" s="11" t="n">
        <x:v>46254.51251577547</x:v>
      </x:c>
      <x:c r="AC1209" t="str">
        <x:v>jasik_ruzinov</x:v>
      </x:c>
    </x:row>
    <x:row r="1210" ht="22" customHeight="1">
      <x:c r="A1210" t="str">
        <x:v>Jašik Ružinov</x:v>
      </x:c>
      <x:c r="B1210" t="str">
        <x:v>B2.5</x:v>
      </x:c>
      <x:c r="C1210" t="str">
        <x:v>available</x:v>
      </x:c>
      <x:c r="D1210" t="str">
        <x:v>present</x:v>
      </x:c>
      <x:c r="E1210" t="str">
        <x:v>baseline</x:v>
      </x:c>
      <x:c r="F1210" s="11" t="n">
        <x:v>46249.4134212037</x:v>
      </x:c>
      <x:c r="G1210" t="str"/>
      <x:c r="H1210" s="12" t="n">
        <x:v>1</x:v>
      </x:c>
      <x:c r="I1210" s="13" t="n">
        <x:v>5</x:v>
      </x:c>
      <x:c r="J1210" t="str">
        <x:v>B</x:v>
      </x:c>
      <x:c r="K1210" s="14" t="n">
        <x:v>39.1</x:v>
      </x:c>
      <x:c r="L1210" s="14"/>
      <x:c r="M1210" s="14"/>
      <x:c r="N1210" s="14"/>
      <x:c r="O1210" s="14"/>
      <x:c r="P1210" s="14" t="n">
        <x:v>4.73</x:v>
      </x:c>
      <x:c r="Q1210" s="14" t="n">
        <x:v>43.83</x:v>
      </x:c>
      <x:c r="R1210" s="15" t="n">
        <x:v>230010</x:v>
      </x:c>
      <x:c r="S1210" s="15" t="n">
        <x:v>230010</x:v>
      </x:c>
      <x:c r="T1210" s="15"/>
      <x:c r="U1210" s="16" t="n">
        <x:v>5882.61</x:v>
      </x:c>
      <x:c r="V1210" t="str">
        <x:v>CRESCO Real Estate</x:v>
      </x:c>
      <x:c r="W1210" t="str">
        <x:v>Ružinov</x:v>
      </x:c>
      <x:c r="X1210" s="11" t="str">
        <x:v>voľný</x:v>
      </x:c>
      <x:c r="Y1210" s="11" t="str">
        <x:v>https://jasikruzinov.sk/ponuka-bytov/b2-5</x:v>
      </x:c>
      <x:c r="Z1210" s="11" t="n">
        <x:v>46249.4134212037</x:v>
      </x:c>
      <x:c r="AA1210" s="11" t="n">
        <x:v>46254.51251577547</x:v>
      </x:c>
      <x:c r="AB1210" s="11" t="n">
        <x:v>46254.51251577547</x:v>
      </x:c>
      <x:c r="AC1210" t="str">
        <x:v>jasik_ruzinov</x:v>
      </x:c>
    </x:row>
    <x:row r="1211" ht="22" customHeight="1">
      <x:c r="A1211" t="str">
        <x:v>Jašik Ružinov</x:v>
      </x:c>
      <x:c r="B1211" t="str">
        <x:v>B3.2</x:v>
      </x:c>
      <x:c r="C1211" t="str">
        <x:v>available</x:v>
      </x:c>
      <x:c r="D1211" t="str">
        <x:v>present</x:v>
      </x:c>
      <x:c r="E1211" t="str">
        <x:v>baseline</x:v>
      </x:c>
      <x:c r="F1211" s="11" t="n">
        <x:v>46249.4134212037</x:v>
      </x:c>
      <x:c r="G1211" t="str"/>
      <x:c r="H1211" s="12" t="n">
        <x:v>1</x:v>
      </x:c>
      <x:c r="I1211" s="13" t="n">
        <x:v>2</x:v>
      </x:c>
      <x:c r="J1211" t="str">
        <x:v>B</x:v>
      </x:c>
      <x:c r="K1211" s="14" t="n">
        <x:v>35.3</x:v>
      </x:c>
      <x:c r="L1211" s="14"/>
      <x:c r="M1211" s="14"/>
      <x:c r="N1211" s="14"/>
      <x:c r="O1211" s="14"/>
      <x:c r="P1211" s="14" t="n">
        <x:v>4.95</x:v>
      </x:c>
      <x:c r="Q1211" s="14" t="n">
        <x:v>40.25</x:v>
      </x:c>
      <x:c r="R1211" s="15" t="n">
        <x:v>201720</x:v>
      </x:c>
      <x:c r="S1211" s="15" t="n">
        <x:v>201720</x:v>
      </x:c>
      <x:c r="T1211" s="15"/>
      <x:c r="U1211" s="16" t="n">
        <x:v>5714.45</x:v>
      </x:c>
      <x:c r="V1211" t="str">
        <x:v>CRESCO Real Estate</x:v>
      </x:c>
      <x:c r="W1211" t="str">
        <x:v>Ružinov</x:v>
      </x:c>
      <x:c r="X1211" s="11" t="str">
        <x:v>voľný</x:v>
      </x:c>
      <x:c r="Y1211" s="11" t="str">
        <x:v>https://jasikruzinov.sk/ponuka-bytov/b3-2</x:v>
      </x:c>
      <x:c r="Z1211" s="11" t="n">
        <x:v>46249.4134212037</x:v>
      </x:c>
      <x:c r="AA1211" s="11" t="n">
        <x:v>46254.51251577547</x:v>
      </x:c>
      <x:c r="AB1211" s="11" t="n">
        <x:v>46254.51251577547</x:v>
      </x:c>
      <x:c r="AC1211" t="str">
        <x:v>jasik_ruzinov</x:v>
      </x:c>
    </x:row>
    <x:row r="1212" ht="22" customHeight="1">
      <x:c r="A1212" t="str">
        <x:v>Jašik Ružinov</x:v>
      </x:c>
      <x:c r="B1212" t="str">
        <x:v>B3.3</x:v>
      </x:c>
      <x:c r="C1212" t="str">
        <x:v>available</x:v>
      </x:c>
      <x:c r="D1212" t="str">
        <x:v>present</x:v>
      </x:c>
      <x:c r="E1212" t="str">
        <x:v>baseline</x:v>
      </x:c>
      <x:c r="F1212" s="11" t="n">
        <x:v>46249.4134212037</x:v>
      </x:c>
      <x:c r="G1212" t="str"/>
      <x:c r="H1212" s="12" t="n">
        <x:v>1</x:v>
      </x:c>
      <x:c r="I1212" s="13" t="n">
        <x:v>3</x:v>
      </x:c>
      <x:c r="J1212" t="str">
        <x:v>B</x:v>
      </x:c>
      <x:c r="K1212" s="14" t="n">
        <x:v>35.3</x:v>
      </x:c>
      <x:c r="L1212" s="14"/>
      <x:c r="M1212" s="14"/>
      <x:c r="N1212" s="14"/>
      <x:c r="O1212" s="14"/>
      <x:c r="P1212" s="14" t="n">
        <x:v>4.95</x:v>
      </x:c>
      <x:c r="Q1212" s="14" t="n">
        <x:v>40.25</x:v>
      </x:c>
      <x:c r="R1212" s="15" t="n">
        <x:v>204180</x:v>
      </x:c>
      <x:c r="S1212" s="15" t="n">
        <x:v>204180</x:v>
      </x:c>
      <x:c r="T1212" s="15"/>
      <x:c r="U1212" s="16" t="n">
        <x:v>5784.14</x:v>
      </x:c>
      <x:c r="V1212" t="str">
        <x:v>CRESCO Real Estate</x:v>
      </x:c>
      <x:c r="W1212" t="str">
        <x:v>Ružinov</x:v>
      </x:c>
      <x:c r="X1212" s="11" t="str">
        <x:v>voľný</x:v>
      </x:c>
      <x:c r="Y1212" s="11" t="str">
        <x:v>https://jasikruzinov.sk/ponuka-bytov/b3-3</x:v>
      </x:c>
      <x:c r="Z1212" s="11" t="n">
        <x:v>46249.4134212037</x:v>
      </x:c>
      <x:c r="AA1212" s="11" t="n">
        <x:v>46254.51251577547</x:v>
      </x:c>
      <x:c r="AB1212" s="11" t="n">
        <x:v>46254.51251577547</x:v>
      </x:c>
      <x:c r="AC1212" t="str">
        <x:v>jasik_ruzinov</x:v>
      </x:c>
    </x:row>
    <x:row r="1213" ht="22" customHeight="1">
      <x:c r="A1213" t="str">
        <x:v>Jašik Ružinov</x:v>
      </x:c>
      <x:c r="B1213" t="str">
        <x:v>B3.4</x:v>
      </x:c>
      <x:c r="C1213" t="str">
        <x:v>available</x:v>
      </x:c>
      <x:c r="D1213" t="str">
        <x:v>present</x:v>
      </x:c>
      <x:c r="E1213" t="str">
        <x:v>baseline</x:v>
      </x:c>
      <x:c r="F1213" s="11" t="n">
        <x:v>46249.4134212037</x:v>
      </x:c>
      <x:c r="G1213" t="str"/>
      <x:c r="H1213" s="12" t="n">
        <x:v>1</x:v>
      </x:c>
      <x:c r="I1213" s="13" t="n">
        <x:v>4</x:v>
      </x:c>
      <x:c r="J1213" t="str">
        <x:v>B</x:v>
      </x:c>
      <x:c r="K1213" s="14" t="n">
        <x:v>35.3</x:v>
      </x:c>
      <x:c r="L1213" s="14"/>
      <x:c r="M1213" s="14"/>
      <x:c r="N1213" s="14"/>
      <x:c r="O1213" s="14"/>
      <x:c r="P1213" s="14" t="n">
        <x:v>4.95</x:v>
      </x:c>
      <x:c r="Q1213" s="14" t="n">
        <x:v>40.25</x:v>
      </x:c>
      <x:c r="R1213" s="15" t="n">
        <x:v>206640</x:v>
      </x:c>
      <x:c r="S1213" s="15" t="n">
        <x:v>206640</x:v>
      </x:c>
      <x:c r="T1213" s="15"/>
      <x:c r="U1213" s="16" t="n">
        <x:v>5853.82</x:v>
      </x:c>
      <x:c r="V1213" t="str">
        <x:v>CRESCO Real Estate</x:v>
      </x:c>
      <x:c r="W1213" t="str">
        <x:v>Ružinov</x:v>
      </x:c>
      <x:c r="X1213" s="11" t="str">
        <x:v>voľný</x:v>
      </x:c>
      <x:c r="Y1213" s="11" t="str">
        <x:v>https://jasikruzinov.sk/ponuka-bytov/b3-4</x:v>
      </x:c>
      <x:c r="Z1213" s="11" t="n">
        <x:v>46249.4134212037</x:v>
      </x:c>
      <x:c r="AA1213" s="11" t="n">
        <x:v>46254.51251577547</x:v>
      </x:c>
      <x:c r="AB1213" s="11" t="n">
        <x:v>46254.51251577547</x:v>
      </x:c>
      <x:c r="AC1213" t="str">
        <x:v>jasik_ruzinov</x:v>
      </x:c>
    </x:row>
    <x:row r="1214" ht="22" customHeight="1">
      <x:c r="A1214" t="str">
        <x:v>Jašik Ružinov</x:v>
      </x:c>
      <x:c r="B1214" t="str">
        <x:v>B3.5</x:v>
      </x:c>
      <x:c r="C1214" t="str">
        <x:v>available</x:v>
      </x:c>
      <x:c r="D1214" t="str">
        <x:v>present</x:v>
      </x:c>
      <x:c r="E1214" t="str">
        <x:v>baseline</x:v>
      </x:c>
      <x:c r="F1214" s="11" t="n">
        <x:v>46249.4134212037</x:v>
      </x:c>
      <x:c r="G1214" t="str"/>
      <x:c r="H1214" s="12" t="n">
        <x:v>1</x:v>
      </x:c>
      <x:c r="I1214" s="13" t="n">
        <x:v>5</x:v>
      </x:c>
      <x:c r="J1214" t="str">
        <x:v>B</x:v>
      </x:c>
      <x:c r="K1214" s="14" t="n">
        <x:v>35.3</x:v>
      </x:c>
      <x:c r="L1214" s="14"/>
      <x:c r="M1214" s="14"/>
      <x:c r="N1214" s="14"/>
      <x:c r="O1214" s="14"/>
      <x:c r="P1214" s="14" t="n">
        <x:v>4.95</x:v>
      </x:c>
      <x:c r="Q1214" s="14" t="n">
        <x:v>40.25</x:v>
      </x:c>
      <x:c r="R1214" s="15" t="n">
        <x:v>211560</x:v>
      </x:c>
      <x:c r="S1214" s="15" t="n">
        <x:v>211560</x:v>
      </x:c>
      <x:c r="T1214" s="15"/>
      <x:c r="U1214" s="16" t="n">
        <x:v>5993.2</x:v>
      </x:c>
      <x:c r="V1214" t="str">
        <x:v>CRESCO Real Estate</x:v>
      </x:c>
      <x:c r="W1214" t="str">
        <x:v>Ružinov</x:v>
      </x:c>
      <x:c r="X1214" s="11" t="str">
        <x:v>voľný</x:v>
      </x:c>
      <x:c r="Y1214" s="11" t="str">
        <x:v>https://jasikruzinov.sk/ponuka-bytov/b3-5</x:v>
      </x:c>
      <x:c r="Z1214" s="11" t="n">
        <x:v>46249.4134212037</x:v>
      </x:c>
      <x:c r="AA1214" s="11" t="n">
        <x:v>46254.51251577547</x:v>
      </x:c>
      <x:c r="AB1214" s="11" t="n">
        <x:v>46254.51251577547</x:v>
      </x:c>
      <x:c r="AC1214" t="str">
        <x:v>jasik_ruzinov</x:v>
      </x:c>
    </x:row>
    <x:row r="1215" ht="22" customHeight="1">
      <x:c r="A1215" t="str">
        <x:v>Jašik Ružinov</x:v>
      </x:c>
      <x:c r="B1215" t="str">
        <x:v>B4.2</x:v>
      </x:c>
      <x:c r="C1215" t="str">
        <x:v>available</x:v>
      </x:c>
      <x:c r="D1215" t="str">
        <x:v>present</x:v>
      </x:c>
      <x:c r="E1215" t="str">
        <x:v>baseline</x:v>
      </x:c>
      <x:c r="F1215" s="11" t="n">
        <x:v>46249.4134212037</x:v>
      </x:c>
      <x:c r="G1215" t="str"/>
      <x:c r="H1215" s="12" t="n">
        <x:v>1</x:v>
      </x:c>
      <x:c r="I1215" s="13" t="n">
        <x:v>2</x:v>
      </x:c>
      <x:c r="J1215" t="str">
        <x:v>B</x:v>
      </x:c>
      <x:c r="K1215" s="14" t="n">
        <x:v>43.55</x:v>
      </x:c>
      <x:c r="L1215" s="14"/>
      <x:c r="M1215" s="14"/>
      <x:c r="N1215" s="14"/>
      <x:c r="O1215" s="14"/>
      <x:c r="P1215" s="14" t="n">
        <x:v>2.48</x:v>
      </x:c>
      <x:c r="Q1215" s="14" t="n">
        <x:v>46.03</x:v>
      </x:c>
      <x:c r="R1215" s="15" t="n">
        <x:v>236160</x:v>
      </x:c>
      <x:c r="S1215" s="15" t="n">
        <x:v>236160</x:v>
      </x:c>
      <x:c r="T1215" s="15"/>
      <x:c r="U1215" s="16" t="n">
        <x:v>5422.73</x:v>
      </x:c>
      <x:c r="V1215" t="str">
        <x:v>CRESCO Real Estate</x:v>
      </x:c>
      <x:c r="W1215" t="str">
        <x:v>Ružinov</x:v>
      </x:c>
      <x:c r="X1215" s="11" t="str">
        <x:v>voľný</x:v>
      </x:c>
      <x:c r="Y1215" s="11" t="str">
        <x:v>https://jasikruzinov.sk/ponuka-bytov/b4-2</x:v>
      </x:c>
      <x:c r="Z1215" s="11" t="n">
        <x:v>46249.4134212037</x:v>
      </x:c>
      <x:c r="AA1215" s="11" t="n">
        <x:v>46254.51251577547</x:v>
      </x:c>
      <x:c r="AB1215" s="11" t="n">
        <x:v>46254.51251577547</x:v>
      </x:c>
      <x:c r="AC1215" t="str">
        <x:v>jasik_ruzinov</x:v>
      </x:c>
    </x:row>
    <x:row r="1216" ht="22" customHeight="1">
      <x:c r="A1216" t="str">
        <x:v>Jašik Ružinov</x:v>
      </x:c>
      <x:c r="B1216" t="str">
        <x:v>B4.3</x:v>
      </x:c>
      <x:c r="C1216" t="str">
        <x:v>available</x:v>
      </x:c>
      <x:c r="D1216" t="str">
        <x:v>present</x:v>
      </x:c>
      <x:c r="E1216" t="str">
        <x:v>baseline</x:v>
      </x:c>
      <x:c r="F1216" s="11" t="n">
        <x:v>46249.4134212037</x:v>
      </x:c>
      <x:c r="G1216" t="str"/>
      <x:c r="H1216" s="12" t="n">
        <x:v>1</x:v>
      </x:c>
      <x:c r="I1216" s="13" t="n">
        <x:v>3</x:v>
      </x:c>
      <x:c r="J1216" t="str">
        <x:v>B</x:v>
      </x:c>
      <x:c r="K1216" s="14" t="n">
        <x:v>43.55</x:v>
      </x:c>
      <x:c r="L1216" s="14"/>
      <x:c r="M1216" s="14"/>
      <x:c r="N1216" s="14"/>
      <x:c r="O1216" s="14"/>
      <x:c r="P1216" s="14" t="n">
        <x:v>2.48</x:v>
      </x:c>
      <x:c r="Q1216" s="14" t="n">
        <x:v>46.03</x:v>
      </x:c>
      <x:c r="R1216" s="15" t="n">
        <x:v>238620</x:v>
      </x:c>
      <x:c r="S1216" s="15" t="n">
        <x:v>238620</x:v>
      </x:c>
      <x:c r="T1216" s="15"/>
      <x:c r="U1216" s="16" t="n">
        <x:v>5479.22</x:v>
      </x:c>
      <x:c r="V1216" t="str">
        <x:v>CRESCO Real Estate</x:v>
      </x:c>
      <x:c r="W1216" t="str">
        <x:v>Ružinov</x:v>
      </x:c>
      <x:c r="X1216" s="11" t="str">
        <x:v>voľný</x:v>
      </x:c>
      <x:c r="Y1216" s="11" t="str">
        <x:v>https://jasikruzinov.sk/ponuka-bytov/b4-3</x:v>
      </x:c>
      <x:c r="Z1216" s="11" t="n">
        <x:v>46249.4134212037</x:v>
      </x:c>
      <x:c r="AA1216" s="11" t="n">
        <x:v>46254.51251577547</x:v>
      </x:c>
      <x:c r="AB1216" s="11" t="n">
        <x:v>46254.51251577547</x:v>
      </x:c>
      <x:c r="AC1216" t="str">
        <x:v>jasik_ruzinov</x:v>
      </x:c>
    </x:row>
    <x:row r="1217" ht="22" customHeight="1">
      <x:c r="A1217" t="str">
        <x:v>Jašik Ružinov</x:v>
      </x:c>
      <x:c r="B1217" t="str">
        <x:v>B4.4</x:v>
      </x:c>
      <x:c r="C1217" t="str">
        <x:v>available</x:v>
      </x:c>
      <x:c r="D1217" t="str">
        <x:v>present</x:v>
      </x:c>
      <x:c r="E1217" t="str">
        <x:v>baseline</x:v>
      </x:c>
      <x:c r="F1217" s="11" t="n">
        <x:v>46249.4134212037</x:v>
      </x:c>
      <x:c r="G1217" t="str"/>
      <x:c r="H1217" s="12" t="n">
        <x:v>1</x:v>
      </x:c>
      <x:c r="I1217" s="13" t="n">
        <x:v>4</x:v>
      </x:c>
      <x:c r="J1217" t="str">
        <x:v>B</x:v>
      </x:c>
      <x:c r="K1217" s="14" t="n">
        <x:v>43.55</x:v>
      </x:c>
      <x:c r="L1217" s="14"/>
      <x:c r="M1217" s="14"/>
      <x:c r="N1217" s="14"/>
      <x:c r="O1217" s="14"/>
      <x:c r="P1217" s="14" t="n">
        <x:v>2.48</x:v>
      </x:c>
      <x:c r="Q1217" s="14" t="n">
        <x:v>46.03</x:v>
      </x:c>
      <x:c r="R1217" s="15" t="n">
        <x:v>242310</x:v>
      </x:c>
      <x:c r="S1217" s="15" t="n">
        <x:v>242310</x:v>
      </x:c>
      <x:c r="T1217" s="15"/>
      <x:c r="U1217" s="16" t="n">
        <x:v>5563.95</x:v>
      </x:c>
      <x:c r="V1217" t="str">
        <x:v>CRESCO Real Estate</x:v>
      </x:c>
      <x:c r="W1217" t="str">
        <x:v>Ružinov</x:v>
      </x:c>
      <x:c r="X1217" s="11" t="str">
        <x:v>voľný</x:v>
      </x:c>
      <x:c r="Y1217" s="11" t="str">
        <x:v>https://jasikruzinov.sk/ponuka-bytov/b4-4</x:v>
      </x:c>
      <x:c r="Z1217" s="11" t="n">
        <x:v>46249.4134212037</x:v>
      </x:c>
      <x:c r="AA1217" s="11" t="n">
        <x:v>46254.51251577547</x:v>
      </x:c>
      <x:c r="AB1217" s="11" t="n">
        <x:v>46254.51251577547</x:v>
      </x:c>
      <x:c r="AC1217" t="str">
        <x:v>jasik_ruzinov</x:v>
      </x:c>
    </x:row>
    <x:row r="1218" ht="22" customHeight="1">
      <x:c r="A1218" t="str">
        <x:v>Jašik Ružinov</x:v>
      </x:c>
      <x:c r="B1218" t="str">
        <x:v>B4.5</x:v>
      </x:c>
      <x:c r="C1218" t="str">
        <x:v>available</x:v>
      </x:c>
      <x:c r="D1218" t="str">
        <x:v>present</x:v>
      </x:c>
      <x:c r="E1218" t="str">
        <x:v>baseline</x:v>
      </x:c>
      <x:c r="F1218" s="11" t="n">
        <x:v>46249.4134212037</x:v>
      </x:c>
      <x:c r="G1218" t="str"/>
      <x:c r="H1218" s="12" t="n">
        <x:v>1</x:v>
      </x:c>
      <x:c r="I1218" s="13" t="n">
        <x:v>5</x:v>
      </x:c>
      <x:c r="J1218" t="str">
        <x:v>B</x:v>
      </x:c>
      <x:c r="K1218" s="14" t="n">
        <x:v>43.55</x:v>
      </x:c>
      <x:c r="L1218" s="14"/>
      <x:c r="M1218" s="14"/>
      <x:c r="N1218" s="14"/>
      <x:c r="O1218" s="14"/>
      <x:c r="P1218" s="14" t="n">
        <x:v>2.48</x:v>
      </x:c>
      <x:c r="Q1218" s="14" t="n">
        <x:v>46.03</x:v>
      </x:c>
      <x:c r="R1218" s="15" t="n">
        <x:v>247230</x:v>
      </x:c>
      <x:c r="S1218" s="15" t="n">
        <x:v>247230</x:v>
      </x:c>
      <x:c r="T1218" s="15"/>
      <x:c r="U1218" s="16" t="n">
        <x:v>5676.92</x:v>
      </x:c>
      <x:c r="V1218" t="str">
        <x:v>CRESCO Real Estate</x:v>
      </x:c>
      <x:c r="W1218" t="str">
        <x:v>Ružinov</x:v>
      </x:c>
      <x:c r="X1218" s="11" t="str">
        <x:v>voľný</x:v>
      </x:c>
      <x:c r="Y1218" s="11" t="str">
        <x:v>https://jasikruzinov.sk/ponuka-bytov/b4-5</x:v>
      </x:c>
      <x:c r="Z1218" s="11" t="n">
        <x:v>46249.4134212037</x:v>
      </x:c>
      <x:c r="AA1218" s="11" t="n">
        <x:v>46254.51251577547</x:v>
      </x:c>
      <x:c r="AB1218" s="11" t="n">
        <x:v>46254.51251577547</x:v>
      </x:c>
      <x:c r="AC1218" t="str">
        <x:v>jasik_ruzinov</x:v>
      </x:c>
    </x:row>
    <x:row r="1219" ht="22" customHeight="1">
      <x:c r="A1219" t="str">
        <x:v>Jašik Ružinov</x:v>
      </x:c>
      <x:c r="B1219" t="str">
        <x:v>B5.2</x:v>
      </x:c>
      <x:c r="C1219" t="str">
        <x:v>available</x:v>
      </x:c>
      <x:c r="D1219" t="str">
        <x:v>present</x:v>
      </x:c>
      <x:c r="E1219" t="str">
        <x:v>baseline</x:v>
      </x:c>
      <x:c r="F1219" s="11" t="n">
        <x:v>46249.4134212037</x:v>
      </x:c>
      <x:c r="G1219" t="str"/>
      <x:c r="H1219" s="12" t="n">
        <x:v>2</x:v>
      </x:c>
      <x:c r="I1219" s="13" t="n">
        <x:v>2</x:v>
      </x:c>
      <x:c r="J1219" t="str">
        <x:v>B</x:v>
      </x:c>
      <x:c r="K1219" s="14" t="n">
        <x:v>52.83</x:v>
      </x:c>
      <x:c r="L1219" s="14"/>
      <x:c r="M1219" s="14"/>
      <x:c r="N1219" s="14"/>
      <x:c r="O1219" s="14"/>
      <x:c r="P1219" s="14" t="n">
        <x:v>7.44</x:v>
      </x:c>
      <x:c r="Q1219" s="14" t="n">
        <x:v>60.27</x:v>
      </x:c>
      <x:c r="R1219" s="15" t="n">
        <x:v>295200</x:v>
      </x:c>
      <x:c r="S1219" s="15" t="n">
        <x:v>295200</x:v>
      </x:c>
      <x:c r="T1219" s="15"/>
      <x:c r="U1219" s="16" t="n">
        <x:v>5587.73</x:v>
      </x:c>
      <x:c r="V1219" t="str">
        <x:v>CRESCO Real Estate</x:v>
      </x:c>
      <x:c r="W1219" t="str">
        <x:v>Ružinov</x:v>
      </x:c>
      <x:c r="X1219" s="11" t="str">
        <x:v>voľný</x:v>
      </x:c>
      <x:c r="Y1219" s="11" t="str">
        <x:v>https://jasikruzinov.sk/ponuka-bytov/b5-2</x:v>
      </x:c>
      <x:c r="Z1219" s="11" t="n">
        <x:v>46249.4134212037</x:v>
      </x:c>
      <x:c r="AA1219" s="11" t="n">
        <x:v>46254.51251577547</x:v>
      </x:c>
      <x:c r="AB1219" s="11" t="n">
        <x:v>46254.51251577547</x:v>
      </x:c>
      <x:c r="AC1219" t="str">
        <x:v>jasik_ruzinov</x:v>
      </x:c>
    </x:row>
    <x:row r="1220" ht="22" customHeight="1">
      <x:c r="A1220" t="str">
        <x:v>Jašik Ružinov</x:v>
      </x:c>
      <x:c r="B1220" t="str">
        <x:v>B5.3</x:v>
      </x:c>
      <x:c r="C1220" t="str">
        <x:v>sold</x:v>
      </x:c>
      <x:c r="D1220" t="str">
        <x:v>present</x:v>
      </x:c>
      <x:c r="E1220" t="str">
        <x:v>baseline</x:v>
      </x:c>
      <x:c r="F1220" s="11" t="n">
        <x:v>46249.4134212037</x:v>
      </x:c>
      <x:c r="G1220" t="str"/>
      <x:c r="H1220" s="12" t="n">
        <x:v>2</x:v>
      </x:c>
      <x:c r="I1220" s="13" t="n">
        <x:v>3</x:v>
      </x:c>
      <x:c r="J1220" t="str">
        <x:v>B</x:v>
      </x:c>
      <x:c r="K1220" s="14" t="n">
        <x:v>52.83</x:v>
      </x:c>
      <x:c r="L1220" s="14"/>
      <x:c r="M1220" s="14"/>
      <x:c r="N1220" s="14"/>
      <x:c r="O1220" s="14"/>
      <x:c r="P1220" s="14" t="n">
        <x:v>7.44</x:v>
      </x:c>
      <x:c r="Q1220" s="14" t="n">
        <x:v>60.27</x:v>
      </x:c>
      <x:c r="R1220" s="15" t="n">
        <x:v>297660</x:v>
      </x:c>
      <x:c r="S1220" s="15" t="n">
        <x:v>297660</x:v>
      </x:c>
      <x:c r="T1220" s="15"/>
      <x:c r="U1220" s="16" t="n">
        <x:v>5634.3</x:v>
      </x:c>
      <x:c r="V1220" t="str">
        <x:v>CRESCO Real Estate</x:v>
      </x:c>
      <x:c r="W1220" t="str">
        <x:v>Ružinov</x:v>
      </x:c>
      <x:c r="X1220" s="11" t="str">
        <x:v>predaný</x:v>
      </x:c>
      <x:c r="Y1220" s="11" t="str">
        <x:v>https://jasikruzinov.sk/ponuka-bytov/b5-3</x:v>
      </x:c>
      <x:c r="Z1220" s="11" t="n">
        <x:v>46249.4134212037</x:v>
      </x:c>
      <x:c r="AA1220" s="11" t="n">
        <x:v>46254.51251577547</x:v>
      </x:c>
      <x:c r="AB1220" s="11" t="n">
        <x:v>46254.51251577547</x:v>
      </x:c>
      <x:c r="AC1220" t="str">
        <x:v>jasik_ruzinov</x:v>
      </x:c>
    </x:row>
    <x:row r="1221" ht="22" customHeight="1">
      <x:c r="A1221" t="str">
        <x:v>Jašik Ružinov</x:v>
      </x:c>
      <x:c r="B1221" t="str">
        <x:v>B5.4</x:v>
      </x:c>
      <x:c r="C1221" t="str">
        <x:v>sold</x:v>
      </x:c>
      <x:c r="D1221" t="str">
        <x:v>present</x:v>
      </x:c>
      <x:c r="E1221" t="str">
        <x:v>baseline</x:v>
      </x:c>
      <x:c r="F1221" s="11" t="n">
        <x:v>46249.4134212037</x:v>
      </x:c>
      <x:c r="G1221" t="str"/>
      <x:c r="H1221" s="12" t="n">
        <x:v>2</x:v>
      </x:c>
      <x:c r="I1221" s="13" t="n">
        <x:v>4</x:v>
      </x:c>
      <x:c r="J1221" t="str">
        <x:v>B</x:v>
      </x:c>
      <x:c r="K1221" s="14" t="n">
        <x:v>52.83</x:v>
      </x:c>
      <x:c r="L1221" s="14"/>
      <x:c r="M1221" s="14"/>
      <x:c r="N1221" s="14"/>
      <x:c r="O1221" s="14"/>
      <x:c r="P1221" s="14" t="n">
        <x:v>7.44</x:v>
      </x:c>
      <x:c r="Q1221" s="14" t="n">
        <x:v>60.27</x:v>
      </x:c>
      <x:c r="R1221" s="15" t="n">
        <x:v>301350</x:v>
      </x:c>
      <x:c r="S1221" s="15" t="n">
        <x:v>301350</x:v>
      </x:c>
      <x:c r="T1221" s="15"/>
      <x:c r="U1221" s="16" t="n">
        <x:v>5704.15</x:v>
      </x:c>
      <x:c r="V1221" t="str">
        <x:v>CRESCO Real Estate</x:v>
      </x:c>
      <x:c r="W1221" t="str">
        <x:v>Ružinov</x:v>
      </x:c>
      <x:c r="X1221" s="11" t="str">
        <x:v>predaný</x:v>
      </x:c>
      <x:c r="Y1221" s="11" t="str">
        <x:v>https://jasikruzinov.sk/ponuka-bytov/b5-4</x:v>
      </x:c>
      <x:c r="Z1221" s="11" t="n">
        <x:v>46249.4134212037</x:v>
      </x:c>
      <x:c r="AA1221" s="11" t="n">
        <x:v>46254.51251577547</x:v>
      </x:c>
      <x:c r="AB1221" s="11" t="n">
        <x:v>46254.51251577547</x:v>
      </x:c>
      <x:c r="AC1221" t="str">
        <x:v>jasik_ruzinov</x:v>
      </x:c>
    </x:row>
    <x:row r="1222" ht="22" customHeight="1">
      <x:c r="A1222" t="str">
        <x:v>Jašik Ružinov</x:v>
      </x:c>
      <x:c r="B1222" t="str">
        <x:v>B5.5</x:v>
      </x:c>
      <x:c r="C1222" t="str">
        <x:v>available</x:v>
      </x:c>
      <x:c r="D1222" t="str">
        <x:v>present</x:v>
      </x:c>
      <x:c r="E1222" t="str">
        <x:v>baseline</x:v>
      </x:c>
      <x:c r="F1222" s="11" t="n">
        <x:v>46249.4134212037</x:v>
      </x:c>
      <x:c r="G1222" t="str"/>
      <x:c r="H1222" s="12" t="n">
        <x:v>2</x:v>
      </x:c>
      <x:c r="I1222" s="13" t="n">
        <x:v>5</x:v>
      </x:c>
      <x:c r="J1222" t="str">
        <x:v>B</x:v>
      </x:c>
      <x:c r="K1222" s="14" t="n">
        <x:v>52.83</x:v>
      </x:c>
      <x:c r="L1222" s="14"/>
      <x:c r="M1222" s="14"/>
      <x:c r="N1222" s="14"/>
      <x:c r="O1222" s="14"/>
      <x:c r="P1222" s="14" t="n">
        <x:v>7.44</x:v>
      </x:c>
      <x:c r="Q1222" s="14" t="n">
        <x:v>60.27</x:v>
      </x:c>
      <x:c r="R1222" s="15" t="n">
        <x:v>307500</x:v>
      </x:c>
      <x:c r="S1222" s="15" t="n">
        <x:v>307500</x:v>
      </x:c>
      <x:c r="T1222" s="15"/>
      <x:c r="U1222" s="16" t="n">
        <x:v>5820.56</x:v>
      </x:c>
      <x:c r="V1222" t="str">
        <x:v>CRESCO Real Estate</x:v>
      </x:c>
      <x:c r="W1222" t="str">
        <x:v>Ružinov</x:v>
      </x:c>
      <x:c r="X1222" s="11" t="str">
        <x:v>voľný</x:v>
      </x:c>
      <x:c r="Y1222" s="11" t="str">
        <x:v>https://jasikruzinov.sk/ponuka-bytov/b5-5</x:v>
      </x:c>
      <x:c r="Z1222" s="11" t="n">
        <x:v>46249.4134212037</x:v>
      </x:c>
      <x:c r="AA1222" s="11" t="n">
        <x:v>46254.51251577547</x:v>
      </x:c>
      <x:c r="AB1222" s="11" t="n">
        <x:v>46254.51251577547</x:v>
      </x:c>
      <x:c r="AC1222" t="str">
        <x:v>jasik_ruzinov</x:v>
      </x:c>
    </x:row>
    <x:row r="1223" ht="22" customHeight="1">
      <x:c r="A1223" t="str">
        <x:v>Jašik Ružinov</x:v>
      </x:c>
      <x:c r="B1223" t="str">
        <x:v>B6.2</x:v>
      </x:c>
      <x:c r="C1223" t="str">
        <x:v>available</x:v>
      </x:c>
      <x:c r="D1223" t="str">
        <x:v>present</x:v>
      </x:c>
      <x:c r="E1223" t="str">
        <x:v>baseline</x:v>
      </x:c>
      <x:c r="F1223" s="11" t="n">
        <x:v>46249.4134212037</x:v>
      </x:c>
      <x:c r="G1223" t="str"/>
      <x:c r="H1223" s="12" t="n">
        <x:v>3</x:v>
      </x:c>
      <x:c r="I1223" s="13" t="n">
        <x:v>2</x:v>
      </x:c>
      <x:c r="J1223" t="str">
        <x:v>B</x:v>
      </x:c>
      <x:c r="K1223" s="14" t="n">
        <x:v>9.77</x:v>
      </x:c>
      <x:c r="L1223" s="14"/>
      <x:c r="M1223" s="14"/>
      <x:c r="N1223" s="14"/>
      <x:c r="O1223" s="14"/>
      <x:c r="P1223" s="14" t="n">
        <x:v>9.77</x:v>
      </x:c>
      <x:c r="Q1223" s="14" t="n">
        <x:v>19.54</x:v>
      </x:c>
      <x:c r="R1223" s="15" t="n">
        <x:v>410820</x:v>
      </x:c>
      <x:c r="S1223" s="15" t="n">
        <x:v>410820</x:v>
      </x:c>
      <x:c r="T1223" s="15"/>
      <x:c r="U1223" s="16" t="n">
        <x:v>42049.13</x:v>
      </x:c>
      <x:c r="V1223" t="str">
        <x:v>CRESCO Real Estate</x:v>
      </x:c>
      <x:c r="W1223" t="str">
        <x:v>Ružinov</x:v>
      </x:c>
      <x:c r="X1223" s="11" t="str">
        <x:v>voľný</x:v>
      </x:c>
      <x:c r="Y1223" s="11" t="str">
        <x:v>https://jasikruzinov.sk/ponuka-bytov/b6-2</x:v>
      </x:c>
      <x:c r="Z1223" s="11" t="n">
        <x:v>46249.4134212037</x:v>
      </x:c>
      <x:c r="AA1223" s="11" t="n">
        <x:v>46254.51251577547</x:v>
      </x:c>
      <x:c r="AB1223" s="11" t="n">
        <x:v>46254.51251577547</x:v>
      </x:c>
      <x:c r="AC1223" t="str">
        <x:v>jasik_ruzinov</x:v>
      </x:c>
    </x:row>
    <x:row r="1224" ht="22" customHeight="1">
      <x:c r="A1224" t="str">
        <x:v>Jašik Ružinov</x:v>
      </x:c>
      <x:c r="B1224" t="str">
        <x:v>B6.3</x:v>
      </x:c>
      <x:c r="C1224" t="str">
        <x:v>available</x:v>
      </x:c>
      <x:c r="D1224" t="str">
        <x:v>present</x:v>
      </x:c>
      <x:c r="E1224" t="str">
        <x:v>returned</x:v>
      </x:c>
      <x:c r="F1224" s="11" t="n">
        <x:v>46254.51251577547</x:v>
      </x:c>
      <x:c r="G1224" t="str"/>
      <x:c r="H1224" s="12" t="n">
        <x:v>3</x:v>
      </x:c>
      <x:c r="I1224" s="13" t="n">
        <x:v>3</x:v>
      </x:c>
      <x:c r="J1224" t="str">
        <x:v>B</x:v>
      </x:c>
      <x:c r="K1224" s="14" t="n">
        <x:v>74.99</x:v>
      </x:c>
      <x:c r="L1224" s="14"/>
      <x:c r="M1224" s="14"/>
      <x:c r="N1224" s="14"/>
      <x:c r="O1224" s="14"/>
      <x:c r="P1224" s="14" t="n">
        <x:v>9.77</x:v>
      </x:c>
      <x:c r="Q1224" s="14" t="n">
        <x:v>84.76</x:v>
      </x:c>
      <x:c r="R1224" s="15" t="n">
        <x:v>415740</x:v>
      </x:c>
      <x:c r="S1224" s="15" t="n">
        <x:v>415740</x:v>
      </x:c>
      <x:c r="T1224" s="15"/>
      <x:c r="U1224" s="16" t="n">
        <x:v>5543.94</x:v>
      </x:c>
      <x:c r="V1224" t="str">
        <x:v>CRESCO Real Estate</x:v>
      </x:c>
      <x:c r="W1224" t="str">
        <x:v>Ružinov</x:v>
      </x:c>
      <x:c r="X1224" s="11" t="str">
        <x:v>voľný</x:v>
      </x:c>
      <x:c r="Y1224" s="11" t="str">
        <x:v>https://jasikruzinov.sk/ponuka-bytov/b6-3</x:v>
      </x:c>
      <x:c r="Z1224" s="11" t="n">
        <x:v>46249.4134212037</x:v>
      </x:c>
      <x:c r="AA1224" s="11" t="n">
        <x:v>46254.51251577547</x:v>
      </x:c>
      <x:c r="AB1224" s="11" t="n">
        <x:v>46254.51251577547</x:v>
      </x:c>
      <x:c r="AC1224" t="str">
        <x:v>jasik_ruzinov</x:v>
      </x:c>
    </x:row>
    <x:row r="1225" ht="22" customHeight="1">
      <x:c r="A1225" t="str">
        <x:v>Jašik Ružinov</x:v>
      </x:c>
      <x:c r="B1225" t="str">
        <x:v>B6.4</x:v>
      </x:c>
      <x:c r="C1225" t="str">
        <x:v>sold</x:v>
      </x:c>
      <x:c r="D1225" t="str">
        <x:v>present</x:v>
      </x:c>
      <x:c r="E1225" t="str">
        <x:v>baseline</x:v>
      </x:c>
      <x:c r="F1225" s="11" t="n">
        <x:v>46249.4134212037</x:v>
      </x:c>
      <x:c r="G1225" t="str"/>
      <x:c r="H1225" s="12" t="n">
        <x:v>3</x:v>
      </x:c>
      <x:c r="I1225" s="13" t="n">
        <x:v>4</x:v>
      </x:c>
      <x:c r="J1225" t="str">
        <x:v>B</x:v>
      </x:c>
      <x:c r="K1225" s="14" t="n">
        <x:v>74.99</x:v>
      </x:c>
      <x:c r="L1225" s="14"/>
      <x:c r="M1225" s="14"/>
      <x:c r="N1225" s="14"/>
      <x:c r="O1225" s="14"/>
      <x:c r="P1225" s="14" t="n">
        <x:v>9.77</x:v>
      </x:c>
      <x:c r="Q1225" s="14" t="n">
        <x:v>84.76</x:v>
      </x:c>
      <x:c r="R1225" s="15"/>
      <x:c r="S1225" s="15"/>
      <x:c r="T1225" s="15"/>
      <x:c r="U1225" s="16"/>
      <x:c r="V1225" t="str">
        <x:v>CRESCO Real Estate</x:v>
      </x:c>
      <x:c r="W1225" t="str">
        <x:v>Ružinov</x:v>
      </x:c>
      <x:c r="X1225" s="11" t="str">
        <x:v>predaný</x:v>
      </x:c>
      <x:c r="Y1225" s="11" t="str">
        <x:v>https://jasikruzinov.sk/ponuka-bytov/b6-4</x:v>
      </x:c>
      <x:c r="Z1225" s="11" t="n">
        <x:v>46249.4134212037</x:v>
      </x:c>
      <x:c r="AA1225" s="11" t="n">
        <x:v>46254.51251577547</x:v>
      </x:c>
      <x:c r="AB1225" s="11" t="n">
        <x:v>46254.51251577547</x:v>
      </x:c>
      <x:c r="AC1225" t="str">
        <x:v>jasik_ruzinov</x:v>
      </x:c>
    </x:row>
    <x:row r="1226" ht="22" customHeight="1">
      <x:c r="A1226" t="str">
        <x:v>Jašik Ružinov</x:v>
      </x:c>
      <x:c r="B1226" t="str">
        <x:v>B6.5</x:v>
      </x:c>
      <x:c r="C1226" t="str">
        <x:v>sold</x:v>
      </x:c>
      <x:c r="D1226" t="str">
        <x:v>present</x:v>
      </x:c>
      <x:c r="E1226" t="str">
        <x:v>baseline</x:v>
      </x:c>
      <x:c r="F1226" s="11" t="n">
        <x:v>46249.4134212037</x:v>
      </x:c>
      <x:c r="G1226" t="str"/>
      <x:c r="H1226" s="12" t="n">
        <x:v>3</x:v>
      </x:c>
      <x:c r="I1226" s="13" t="n">
        <x:v>5</x:v>
      </x:c>
      <x:c r="J1226" t="str">
        <x:v>B</x:v>
      </x:c>
      <x:c r="K1226" s="14" t="n">
        <x:v>74.99</x:v>
      </x:c>
      <x:c r="L1226" s="14"/>
      <x:c r="M1226" s="14"/>
      <x:c r="N1226" s="14"/>
      <x:c r="O1226" s="14"/>
      <x:c r="P1226" s="14" t="n">
        <x:v>9.77</x:v>
      </x:c>
      <x:c r="Q1226" s="14" t="n">
        <x:v>84.76</x:v>
      </x:c>
      <x:c r="R1226" s="15"/>
      <x:c r="S1226" s="15"/>
      <x:c r="T1226" s="15"/>
      <x:c r="U1226" s="16"/>
      <x:c r="V1226" t="str">
        <x:v>CRESCO Real Estate</x:v>
      </x:c>
      <x:c r="W1226" t="str">
        <x:v>Ružinov</x:v>
      </x:c>
      <x:c r="X1226" s="11" t="str">
        <x:v>predaný</x:v>
      </x:c>
      <x:c r="Y1226" s="11" t="str">
        <x:v>https://jasikruzinov.sk/ponuka-bytov/b6-5</x:v>
      </x:c>
      <x:c r="Z1226" s="11" t="n">
        <x:v>46249.4134212037</x:v>
      </x:c>
      <x:c r="AA1226" s="11" t="n">
        <x:v>46254.51251577547</x:v>
      </x:c>
      <x:c r="AB1226" s="11" t="n">
        <x:v>46254.51251577547</x:v>
      </x:c>
      <x:c r="AC1226" t="str">
        <x:v>jasik_ruzinov</x:v>
      </x:c>
    </x:row>
    <x:row r="1227" ht="22" customHeight="1">
      <x:c r="A1227" t="str">
        <x:v>Jašik Ružinov</x:v>
      </x:c>
      <x:c r="B1227" t="str">
        <x:v>C1.2</x:v>
      </x:c>
      <x:c r="C1227" t="str">
        <x:v>available</x:v>
      </x:c>
      <x:c r="D1227" t="str">
        <x:v>present</x:v>
      </x:c>
      <x:c r="E1227" t="str">
        <x:v>baseline</x:v>
      </x:c>
      <x:c r="F1227" s="11" t="n">
        <x:v>46249.4134212037</x:v>
      </x:c>
      <x:c r="G1227" t="str"/>
      <x:c r="H1227" s="12" t="n">
        <x:v>2</x:v>
      </x:c>
      <x:c r="I1227" s="13" t="n">
        <x:v>2</x:v>
      </x:c>
      <x:c r="J1227" t="str">
        <x:v>C</x:v>
      </x:c>
      <x:c r="K1227" s="14" t="n">
        <x:v>53.76</x:v>
      </x:c>
      <x:c r="L1227" s="14"/>
      <x:c r="M1227" s="14"/>
      <x:c r="N1227" s="14"/>
      <x:c r="O1227" s="14"/>
      <x:c r="P1227" s="14" t="n">
        <x:v>5.04</x:v>
      </x:c>
      <x:c r="Q1227" s="14" t="n">
        <x:v>58.8</x:v>
      </x:c>
      <x:c r="R1227" s="15" t="n">
        <x:v>293970</x:v>
      </x:c>
      <x:c r="S1227" s="15" t="n">
        <x:v>293970</x:v>
      </x:c>
      <x:c r="T1227" s="15"/>
      <x:c r="U1227" s="16" t="n">
        <x:v>5468.19</x:v>
      </x:c>
      <x:c r="V1227" t="str">
        <x:v>CRESCO Real Estate</x:v>
      </x:c>
      <x:c r="W1227" t="str">
        <x:v>Ružinov</x:v>
      </x:c>
      <x:c r="X1227" s="11" t="str">
        <x:v>voľný</x:v>
      </x:c>
      <x:c r="Y1227" s="11" t="str">
        <x:v>https://jasikruzinov.sk/ponuka-bytov/c1-2</x:v>
      </x:c>
      <x:c r="Z1227" s="11" t="n">
        <x:v>46249.4134212037</x:v>
      </x:c>
      <x:c r="AA1227" s="11" t="n">
        <x:v>46254.51251577547</x:v>
      </x:c>
      <x:c r="AB1227" s="11" t="n">
        <x:v>46254.51251577547</x:v>
      </x:c>
      <x:c r="AC1227" t="str">
        <x:v>jasik_ruzinov</x:v>
      </x:c>
    </x:row>
    <x:row r="1228" ht="22" customHeight="1">
      <x:c r="A1228" t="str">
        <x:v>Jašik Ružinov</x:v>
      </x:c>
      <x:c r="B1228" t="str">
        <x:v>C1.3</x:v>
      </x:c>
      <x:c r="C1228" t="str">
        <x:v>sold</x:v>
      </x:c>
      <x:c r="D1228" t="str">
        <x:v>present</x:v>
      </x:c>
      <x:c r="E1228" t="str">
        <x:v>baseline</x:v>
      </x:c>
      <x:c r="F1228" s="11" t="n">
        <x:v>46249.4134212037</x:v>
      </x:c>
      <x:c r="G1228" t="str"/>
      <x:c r="H1228" s="12" t="n">
        <x:v>2</x:v>
      </x:c>
      <x:c r="I1228" s="13" t="n">
        <x:v>3</x:v>
      </x:c>
      <x:c r="J1228" t="str">
        <x:v>C</x:v>
      </x:c>
      <x:c r="K1228" s="14" t="n">
        <x:v>53.76</x:v>
      </x:c>
      <x:c r="L1228" s="14"/>
      <x:c r="M1228" s="14"/>
      <x:c r="N1228" s="14"/>
      <x:c r="O1228" s="14"/>
      <x:c r="P1228" s="14" t="n">
        <x:v>5.04</x:v>
      </x:c>
      <x:c r="Q1228" s="14" t="n">
        <x:v>58.8</x:v>
      </x:c>
      <x:c r="R1228" s="15"/>
      <x:c r="S1228" s="15"/>
      <x:c r="T1228" s="15"/>
      <x:c r="U1228" s="16"/>
      <x:c r="V1228" t="str">
        <x:v>CRESCO Real Estate</x:v>
      </x:c>
      <x:c r="W1228" t="str">
        <x:v>Ružinov</x:v>
      </x:c>
      <x:c r="X1228" s="11" t="str">
        <x:v>predaný</x:v>
      </x:c>
      <x:c r="Y1228" s="11" t="str">
        <x:v>https://jasikruzinov.sk/ponuka-bytov/c1-3</x:v>
      </x:c>
      <x:c r="Z1228" s="11" t="n">
        <x:v>46249.4134212037</x:v>
      </x:c>
      <x:c r="AA1228" s="11" t="n">
        <x:v>46254.51251577547</x:v>
      </x:c>
      <x:c r="AB1228" s="11" t="n">
        <x:v>46254.51251577547</x:v>
      </x:c>
      <x:c r="AC1228" t="str">
        <x:v>jasik_ruzinov</x:v>
      </x:c>
    </x:row>
    <x:row r="1229" ht="22" customHeight="1">
      <x:c r="A1229" t="str">
        <x:v>Jašik Ružinov</x:v>
      </x:c>
      <x:c r="B1229" t="str">
        <x:v>C1.4</x:v>
      </x:c>
      <x:c r="C1229" t="str">
        <x:v>sold</x:v>
      </x:c>
      <x:c r="D1229" t="str">
        <x:v>present</x:v>
      </x:c>
      <x:c r="E1229" t="str">
        <x:v>baseline</x:v>
      </x:c>
      <x:c r="F1229" s="11" t="n">
        <x:v>46249.4134212037</x:v>
      </x:c>
      <x:c r="G1229" t="str"/>
      <x:c r="H1229" s="12" t="n">
        <x:v>2</x:v>
      </x:c>
      <x:c r="I1229" s="13" t="n">
        <x:v>4</x:v>
      </x:c>
      <x:c r="J1229" t="str">
        <x:v>C</x:v>
      </x:c>
      <x:c r="K1229" s="14" t="n">
        <x:v>53.76</x:v>
      </x:c>
      <x:c r="L1229" s="14"/>
      <x:c r="M1229" s="14"/>
      <x:c r="N1229" s="14"/>
      <x:c r="O1229" s="14"/>
      <x:c r="P1229" s="14" t="n">
        <x:v>5.04</x:v>
      </x:c>
      <x:c r="Q1229" s="14" t="n">
        <x:v>58.8</x:v>
      </x:c>
      <x:c r="R1229" s="15"/>
      <x:c r="S1229" s="15"/>
      <x:c r="T1229" s="15"/>
      <x:c r="U1229" s="16"/>
      <x:c r="V1229" t="str">
        <x:v>CRESCO Real Estate</x:v>
      </x:c>
      <x:c r="W1229" t="str">
        <x:v>Ružinov</x:v>
      </x:c>
      <x:c r="X1229" s="11" t="str">
        <x:v>predaný</x:v>
      </x:c>
      <x:c r="Y1229" s="11" t="str">
        <x:v>https://jasikruzinov.sk/ponuka-bytov/c1-4</x:v>
      </x:c>
      <x:c r="Z1229" s="11" t="n">
        <x:v>46249.4134212037</x:v>
      </x:c>
      <x:c r="AA1229" s="11" t="n">
        <x:v>46254.51251577547</x:v>
      </x:c>
      <x:c r="AB1229" s="11" t="n">
        <x:v>46254.51251577547</x:v>
      </x:c>
      <x:c r="AC1229" t="str">
        <x:v>jasik_ruzinov</x:v>
      </x:c>
    </x:row>
    <x:row r="1230" ht="22" customHeight="1">
      <x:c r="A1230" t="str">
        <x:v>Jašik Ružinov</x:v>
      </x:c>
      <x:c r="B1230" t="str">
        <x:v>C1.5</x:v>
      </x:c>
      <x:c r="C1230" t="str">
        <x:v>sold</x:v>
      </x:c>
      <x:c r="D1230" t="str">
        <x:v>present</x:v>
      </x:c>
      <x:c r="E1230" t="str">
        <x:v>baseline</x:v>
      </x:c>
      <x:c r="F1230" s="11" t="n">
        <x:v>46249.4134212037</x:v>
      </x:c>
      <x:c r="G1230" t="str"/>
      <x:c r="H1230" s="12" t="n">
        <x:v>2</x:v>
      </x:c>
      <x:c r="I1230" s="13" t="n">
        <x:v>5</x:v>
      </x:c>
      <x:c r="J1230" t="str">
        <x:v>C</x:v>
      </x:c>
      <x:c r="K1230" s="14" t="n">
        <x:v>53.76</x:v>
      </x:c>
      <x:c r="L1230" s="14"/>
      <x:c r="M1230" s="14"/>
      <x:c r="N1230" s="14"/>
      <x:c r="O1230" s="14"/>
      <x:c r="P1230" s="14" t="n">
        <x:v>5.04</x:v>
      </x:c>
      <x:c r="Q1230" s="14" t="n">
        <x:v>58.8</x:v>
      </x:c>
      <x:c r="R1230" s="15"/>
      <x:c r="S1230" s="15"/>
      <x:c r="T1230" s="15"/>
      <x:c r="U1230" s="16"/>
      <x:c r="V1230" t="str">
        <x:v>CRESCO Real Estate</x:v>
      </x:c>
      <x:c r="W1230" t="str">
        <x:v>Ružinov</x:v>
      </x:c>
      <x:c r="X1230" s="11" t="str">
        <x:v>predaný</x:v>
      </x:c>
      <x:c r="Y1230" s="11" t="str">
        <x:v>https://jasikruzinov.sk/ponuka-bytov/c1-5</x:v>
      </x:c>
      <x:c r="Z1230" s="11" t="n">
        <x:v>46249.4134212037</x:v>
      </x:c>
      <x:c r="AA1230" s="11" t="n">
        <x:v>46254.51251577547</x:v>
      </x:c>
      <x:c r="AB1230" s="11" t="n">
        <x:v>46254.51251577547</x:v>
      </x:c>
      <x:c r="AC1230" t="str">
        <x:v>jasik_ruzinov</x:v>
      </x:c>
    </x:row>
    <x:row r="1231" ht="22" customHeight="1">
      <x:c r="A1231" t="str">
        <x:v>Jašik Ružinov</x:v>
      </x:c>
      <x:c r="B1231" t="str">
        <x:v>C2.2</x:v>
      </x:c>
      <x:c r="C1231" t="str">
        <x:v>available</x:v>
      </x:c>
      <x:c r="D1231" t="str">
        <x:v>present</x:v>
      </x:c>
      <x:c r="E1231" t="str">
        <x:v>baseline</x:v>
      </x:c>
      <x:c r="F1231" s="11" t="n">
        <x:v>46249.4134212037</x:v>
      </x:c>
      <x:c r="G1231" t="str"/>
      <x:c r="H1231" s="12" t="n">
        <x:v>2</x:v>
      </x:c>
      <x:c r="I1231" s="13" t="n">
        <x:v>2</x:v>
      </x:c>
      <x:c r="J1231" t="str">
        <x:v>C</x:v>
      </x:c>
      <x:c r="K1231" s="14" t="n">
        <x:v>59.98</x:v>
      </x:c>
      <x:c r="L1231" s="14"/>
      <x:c r="M1231" s="14"/>
      <x:c r="N1231" s="14"/>
      <x:c r="O1231" s="14"/>
      <x:c r="P1231" s="14" t="n">
        <x:v>9.86</x:v>
      </x:c>
      <x:c r="Q1231" s="14" t="n">
        <x:v>69.84</x:v>
      </x:c>
      <x:c r="R1231" s="15" t="n">
        <x:v>337020</x:v>
      </x:c>
      <x:c r="S1231" s="15" t="n">
        <x:v>337020</x:v>
      </x:c>
      <x:c r="T1231" s="15"/>
      <x:c r="U1231" s="16" t="n">
        <x:v>5618.87</x:v>
      </x:c>
      <x:c r="V1231" t="str">
        <x:v>CRESCO Real Estate</x:v>
      </x:c>
      <x:c r="W1231" t="str">
        <x:v>Ružinov</x:v>
      </x:c>
      <x:c r="X1231" s="11" t="str">
        <x:v>voľný</x:v>
      </x:c>
      <x:c r="Y1231" s="11" t="str">
        <x:v>https://jasikruzinov.sk/ponuka-bytov/c2-2</x:v>
      </x:c>
      <x:c r="Z1231" s="11" t="n">
        <x:v>46249.4134212037</x:v>
      </x:c>
      <x:c r="AA1231" s="11" t="n">
        <x:v>46254.51251577547</x:v>
      </x:c>
      <x:c r="AB1231" s="11" t="n">
        <x:v>46254.51251577547</x:v>
      </x:c>
      <x:c r="AC1231" t="str">
        <x:v>jasik_ruzinov</x:v>
      </x:c>
    </x:row>
    <x:row r="1232" ht="22" customHeight="1">
      <x:c r="A1232" t="str">
        <x:v>Jašik Ružinov</x:v>
      </x:c>
      <x:c r="B1232" t="str">
        <x:v>C2.3</x:v>
      </x:c>
      <x:c r="C1232" t="str">
        <x:v>available</x:v>
      </x:c>
      <x:c r="D1232" t="str">
        <x:v>present</x:v>
      </x:c>
      <x:c r="E1232" t="str">
        <x:v>baseline</x:v>
      </x:c>
      <x:c r="F1232" s="11" t="n">
        <x:v>46249.4134212037</x:v>
      </x:c>
      <x:c r="G1232" t="str"/>
      <x:c r="H1232" s="12" t="n">
        <x:v>2</x:v>
      </x:c>
      <x:c r="I1232" s="13" t="n">
        <x:v>3</x:v>
      </x:c>
      <x:c r="J1232" t="str">
        <x:v>C</x:v>
      </x:c>
      <x:c r="K1232" s="14" t="n">
        <x:v>59.98</x:v>
      </x:c>
      <x:c r="L1232" s="14"/>
      <x:c r="M1232" s="14"/>
      <x:c r="N1232" s="14"/>
      <x:c r="O1232" s="14"/>
      <x:c r="P1232" s="14" t="n">
        <x:v>9.86</x:v>
      </x:c>
      <x:c r="Q1232" s="14" t="n">
        <x:v>69.84</x:v>
      </x:c>
      <x:c r="R1232" s="15" t="n">
        <x:v>340710</x:v>
      </x:c>
      <x:c r="S1232" s="15" t="n">
        <x:v>340710</x:v>
      </x:c>
      <x:c r="T1232" s="15"/>
      <x:c r="U1232" s="16" t="n">
        <x:v>5680.39</x:v>
      </x:c>
      <x:c r="V1232" t="str">
        <x:v>CRESCO Real Estate</x:v>
      </x:c>
      <x:c r="W1232" t="str">
        <x:v>Ružinov</x:v>
      </x:c>
      <x:c r="X1232" s="11" t="str">
        <x:v>voľný</x:v>
      </x:c>
      <x:c r="Y1232" s="11" t="str">
        <x:v>https://jasikruzinov.sk/ponuka-bytov/c2-3</x:v>
      </x:c>
      <x:c r="Z1232" s="11" t="n">
        <x:v>46249.4134212037</x:v>
      </x:c>
      <x:c r="AA1232" s="11" t="n">
        <x:v>46254.51251577547</x:v>
      </x:c>
      <x:c r="AB1232" s="11" t="n">
        <x:v>46254.51251577547</x:v>
      </x:c>
      <x:c r="AC1232" t="str">
        <x:v>jasik_ruzinov</x:v>
      </x:c>
    </x:row>
    <x:row r="1233" ht="22" customHeight="1">
      <x:c r="A1233" t="str">
        <x:v>Jašik Ružinov</x:v>
      </x:c>
      <x:c r="B1233" t="str">
        <x:v>C2.4</x:v>
      </x:c>
      <x:c r="C1233" t="str">
        <x:v>sold</x:v>
      </x:c>
      <x:c r="D1233" t="str">
        <x:v>present</x:v>
      </x:c>
      <x:c r="E1233" t="str">
        <x:v>baseline</x:v>
      </x:c>
      <x:c r="F1233" s="11" t="n">
        <x:v>46249.4134212037</x:v>
      </x:c>
      <x:c r="G1233" t="str"/>
      <x:c r="H1233" s="12" t="n">
        <x:v>2</x:v>
      </x:c>
      <x:c r="I1233" s="13" t="n">
        <x:v>4</x:v>
      </x:c>
      <x:c r="J1233" t="str">
        <x:v>C</x:v>
      </x:c>
      <x:c r="K1233" s="14" t="n">
        <x:v>59.98</x:v>
      </x:c>
      <x:c r="L1233" s="14"/>
      <x:c r="M1233" s="14"/>
      <x:c r="N1233" s="14"/>
      <x:c r="O1233" s="14"/>
      <x:c r="P1233" s="14" t="n">
        <x:v>9.86</x:v>
      </x:c>
      <x:c r="Q1233" s="14" t="n">
        <x:v>69.84</x:v>
      </x:c>
      <x:c r="R1233" s="15"/>
      <x:c r="S1233" s="15"/>
      <x:c r="T1233" s="15"/>
      <x:c r="U1233" s="16"/>
      <x:c r="V1233" t="str">
        <x:v>CRESCO Real Estate</x:v>
      </x:c>
      <x:c r="W1233" t="str">
        <x:v>Ružinov</x:v>
      </x:c>
      <x:c r="X1233" s="11" t="str">
        <x:v>predaný</x:v>
      </x:c>
      <x:c r="Y1233" s="11" t="str">
        <x:v>https://jasikruzinov.sk/ponuka-bytov/c2-4</x:v>
      </x:c>
      <x:c r="Z1233" s="11" t="n">
        <x:v>46249.4134212037</x:v>
      </x:c>
      <x:c r="AA1233" s="11" t="n">
        <x:v>46254.51251577547</x:v>
      </x:c>
      <x:c r="AB1233" s="11" t="n">
        <x:v>46254.51251577547</x:v>
      </x:c>
      <x:c r="AC1233" t="str">
        <x:v>jasik_ruzinov</x:v>
      </x:c>
    </x:row>
    <x:row r="1234" ht="22" customHeight="1">
      <x:c r="A1234" t="str">
        <x:v>Jašik Ružinov</x:v>
      </x:c>
      <x:c r="B1234" t="str">
        <x:v>C2.5</x:v>
      </x:c>
      <x:c r="C1234" t="str">
        <x:v>available</x:v>
      </x:c>
      <x:c r="D1234" t="str">
        <x:v>present</x:v>
      </x:c>
      <x:c r="E1234" t="str">
        <x:v>baseline</x:v>
      </x:c>
      <x:c r="F1234" s="11" t="n">
        <x:v>46249.4134212037</x:v>
      </x:c>
      <x:c r="G1234" t="str"/>
      <x:c r="H1234" s="12" t="n">
        <x:v>2</x:v>
      </x:c>
      <x:c r="I1234" s="13" t="n">
        <x:v>5</x:v>
      </x:c>
      <x:c r="J1234" t="str">
        <x:v>C</x:v>
      </x:c>
      <x:c r="K1234" s="14" t="n">
        <x:v>59.98</x:v>
      </x:c>
      <x:c r="L1234" s="14"/>
      <x:c r="M1234" s="14"/>
      <x:c r="N1234" s="14"/>
      <x:c r="O1234" s="14"/>
      <x:c r="P1234" s="14" t="n">
        <x:v>9.86</x:v>
      </x:c>
      <x:c r="Q1234" s="14" t="n">
        <x:v>69.84</x:v>
      </x:c>
      <x:c r="R1234" s="15" t="n">
        <x:v>350550</x:v>
      </x:c>
      <x:c r="S1234" s="15" t="n">
        <x:v>350550</x:v>
      </x:c>
      <x:c r="T1234" s="15"/>
      <x:c r="U1234" s="16" t="n">
        <x:v>5844.45</x:v>
      </x:c>
      <x:c r="V1234" t="str">
        <x:v>CRESCO Real Estate</x:v>
      </x:c>
      <x:c r="W1234" t="str">
        <x:v>Ružinov</x:v>
      </x:c>
      <x:c r="X1234" s="11" t="str">
        <x:v>voľný</x:v>
      </x:c>
      <x:c r="Y1234" s="11" t="str">
        <x:v>https://jasikruzinov.sk/ponuka-bytov/c2-5</x:v>
      </x:c>
      <x:c r="Z1234" s="11" t="n">
        <x:v>46249.4134212037</x:v>
      </x:c>
      <x:c r="AA1234" s="11" t="n">
        <x:v>46254.51251577547</x:v>
      </x:c>
      <x:c r="AB1234" s="11" t="n">
        <x:v>46254.51251577547</x:v>
      </x:c>
      <x:c r="AC1234" t="str">
        <x:v>jasik_ruzinov</x:v>
      </x:c>
    </x:row>
    <x:row r="1235" ht="22" customHeight="1">
      <x:c r="A1235" t="str">
        <x:v>Jašik Ružinov</x:v>
      </x:c>
      <x:c r="B1235" t="str">
        <x:v>C3.2</x:v>
      </x:c>
      <x:c r="C1235" t="str">
        <x:v>available</x:v>
      </x:c>
      <x:c r="D1235" t="str">
        <x:v>present</x:v>
      </x:c>
      <x:c r="E1235" t="str">
        <x:v>baseline</x:v>
      </x:c>
      <x:c r="F1235" s="11" t="n">
        <x:v>46249.4134212037</x:v>
      </x:c>
      <x:c r="G1235" t="str"/>
      <x:c r="H1235" s="12" t="n">
        <x:v>2</x:v>
      </x:c>
      <x:c r="I1235" s="13" t="n">
        <x:v>2</x:v>
      </x:c>
      <x:c r="J1235" t="str">
        <x:v>C</x:v>
      </x:c>
      <x:c r="K1235" s="14" t="n">
        <x:v>52.82</x:v>
      </x:c>
      <x:c r="L1235" s="14"/>
      <x:c r="M1235" s="14"/>
      <x:c r="N1235" s="14"/>
      <x:c r="O1235" s="14"/>
      <x:c r="P1235" s="14" t="n">
        <x:v>7.43</x:v>
      </x:c>
      <x:c r="Q1235" s="14" t="n">
        <x:v>60.25</x:v>
      </x:c>
      <x:c r="R1235" s="15" t="n">
        <x:v>295200</x:v>
      </x:c>
      <x:c r="S1235" s="15" t="n">
        <x:v>295200</x:v>
      </x:c>
      <x:c r="T1235" s="15"/>
      <x:c r="U1235" s="16" t="n">
        <x:v>5588.79</x:v>
      </x:c>
      <x:c r="V1235" t="str">
        <x:v>CRESCO Real Estate</x:v>
      </x:c>
      <x:c r="W1235" t="str">
        <x:v>Ružinov</x:v>
      </x:c>
      <x:c r="X1235" s="11" t="str">
        <x:v>voľný</x:v>
      </x:c>
      <x:c r="Y1235" s="11" t="str">
        <x:v>https://jasikruzinov.sk/ponuka-bytov/c3-2</x:v>
      </x:c>
      <x:c r="Z1235" s="11" t="n">
        <x:v>46249.4134212037</x:v>
      </x:c>
      <x:c r="AA1235" s="11" t="n">
        <x:v>46254.51251577547</x:v>
      </x:c>
      <x:c r="AB1235" s="11" t="n">
        <x:v>46254.51251577547</x:v>
      </x:c>
      <x:c r="AC1235" t="str">
        <x:v>jasik_ruzinov</x:v>
      </x:c>
    </x:row>
    <x:row r="1236" ht="22" customHeight="1">
      <x:c r="A1236" t="str">
        <x:v>Jašik Ružinov</x:v>
      </x:c>
      <x:c r="B1236" t="str">
        <x:v>C3.3</x:v>
      </x:c>
      <x:c r="C1236" t="str">
        <x:v>sold</x:v>
      </x:c>
      <x:c r="D1236" t="str">
        <x:v>present</x:v>
      </x:c>
      <x:c r="E1236" t="str">
        <x:v>baseline</x:v>
      </x:c>
      <x:c r="F1236" s="11" t="n">
        <x:v>46249.4134212037</x:v>
      </x:c>
      <x:c r="G1236" t="str"/>
      <x:c r="H1236" s="12" t="n">
        <x:v>2</x:v>
      </x:c>
      <x:c r="I1236" s="13" t="n">
        <x:v>3</x:v>
      </x:c>
      <x:c r="J1236" t="str">
        <x:v>C</x:v>
      </x:c>
      <x:c r="K1236" s="14" t="n">
        <x:v>52.82</x:v>
      </x:c>
      <x:c r="L1236" s="14"/>
      <x:c r="M1236" s="14"/>
      <x:c r="N1236" s="14"/>
      <x:c r="O1236" s="14"/>
      <x:c r="P1236" s="14" t="n">
        <x:v>7.43</x:v>
      </x:c>
      <x:c r="Q1236" s="14" t="n">
        <x:v>60.25</x:v>
      </x:c>
      <x:c r="R1236" s="15"/>
      <x:c r="S1236" s="15"/>
      <x:c r="T1236" s="15"/>
      <x:c r="U1236" s="16"/>
      <x:c r="V1236" t="str">
        <x:v>CRESCO Real Estate</x:v>
      </x:c>
      <x:c r="W1236" t="str">
        <x:v>Ružinov</x:v>
      </x:c>
      <x:c r="X1236" s="11" t="str">
        <x:v>predaný</x:v>
      </x:c>
      <x:c r="Y1236" s="11" t="str">
        <x:v>https://jasikruzinov.sk/ponuka-bytov/c3-3</x:v>
      </x:c>
      <x:c r="Z1236" s="11" t="n">
        <x:v>46249.4134212037</x:v>
      </x:c>
      <x:c r="AA1236" s="11" t="n">
        <x:v>46254.51251577547</x:v>
      </x:c>
      <x:c r="AB1236" s="11" t="n">
        <x:v>46254.51251577547</x:v>
      </x:c>
      <x:c r="AC1236" t="str">
        <x:v>jasik_ruzinov</x:v>
      </x:c>
    </x:row>
    <x:row r="1237" ht="22" customHeight="1">
      <x:c r="A1237" t="str">
        <x:v>Jašik Ružinov</x:v>
      </x:c>
      <x:c r="B1237" t="str">
        <x:v>C3.4</x:v>
      </x:c>
      <x:c r="C1237" t="str">
        <x:v>sold</x:v>
      </x:c>
      <x:c r="D1237" t="str">
        <x:v>present</x:v>
      </x:c>
      <x:c r="E1237" t="str">
        <x:v>baseline</x:v>
      </x:c>
      <x:c r="F1237" s="11" t="n">
        <x:v>46249.4134212037</x:v>
      </x:c>
      <x:c r="G1237" t="str"/>
      <x:c r="H1237" s="12" t="n">
        <x:v>2</x:v>
      </x:c>
      <x:c r="I1237" s="13" t="n">
        <x:v>4</x:v>
      </x:c>
      <x:c r="J1237" t="str">
        <x:v>C</x:v>
      </x:c>
      <x:c r="K1237" s="14" t="n">
        <x:v>52.82</x:v>
      </x:c>
      <x:c r="L1237" s="14"/>
      <x:c r="M1237" s="14"/>
      <x:c r="N1237" s="14"/>
      <x:c r="O1237" s="14"/>
      <x:c r="P1237" s="14" t="n">
        <x:v>7.43</x:v>
      </x:c>
      <x:c r="Q1237" s="14" t="n">
        <x:v>60.25</x:v>
      </x:c>
      <x:c r="R1237" s="15"/>
      <x:c r="S1237" s="15"/>
      <x:c r="T1237" s="15"/>
      <x:c r="U1237" s="16"/>
      <x:c r="V1237" t="str">
        <x:v>CRESCO Real Estate</x:v>
      </x:c>
      <x:c r="W1237" t="str">
        <x:v>Ružinov</x:v>
      </x:c>
      <x:c r="X1237" s="11" t="str">
        <x:v>predaný</x:v>
      </x:c>
      <x:c r="Y1237" s="11" t="str">
        <x:v>https://jasikruzinov.sk/ponuka-bytov/c3-4</x:v>
      </x:c>
      <x:c r="Z1237" s="11" t="n">
        <x:v>46249.4134212037</x:v>
      </x:c>
      <x:c r="AA1237" s="11" t="n">
        <x:v>46254.51251577547</x:v>
      </x:c>
      <x:c r="AB1237" s="11" t="n">
        <x:v>46254.51251577547</x:v>
      </x:c>
      <x:c r="AC1237" t="str">
        <x:v>jasik_ruzinov</x:v>
      </x:c>
    </x:row>
    <x:row r="1238" ht="22" customHeight="1">
      <x:c r="A1238" t="str">
        <x:v>Jašik Ružinov</x:v>
      </x:c>
      <x:c r="B1238" t="str">
        <x:v>C3.5</x:v>
      </x:c>
      <x:c r="C1238" t="str">
        <x:v>available</x:v>
      </x:c>
      <x:c r="D1238" t="str">
        <x:v>present</x:v>
      </x:c>
      <x:c r="E1238" t="str">
        <x:v>baseline</x:v>
      </x:c>
      <x:c r="F1238" s="11" t="n">
        <x:v>46249.4134212037</x:v>
      </x:c>
      <x:c r="G1238" t="str"/>
      <x:c r="H1238" s="12" t="n">
        <x:v>2</x:v>
      </x:c>
      <x:c r="I1238" s="13" t="n">
        <x:v>5</x:v>
      </x:c>
      <x:c r="J1238" t="str">
        <x:v>C</x:v>
      </x:c>
      <x:c r="K1238" s="14" t="n">
        <x:v>52.82</x:v>
      </x:c>
      <x:c r="L1238" s="14"/>
      <x:c r="M1238" s="14"/>
      <x:c r="N1238" s="14"/>
      <x:c r="O1238" s="14"/>
      <x:c r="P1238" s="14" t="n">
        <x:v>7.43</x:v>
      </x:c>
      <x:c r="Q1238" s="14" t="n">
        <x:v>60.25</x:v>
      </x:c>
      <x:c r="R1238" s="15" t="n">
        <x:v>307500</x:v>
      </x:c>
      <x:c r="S1238" s="15" t="n">
        <x:v>307500</x:v>
      </x:c>
      <x:c r="T1238" s="15"/>
      <x:c r="U1238" s="16" t="n">
        <x:v>5821.66</x:v>
      </x:c>
      <x:c r="V1238" t="str">
        <x:v>CRESCO Real Estate</x:v>
      </x:c>
      <x:c r="W1238" t="str">
        <x:v>Ružinov</x:v>
      </x:c>
      <x:c r="X1238" s="11" t="str">
        <x:v>voľný</x:v>
      </x:c>
      <x:c r="Y1238" s="11" t="str">
        <x:v>https://jasikruzinov.sk/ponuka-bytov/c3-5</x:v>
      </x:c>
      <x:c r="Z1238" s="11" t="n">
        <x:v>46249.4134212037</x:v>
      </x:c>
      <x:c r="AA1238" s="11" t="n">
        <x:v>46254.51251577547</x:v>
      </x:c>
      <x:c r="AB1238" s="11" t="n">
        <x:v>46254.51251577547</x:v>
      </x:c>
      <x:c r="AC1238" t="str">
        <x:v>jasik_ruzinov</x:v>
      </x:c>
    </x:row>
    <x:row r="1239" ht="22" customHeight="1">
      <x:c r="A1239" t="str">
        <x:v>Jašik Ružinov</x:v>
      </x:c>
      <x:c r="B1239" t="str">
        <x:v>C4.2</x:v>
      </x:c>
      <x:c r="C1239" t="str">
        <x:v>available</x:v>
      </x:c>
      <x:c r="D1239" t="str">
        <x:v>present</x:v>
      </x:c>
      <x:c r="E1239" t="str">
        <x:v>baseline</x:v>
      </x:c>
      <x:c r="F1239" s="11" t="n">
        <x:v>46249.4134212037</x:v>
      </x:c>
      <x:c r="G1239" t="str"/>
      <x:c r="H1239" s="12" t="n">
        <x:v>2</x:v>
      </x:c>
      <x:c r="I1239" s="13" t="n">
        <x:v>2</x:v>
      </x:c>
      <x:c r="J1239" t="str">
        <x:v>C</x:v>
      </x:c>
      <x:c r="K1239" s="14" t="n">
        <x:v>52.89</x:v>
      </x:c>
      <x:c r="L1239" s="14"/>
      <x:c r="M1239" s="14"/>
      <x:c r="N1239" s="14"/>
      <x:c r="O1239" s="14"/>
      <x:c r="P1239" s="14" t="n">
        <x:v>7.78</x:v>
      </x:c>
      <x:c r="Q1239" s="14" t="n">
        <x:v>60.67</x:v>
      </x:c>
      <x:c r="R1239" s="15" t="n">
        <x:v>296430</x:v>
      </x:c>
      <x:c r="S1239" s="15" t="n">
        <x:v>296430</x:v>
      </x:c>
      <x:c r="T1239" s="15"/>
      <x:c r="U1239" s="16" t="n">
        <x:v>5604.65</x:v>
      </x:c>
      <x:c r="V1239" t="str">
        <x:v>CRESCO Real Estate</x:v>
      </x:c>
      <x:c r="W1239" t="str">
        <x:v>Ružinov</x:v>
      </x:c>
      <x:c r="X1239" s="11" t="str">
        <x:v>voľný</x:v>
      </x:c>
      <x:c r="Y1239" s="11" t="str">
        <x:v>https://jasikruzinov.sk/ponuka-bytov/c4-2</x:v>
      </x:c>
      <x:c r="Z1239" s="11" t="n">
        <x:v>46249.4134212037</x:v>
      </x:c>
      <x:c r="AA1239" s="11" t="n">
        <x:v>46254.51251577547</x:v>
      </x:c>
      <x:c r="AB1239" s="11" t="n">
        <x:v>46254.51251577547</x:v>
      </x:c>
      <x:c r="AC1239" t="str">
        <x:v>jasik_ruzinov</x:v>
      </x:c>
    </x:row>
    <x:row r="1240" ht="22" customHeight="1">
      <x:c r="A1240" t="str">
        <x:v>Jašik Ružinov</x:v>
      </x:c>
      <x:c r="B1240" t="str">
        <x:v>C4.3</x:v>
      </x:c>
      <x:c r="C1240" t="str">
        <x:v>available</x:v>
      </x:c>
      <x:c r="D1240" t="str">
        <x:v>present</x:v>
      </x:c>
      <x:c r="E1240" t="str">
        <x:v>baseline</x:v>
      </x:c>
      <x:c r="F1240" s="11" t="n">
        <x:v>46249.4134212037</x:v>
      </x:c>
      <x:c r="G1240" t="str"/>
      <x:c r="H1240" s="12" t="n">
        <x:v>2</x:v>
      </x:c>
      <x:c r="I1240" s="13" t="n">
        <x:v>3</x:v>
      </x:c>
      <x:c r="J1240" t="str">
        <x:v>C</x:v>
      </x:c>
      <x:c r="K1240" s="14" t="n">
        <x:v>52.89</x:v>
      </x:c>
      <x:c r="L1240" s="14"/>
      <x:c r="M1240" s="14"/>
      <x:c r="N1240" s="14"/>
      <x:c r="O1240" s="14"/>
      <x:c r="P1240" s="14" t="n">
        <x:v>7.78</x:v>
      </x:c>
      <x:c r="Q1240" s="14" t="n">
        <x:v>60.67</x:v>
      </x:c>
      <x:c r="R1240" s="15" t="n">
        <x:v>300120</x:v>
      </x:c>
      <x:c r="S1240" s="15" t="n">
        <x:v>300120</x:v>
      </x:c>
      <x:c r="T1240" s="15"/>
      <x:c r="U1240" s="16" t="n">
        <x:v>5674.42</x:v>
      </x:c>
      <x:c r="V1240" t="str">
        <x:v>CRESCO Real Estate</x:v>
      </x:c>
      <x:c r="W1240" t="str">
        <x:v>Ružinov</x:v>
      </x:c>
      <x:c r="X1240" s="11" t="str">
        <x:v>voľný</x:v>
      </x:c>
      <x:c r="Y1240" s="11" t="str">
        <x:v>https://jasikruzinov.sk/ponuka-bytov/c4-3</x:v>
      </x:c>
      <x:c r="Z1240" s="11" t="n">
        <x:v>46249.4134212037</x:v>
      </x:c>
      <x:c r="AA1240" s="11" t="n">
        <x:v>46254.51251577547</x:v>
      </x:c>
      <x:c r="AB1240" s="11" t="n">
        <x:v>46254.51251577547</x:v>
      </x:c>
      <x:c r="AC1240" t="str">
        <x:v>jasik_ruzinov</x:v>
      </x:c>
    </x:row>
    <x:row r="1241" ht="22" customHeight="1">
      <x:c r="A1241" t="str">
        <x:v>Jašik Ružinov</x:v>
      </x:c>
      <x:c r="B1241" t="str">
        <x:v>C4.4</x:v>
      </x:c>
      <x:c r="C1241" t="str">
        <x:v>sold</x:v>
      </x:c>
      <x:c r="D1241" t="str">
        <x:v>present</x:v>
      </x:c>
      <x:c r="E1241" t="str">
        <x:v>baseline</x:v>
      </x:c>
      <x:c r="F1241" s="11" t="n">
        <x:v>46249.4134212037</x:v>
      </x:c>
      <x:c r="G1241" t="str"/>
      <x:c r="H1241" s="12" t="n">
        <x:v>2</x:v>
      </x:c>
      <x:c r="I1241" s="13" t="n">
        <x:v>4</x:v>
      </x:c>
      <x:c r="J1241" t="str">
        <x:v>C</x:v>
      </x:c>
      <x:c r="K1241" s="14" t="n">
        <x:v>52.89</x:v>
      </x:c>
      <x:c r="L1241" s="14"/>
      <x:c r="M1241" s="14"/>
      <x:c r="N1241" s="14"/>
      <x:c r="O1241" s="14"/>
      <x:c r="P1241" s="14" t="n">
        <x:v>7.78</x:v>
      </x:c>
      <x:c r="Q1241" s="14" t="n">
        <x:v>60.67</x:v>
      </x:c>
      <x:c r="R1241" s="15" t="n">
        <x:v>302580</x:v>
      </x:c>
      <x:c r="S1241" s="15" t="n">
        <x:v>302580</x:v>
      </x:c>
      <x:c r="T1241" s="15"/>
      <x:c r="U1241" s="16" t="n">
        <x:v>5720.93</x:v>
      </x:c>
      <x:c r="V1241" t="str">
        <x:v>CRESCO Real Estate</x:v>
      </x:c>
      <x:c r="W1241" t="str">
        <x:v>Ružinov</x:v>
      </x:c>
      <x:c r="X1241" s="11" t="str">
        <x:v>predaný</x:v>
      </x:c>
      <x:c r="Y1241" s="11" t="str">
        <x:v>https://jasikruzinov.sk/ponuka-bytov/c4-4</x:v>
      </x:c>
      <x:c r="Z1241" s="11" t="n">
        <x:v>46249.4134212037</x:v>
      </x:c>
      <x:c r="AA1241" s="11" t="n">
        <x:v>46254.51251577547</x:v>
      </x:c>
      <x:c r="AB1241" s="11" t="n">
        <x:v>46254.51251577547</x:v>
      </x:c>
      <x:c r="AC1241" t="str">
        <x:v>jasik_ruzinov</x:v>
      </x:c>
    </x:row>
    <x:row r="1242" ht="22" customHeight="1">
      <x:c r="A1242" t="str">
        <x:v>Jašik Ružinov</x:v>
      </x:c>
      <x:c r="B1242" t="str">
        <x:v>C4.5</x:v>
      </x:c>
      <x:c r="C1242" t="str">
        <x:v>available</x:v>
      </x:c>
      <x:c r="D1242" t="str">
        <x:v>present</x:v>
      </x:c>
      <x:c r="E1242" t="str">
        <x:v>baseline</x:v>
      </x:c>
      <x:c r="F1242" s="11" t="n">
        <x:v>46249.4134212037</x:v>
      </x:c>
      <x:c r="G1242" t="str"/>
      <x:c r="H1242" s="12" t="n">
        <x:v>2</x:v>
      </x:c>
      <x:c r="I1242" s="13" t="n">
        <x:v>5</x:v>
      </x:c>
      <x:c r="J1242" t="str">
        <x:v>C</x:v>
      </x:c>
      <x:c r="K1242" s="14" t="n">
        <x:v>52.89</x:v>
      </x:c>
      <x:c r="L1242" s="14"/>
      <x:c r="M1242" s="14"/>
      <x:c r="N1242" s="14"/>
      <x:c r="O1242" s="14"/>
      <x:c r="P1242" s="14" t="n">
        <x:v>7.78</x:v>
      </x:c>
      <x:c r="Q1242" s="14" t="n">
        <x:v>60.67</x:v>
      </x:c>
      <x:c r="R1242" s="15" t="n">
        <x:v>308730</x:v>
      </x:c>
      <x:c r="S1242" s="15" t="n">
        <x:v>308730</x:v>
      </x:c>
      <x:c r="T1242" s="15"/>
      <x:c r="U1242" s="16" t="n">
        <x:v>5837.21</x:v>
      </x:c>
      <x:c r="V1242" t="str">
        <x:v>CRESCO Real Estate</x:v>
      </x:c>
      <x:c r="W1242" t="str">
        <x:v>Ružinov</x:v>
      </x:c>
      <x:c r="X1242" s="11" t="str">
        <x:v>voľný</x:v>
      </x:c>
      <x:c r="Y1242" s="11" t="str">
        <x:v>https://jasikruzinov.sk/ponuka-bytov/c4-5</x:v>
      </x:c>
      <x:c r="Z1242" s="11" t="n">
        <x:v>46249.4134212037</x:v>
      </x:c>
      <x:c r="AA1242" s="11" t="n">
        <x:v>46254.51251577547</x:v>
      </x:c>
      <x:c r="AB1242" s="11" t="n">
        <x:v>46254.51251577547</x:v>
      </x:c>
      <x:c r="AC1242" t="str">
        <x:v>jasik_ruzinov</x:v>
      </x:c>
    </x:row>
    <x:row r="1243" ht="22" customHeight="1">
      <x:c r="A1243" t="str">
        <x:v>Jašik Ružinov</x:v>
      </x:c>
      <x:c r="B1243" t="str">
        <x:v>C5.2</x:v>
      </x:c>
      <x:c r="C1243" t="str">
        <x:v>available</x:v>
      </x:c>
      <x:c r="D1243" t="str">
        <x:v>present</x:v>
      </x:c>
      <x:c r="E1243" t="str">
        <x:v>baseline</x:v>
      </x:c>
      <x:c r="F1243" s="11" t="n">
        <x:v>46249.4134212037</x:v>
      </x:c>
      <x:c r="G1243" t="str"/>
      <x:c r="H1243" s="12" t="n">
        <x:v>2</x:v>
      </x:c>
      <x:c r="I1243" s="13" t="n">
        <x:v>2</x:v>
      </x:c>
      <x:c r="J1243" t="str">
        <x:v>C</x:v>
      </x:c>
      <x:c r="K1243" s="14" t="n">
        <x:v>59.99</x:v>
      </x:c>
      <x:c r="L1243" s="14"/>
      <x:c r="M1243" s="14"/>
      <x:c r="N1243" s="14"/>
      <x:c r="O1243" s="14"/>
      <x:c r="P1243" s="14" t="n">
        <x:v>5.04</x:v>
      </x:c>
      <x:c r="Q1243" s="14" t="n">
        <x:v>65.03</x:v>
      </x:c>
      <x:c r="R1243" s="15" t="n">
        <x:v>323490</x:v>
      </x:c>
      <x:c r="S1243" s="15" t="n">
        <x:v>323490</x:v>
      </x:c>
      <x:c r="T1243" s="15"/>
      <x:c r="U1243" s="16" t="n">
        <x:v>5392.4</x:v>
      </x:c>
      <x:c r="V1243" t="str">
        <x:v>CRESCO Real Estate</x:v>
      </x:c>
      <x:c r="W1243" t="str">
        <x:v>Ružinov</x:v>
      </x:c>
      <x:c r="X1243" s="11" t="str">
        <x:v>voľný</x:v>
      </x:c>
      <x:c r="Y1243" s="11" t="str">
        <x:v>https://jasikruzinov.sk/ponuka-bytov/c5-2</x:v>
      </x:c>
      <x:c r="Z1243" s="11" t="n">
        <x:v>46249.4134212037</x:v>
      </x:c>
      <x:c r="AA1243" s="11" t="n">
        <x:v>46254.51251577547</x:v>
      </x:c>
      <x:c r="AB1243" s="11" t="n">
        <x:v>46254.51251577547</x:v>
      </x:c>
      <x:c r="AC1243" t="str">
        <x:v>jasik_ruzinov</x:v>
      </x:c>
    </x:row>
    <x:row r="1244" ht="22" customHeight="1">
      <x:c r="A1244" t="str">
        <x:v>Jašik Ružinov</x:v>
      </x:c>
      <x:c r="B1244" t="str">
        <x:v>C5.3</x:v>
      </x:c>
      <x:c r="C1244" t="str">
        <x:v>sold</x:v>
      </x:c>
      <x:c r="D1244" t="str">
        <x:v>present</x:v>
      </x:c>
      <x:c r="E1244" t="str">
        <x:v>baseline</x:v>
      </x:c>
      <x:c r="F1244" s="11" t="n">
        <x:v>46249.4134212037</x:v>
      </x:c>
      <x:c r="G1244" t="str"/>
      <x:c r="H1244" s="12" t="n">
        <x:v>2</x:v>
      </x:c>
      <x:c r="I1244" s="13" t="n">
        <x:v>3</x:v>
      </x:c>
      <x:c r="J1244" t="str">
        <x:v>C</x:v>
      </x:c>
      <x:c r="K1244" s="14" t="n">
        <x:v>59.99</x:v>
      </x:c>
      <x:c r="L1244" s="14"/>
      <x:c r="M1244" s="14"/>
      <x:c r="N1244" s="14"/>
      <x:c r="O1244" s="14"/>
      <x:c r="P1244" s="14" t="n">
        <x:v>5.04</x:v>
      </x:c>
      <x:c r="Q1244" s="14" t="n">
        <x:v>65.03</x:v>
      </x:c>
      <x:c r="R1244" s="15"/>
      <x:c r="S1244" s="15"/>
      <x:c r="T1244" s="15"/>
      <x:c r="U1244" s="16"/>
      <x:c r="V1244" t="str">
        <x:v>CRESCO Real Estate</x:v>
      </x:c>
      <x:c r="W1244" t="str">
        <x:v>Ružinov</x:v>
      </x:c>
      <x:c r="X1244" s="11" t="str">
        <x:v>predaný</x:v>
      </x:c>
      <x:c r="Y1244" s="11" t="str">
        <x:v>https://jasikruzinov.sk/ponuka-bytov/c5-3</x:v>
      </x:c>
      <x:c r="Z1244" s="11" t="n">
        <x:v>46249.4134212037</x:v>
      </x:c>
      <x:c r="AA1244" s="11" t="n">
        <x:v>46254.51251577547</x:v>
      </x:c>
      <x:c r="AB1244" s="11" t="n">
        <x:v>46254.51251577547</x:v>
      </x:c>
      <x:c r="AC1244" t="str">
        <x:v>jasik_ruzinov</x:v>
      </x:c>
    </x:row>
    <x:row r="1245" ht="22" customHeight="1">
      <x:c r="A1245" t="str">
        <x:v>Jašik Ružinov</x:v>
      </x:c>
      <x:c r="B1245" t="str">
        <x:v>C5.4</x:v>
      </x:c>
      <x:c r="C1245" t="str">
        <x:v>sold</x:v>
      </x:c>
      <x:c r="D1245" t="str">
        <x:v>present</x:v>
      </x:c>
      <x:c r="E1245" t="str">
        <x:v>baseline</x:v>
      </x:c>
      <x:c r="F1245" s="11" t="n">
        <x:v>46249.4134212037</x:v>
      </x:c>
      <x:c r="G1245" t="str"/>
      <x:c r="H1245" s="12" t="n">
        <x:v>2</x:v>
      </x:c>
      <x:c r="I1245" s="13" t="n">
        <x:v>4</x:v>
      </x:c>
      <x:c r="J1245" t="str">
        <x:v>C</x:v>
      </x:c>
      <x:c r="K1245" s="14" t="n">
        <x:v>59.99</x:v>
      </x:c>
      <x:c r="L1245" s="14"/>
      <x:c r="M1245" s="14"/>
      <x:c r="N1245" s="14"/>
      <x:c r="O1245" s="14"/>
      <x:c r="P1245" s="14" t="n">
        <x:v>5.04</x:v>
      </x:c>
      <x:c r="Q1245" s="14" t="n">
        <x:v>65.03</x:v>
      </x:c>
      <x:c r="R1245" s="15"/>
      <x:c r="S1245" s="15"/>
      <x:c r="T1245" s="15"/>
      <x:c r="U1245" s="16"/>
      <x:c r="V1245" t="str">
        <x:v>CRESCO Real Estate</x:v>
      </x:c>
      <x:c r="W1245" t="str">
        <x:v>Ružinov</x:v>
      </x:c>
      <x:c r="X1245" s="11" t="str">
        <x:v>predaný</x:v>
      </x:c>
      <x:c r="Y1245" s="11" t="str">
        <x:v>https://jasikruzinov.sk/ponuka-bytov/c5-4</x:v>
      </x:c>
      <x:c r="Z1245" s="11" t="n">
        <x:v>46249.4134212037</x:v>
      </x:c>
      <x:c r="AA1245" s="11" t="n">
        <x:v>46254.51251577547</x:v>
      </x:c>
      <x:c r="AB1245" s="11" t="n">
        <x:v>46254.51251577547</x:v>
      </x:c>
      <x:c r="AC1245" t="str">
        <x:v>jasik_ruzinov</x:v>
      </x:c>
    </x:row>
    <x:row r="1246" ht="22" customHeight="1">
      <x:c r="A1246" t="str">
        <x:v>Jašik Ružinov</x:v>
      </x:c>
      <x:c r="B1246" t="str">
        <x:v>C5.5</x:v>
      </x:c>
      <x:c r="C1246" t="str">
        <x:v>available</x:v>
      </x:c>
      <x:c r="D1246" t="str">
        <x:v>present</x:v>
      </x:c>
      <x:c r="E1246" t="str">
        <x:v>baseline</x:v>
      </x:c>
      <x:c r="F1246" s="11" t="n">
        <x:v>46249.4134212037</x:v>
      </x:c>
      <x:c r="G1246" t="str"/>
      <x:c r="H1246" s="12" t="n">
        <x:v>2</x:v>
      </x:c>
      <x:c r="I1246" s="13" t="n">
        <x:v>5</x:v>
      </x:c>
      <x:c r="J1246" t="str">
        <x:v>C</x:v>
      </x:c>
      <x:c r="K1246" s="14" t="n">
        <x:v>59.99</x:v>
      </x:c>
      <x:c r="L1246" s="14"/>
      <x:c r="M1246" s="14"/>
      <x:c r="N1246" s="14"/>
      <x:c r="O1246" s="14"/>
      <x:c r="P1246" s="14" t="n">
        <x:v>5.04</x:v>
      </x:c>
      <x:c r="Q1246" s="14" t="n">
        <x:v>65.03</x:v>
      </x:c>
      <x:c r="R1246" s="15" t="n">
        <x:v>337020</x:v>
      </x:c>
      <x:c r="S1246" s="15" t="n">
        <x:v>337020</x:v>
      </x:c>
      <x:c r="T1246" s="15"/>
      <x:c r="U1246" s="16" t="n">
        <x:v>5617.94</x:v>
      </x:c>
      <x:c r="V1246" t="str">
        <x:v>CRESCO Real Estate</x:v>
      </x:c>
      <x:c r="W1246" t="str">
        <x:v>Ružinov</x:v>
      </x:c>
      <x:c r="X1246" s="11" t="str">
        <x:v>voľný</x:v>
      </x:c>
      <x:c r="Y1246" s="11" t="str">
        <x:v>https://jasikruzinov.sk/ponuka-bytov/c5-5</x:v>
      </x:c>
      <x:c r="Z1246" s="11" t="n">
        <x:v>46249.4134212037</x:v>
      </x:c>
      <x:c r="AA1246" s="11" t="n">
        <x:v>46254.51251577547</x:v>
      </x:c>
      <x:c r="AB1246" s="11" t="n">
        <x:v>46254.51251577547</x:v>
      </x:c>
      <x:c r="AC1246" t="str">
        <x:v>jasik_ruzinov</x:v>
      </x:c>
    </x:row>
    <x:row r="1247" ht="22" customHeight="1">
      <x:c r="A1247" t="str">
        <x:v>Kvarter</x:v>
      </x:c>
      <x:c r="B1247" t="str">
        <x:v>A.1.1</x:v>
      </x:c>
      <x:c r="C1247" t="str">
        <x:v>sold</x:v>
      </x:c>
      <x:c r="D1247" t="str">
        <x:v>present</x:v>
      </x:c>
      <x:c r="E1247" t="str">
        <x:v>baseline</x:v>
      </x:c>
      <x:c r="F1247" s="11" t="n">
        <x:v>46249.4134212037</x:v>
      </x:c>
      <x:c r="G1247" t="str"/>
      <x:c r="H1247" s="12" t="n">
        <x:v>1</x:v>
      </x:c>
      <x:c r="I1247" s="13" t="n">
        <x:v>1</x:v>
      </x:c>
      <x:c r="J1247" t="str">
        <x:v>A</x:v>
      </x:c>
      <x:c r="K1247" s="14"/>
      <x:c r="L1247" s="14"/>
      <x:c r="M1247" s="14"/>
      <x:c r="N1247" s="14"/>
      <x:c r="O1247" s="14"/>
      <x:c r="P1247" s="14"/>
      <x:c r="Q1247" s="14" t="n">
        <x:v>36</x:v>
      </x:c>
      <x:c r="R1247" s="15"/>
      <x:c r="S1247" s="15"/>
      <x:c r="T1247" s="15"/>
      <x:c r="U1247" s="16"/>
      <x:c r="V1247" t="str">
        <x:v>Immocap</x:v>
      </x:c>
      <x:c r="W1247" t="str">
        <x:v>Ružinov</x:v>
      </x:c>
      <x:c r="X1247" s="11" t="str">
        <x:v>Predaný P</x:v>
      </x:c>
      <x:c r="Y1247" s="11" t="str">
        <x:v>https://kvarter-living.sk/byt/A.1.1</x:v>
      </x:c>
      <x:c r="Z1247" s="11" t="n">
        <x:v>46249.4134212037</x:v>
      </x:c>
      <x:c r="AA1247" s="11" t="n">
        <x:v>46254.51251577547</x:v>
      </x:c>
      <x:c r="AB1247" s="11" t="n">
        <x:v>46254.51251577547</x:v>
      </x:c>
      <x:c r="AC1247" t="str">
        <x:v>kvarter</x:v>
      </x:c>
    </x:row>
    <x:row r="1248" ht="22" customHeight="1">
      <x:c r="A1248" t="str">
        <x:v>Kvarter</x:v>
      </x:c>
      <x:c r="B1248" t="str">
        <x:v>A.1.2</x:v>
      </x:c>
      <x:c r="C1248" t="str">
        <x:v>sold</x:v>
      </x:c>
      <x:c r="D1248" t="str">
        <x:v>present</x:v>
      </x:c>
      <x:c r="E1248" t="str">
        <x:v>baseline</x:v>
      </x:c>
      <x:c r="F1248" s="11" t="n">
        <x:v>46249.4134212037</x:v>
      </x:c>
      <x:c r="G1248" t="str"/>
      <x:c r="H1248" s="12" t="n">
        <x:v>1</x:v>
      </x:c>
      <x:c r="I1248" s="13" t="n">
        <x:v>1</x:v>
      </x:c>
      <x:c r="J1248" t="str">
        <x:v>A</x:v>
      </x:c>
      <x:c r="K1248" s="14"/>
      <x:c r="L1248" s="14"/>
      <x:c r="M1248" s="14"/>
      <x:c r="N1248" s="14"/>
      <x:c r="O1248" s="14"/>
      <x:c r="P1248" s="14"/>
      <x:c r="Q1248" s="14" t="n">
        <x:v>32</x:v>
      </x:c>
      <x:c r="R1248" s="15"/>
      <x:c r="S1248" s="15"/>
      <x:c r="T1248" s="15"/>
      <x:c r="U1248" s="16"/>
      <x:c r="V1248" t="str">
        <x:v>Immocap</x:v>
      </x:c>
      <x:c r="W1248" t="str">
        <x:v>Ružinov</x:v>
      </x:c>
      <x:c r="X1248" s="11" t="str">
        <x:v>Predaný P</x:v>
      </x:c>
      <x:c r="Y1248" s="11" t="str">
        <x:v>https://kvarter-living.sk/byt/A.1.2</x:v>
      </x:c>
      <x:c r="Z1248" s="11" t="n">
        <x:v>46249.4134212037</x:v>
      </x:c>
      <x:c r="AA1248" s="11" t="n">
        <x:v>46254.51251577547</x:v>
      </x:c>
      <x:c r="AB1248" s="11" t="n">
        <x:v>46254.51251577547</x:v>
      </x:c>
      <x:c r="AC1248" t="str">
        <x:v>kvarter</x:v>
      </x:c>
    </x:row>
    <x:row r="1249" ht="22" customHeight="1">
      <x:c r="A1249" t="str">
        <x:v>Kvarter</x:v>
      </x:c>
      <x:c r="B1249" t="str">
        <x:v>A.1.3</x:v>
      </x:c>
      <x:c r="C1249" t="str">
        <x:v>sold</x:v>
      </x:c>
      <x:c r="D1249" t="str">
        <x:v>present</x:v>
      </x:c>
      <x:c r="E1249" t="str">
        <x:v>baseline</x:v>
      </x:c>
      <x:c r="F1249" s="11" t="n">
        <x:v>46249.4134212037</x:v>
      </x:c>
      <x:c r="G1249" t="str"/>
      <x:c r="H1249" s="12" t="n">
        <x:v>3</x:v>
      </x:c>
      <x:c r="I1249" s="13" t="n">
        <x:v>1</x:v>
      </x:c>
      <x:c r="J1249" t="str">
        <x:v>A</x:v>
      </x:c>
      <x:c r="K1249" s="14"/>
      <x:c r="L1249" s="14"/>
      <x:c r="M1249" s="14"/>
      <x:c r="N1249" s="14"/>
      <x:c r="O1249" s="14"/>
      <x:c r="P1249" s="14"/>
      <x:c r="Q1249" s="14" t="n">
        <x:v>85</x:v>
      </x:c>
      <x:c r="R1249" s="15"/>
      <x:c r="S1249" s="15"/>
      <x:c r="T1249" s="15"/>
      <x:c r="U1249" s="16"/>
      <x:c r="V1249" t="str">
        <x:v>Immocap</x:v>
      </x:c>
      <x:c r="W1249" t="str">
        <x:v>Ružinov</x:v>
      </x:c>
      <x:c r="X1249" s="11" t="str">
        <x:v>Predaný P</x:v>
      </x:c>
      <x:c r="Y1249" s="11" t="str">
        <x:v>https://kvarter-living.sk/byt/A.1.3</x:v>
      </x:c>
      <x:c r="Z1249" s="11" t="n">
        <x:v>46249.4134212037</x:v>
      </x:c>
      <x:c r="AA1249" s="11" t="n">
        <x:v>46254.51251577547</x:v>
      </x:c>
      <x:c r="AB1249" s="11" t="n">
        <x:v>46254.51251577547</x:v>
      </x:c>
      <x:c r="AC1249" t="str">
        <x:v>kvarter</x:v>
      </x:c>
    </x:row>
    <x:row r="1250" ht="22" customHeight="1">
      <x:c r="A1250" t="str">
        <x:v>Kvarter</x:v>
      </x:c>
      <x:c r="B1250" t="str">
        <x:v>A.1.4</x:v>
      </x:c>
      <x:c r="C1250" t="str">
        <x:v>sold</x:v>
      </x:c>
      <x:c r="D1250" t="str">
        <x:v>present</x:v>
      </x:c>
      <x:c r="E1250" t="str">
        <x:v>baseline</x:v>
      </x:c>
      <x:c r="F1250" s="11" t="n">
        <x:v>46249.4134212037</x:v>
      </x:c>
      <x:c r="G1250" t="str"/>
      <x:c r="H1250" s="12" t="n">
        <x:v>2</x:v>
      </x:c>
      <x:c r="I1250" s="13" t="n">
        <x:v>1</x:v>
      </x:c>
      <x:c r="J1250" t="str">
        <x:v>A</x:v>
      </x:c>
      <x:c r="K1250" s="14"/>
      <x:c r="L1250" s="14"/>
      <x:c r="M1250" s="14"/>
      <x:c r="N1250" s="14"/>
      <x:c r="O1250" s="14"/>
      <x:c r="P1250" s="14"/>
      <x:c r="Q1250" s="14" t="n">
        <x:v>48</x:v>
      </x:c>
      <x:c r="R1250" s="15"/>
      <x:c r="S1250" s="15"/>
      <x:c r="T1250" s="15"/>
      <x:c r="U1250" s="16"/>
      <x:c r="V1250" t="str">
        <x:v>Immocap</x:v>
      </x:c>
      <x:c r="W1250" t="str">
        <x:v>Ružinov</x:v>
      </x:c>
      <x:c r="X1250" s="11" t="str">
        <x:v>Predaný P</x:v>
      </x:c>
      <x:c r="Y1250" s="11" t="str">
        <x:v>https://kvarter-living.sk/byt/A.1.4</x:v>
      </x:c>
      <x:c r="Z1250" s="11" t="n">
        <x:v>46249.4134212037</x:v>
      </x:c>
      <x:c r="AA1250" s="11" t="n">
        <x:v>46254.51251577547</x:v>
      </x:c>
      <x:c r="AB1250" s="11" t="n">
        <x:v>46254.51251577547</x:v>
      </x:c>
      <x:c r="AC1250" t="str">
        <x:v>kvarter</x:v>
      </x:c>
    </x:row>
    <x:row r="1251" ht="22" customHeight="1">
      <x:c r="A1251" t="str">
        <x:v>Kvarter</x:v>
      </x:c>
      <x:c r="B1251" t="str">
        <x:v>A.1.5</x:v>
      </x:c>
      <x:c r="C1251" t="str">
        <x:v>sold</x:v>
      </x:c>
      <x:c r="D1251" t="str">
        <x:v>present</x:v>
      </x:c>
      <x:c r="E1251" t="str">
        <x:v>baseline</x:v>
      </x:c>
      <x:c r="F1251" s="11" t="n">
        <x:v>46249.4134212037</x:v>
      </x:c>
      <x:c r="G1251" t="str"/>
      <x:c r="H1251" s="12" t="n">
        <x:v>2</x:v>
      </x:c>
      <x:c r="I1251" s="13" t="n">
        <x:v>1</x:v>
      </x:c>
      <x:c r="J1251" t="str">
        <x:v>A</x:v>
      </x:c>
      <x:c r="K1251" s="14"/>
      <x:c r="L1251" s="14"/>
      <x:c r="M1251" s="14"/>
      <x:c r="N1251" s="14"/>
      <x:c r="O1251" s="14"/>
      <x:c r="P1251" s="14"/>
      <x:c r="Q1251" s="14" t="n">
        <x:v>63</x:v>
      </x:c>
      <x:c r="R1251" s="15"/>
      <x:c r="S1251" s="15"/>
      <x:c r="T1251" s="15"/>
      <x:c r="U1251" s="16"/>
      <x:c r="V1251" t="str">
        <x:v>Immocap</x:v>
      </x:c>
      <x:c r="W1251" t="str">
        <x:v>Ružinov</x:v>
      </x:c>
      <x:c r="X1251" s="11" t="str">
        <x:v>Predaný P</x:v>
      </x:c>
      <x:c r="Y1251" s="11" t="str">
        <x:v>https://kvarter-living.sk/byt/A.1.5</x:v>
      </x:c>
      <x:c r="Z1251" s="11" t="n">
        <x:v>46249.4134212037</x:v>
      </x:c>
      <x:c r="AA1251" s="11" t="n">
        <x:v>46254.51251577547</x:v>
      </x:c>
      <x:c r="AB1251" s="11" t="n">
        <x:v>46254.51251577547</x:v>
      </x:c>
      <x:c r="AC1251" t="str">
        <x:v>kvarter</x:v>
      </x:c>
    </x:row>
    <x:row r="1252" ht="22" customHeight="1">
      <x:c r="A1252" t="str">
        <x:v>Kvarter</x:v>
      </x:c>
      <x:c r="B1252" t="str">
        <x:v>A.1.6</x:v>
      </x:c>
      <x:c r="C1252" t="str">
        <x:v>sold</x:v>
      </x:c>
      <x:c r="D1252" t="str">
        <x:v>present</x:v>
      </x:c>
      <x:c r="E1252" t="str">
        <x:v>baseline</x:v>
      </x:c>
      <x:c r="F1252" s="11" t="n">
        <x:v>46249.4134212037</x:v>
      </x:c>
      <x:c r="G1252" t="str"/>
      <x:c r="H1252" s="12" t="n">
        <x:v>2</x:v>
      </x:c>
      <x:c r="I1252" s="13" t="n">
        <x:v>1</x:v>
      </x:c>
      <x:c r="J1252" t="str">
        <x:v>A</x:v>
      </x:c>
      <x:c r="K1252" s="14"/>
      <x:c r="L1252" s="14"/>
      <x:c r="M1252" s="14"/>
      <x:c r="N1252" s="14"/>
      <x:c r="O1252" s="14"/>
      <x:c r="P1252" s="14"/>
      <x:c r="Q1252" s="14" t="n">
        <x:v>63</x:v>
      </x:c>
      <x:c r="R1252" s="15"/>
      <x:c r="S1252" s="15"/>
      <x:c r="T1252" s="15"/>
      <x:c r="U1252" s="16"/>
      <x:c r="V1252" t="str">
        <x:v>Immocap</x:v>
      </x:c>
      <x:c r="W1252" t="str">
        <x:v>Ružinov</x:v>
      </x:c>
      <x:c r="X1252" s="11" t="str">
        <x:v>Predaný P</x:v>
      </x:c>
      <x:c r="Y1252" s="11" t="str">
        <x:v>https://kvarter-living.sk/byt/A.1.6</x:v>
      </x:c>
      <x:c r="Z1252" s="11" t="n">
        <x:v>46249.4134212037</x:v>
      </x:c>
      <x:c r="AA1252" s="11" t="n">
        <x:v>46254.51251577547</x:v>
      </x:c>
      <x:c r="AB1252" s="11" t="n">
        <x:v>46254.51251577547</x:v>
      </x:c>
      <x:c r="AC1252" t="str">
        <x:v>kvarter</x:v>
      </x:c>
    </x:row>
    <x:row r="1253" ht="22" customHeight="1">
      <x:c r="A1253" t="str">
        <x:v>Kvarter</x:v>
      </x:c>
      <x:c r="B1253" t="str">
        <x:v>A.1.7</x:v>
      </x:c>
      <x:c r="C1253" t="str">
        <x:v>sold</x:v>
      </x:c>
      <x:c r="D1253" t="str">
        <x:v>present</x:v>
      </x:c>
      <x:c r="E1253" t="str">
        <x:v>baseline</x:v>
      </x:c>
      <x:c r="F1253" s="11" t="n">
        <x:v>46249.4134212037</x:v>
      </x:c>
      <x:c r="G1253" t="str"/>
      <x:c r="H1253" s="12" t="n">
        <x:v>2</x:v>
      </x:c>
      <x:c r="I1253" s="13" t="n">
        <x:v>1</x:v>
      </x:c>
      <x:c r="J1253" t="str">
        <x:v>A</x:v>
      </x:c>
      <x:c r="K1253" s="14"/>
      <x:c r="L1253" s="14"/>
      <x:c r="M1253" s="14"/>
      <x:c r="N1253" s="14"/>
      <x:c r="O1253" s="14"/>
      <x:c r="P1253" s="14"/>
      <x:c r="Q1253" s="14" t="n">
        <x:v>48</x:v>
      </x:c>
      <x:c r="R1253" s="15"/>
      <x:c r="S1253" s="15"/>
      <x:c r="T1253" s="15"/>
      <x:c r="U1253" s="16"/>
      <x:c r="V1253" t="str">
        <x:v>Immocap</x:v>
      </x:c>
      <x:c r="W1253" t="str">
        <x:v>Ružinov</x:v>
      </x:c>
      <x:c r="X1253" s="11" t="str">
        <x:v>Predaný P</x:v>
      </x:c>
      <x:c r="Y1253" s="11" t="str">
        <x:v>https://kvarter-living.sk/byt/A.1.7</x:v>
      </x:c>
      <x:c r="Z1253" s="11" t="n">
        <x:v>46249.4134212037</x:v>
      </x:c>
      <x:c r="AA1253" s="11" t="n">
        <x:v>46254.51251577547</x:v>
      </x:c>
      <x:c r="AB1253" s="11" t="n">
        <x:v>46254.51251577547</x:v>
      </x:c>
      <x:c r="AC1253" t="str">
        <x:v>kvarter</x:v>
      </x:c>
    </x:row>
    <x:row r="1254" ht="22" customHeight="1">
      <x:c r="A1254" t="str">
        <x:v>Kvarter</x:v>
      </x:c>
      <x:c r="B1254" t="str">
        <x:v>A.1.8</x:v>
      </x:c>
      <x:c r="C1254" t="str">
        <x:v>sold</x:v>
      </x:c>
      <x:c r="D1254" t="str">
        <x:v>present</x:v>
      </x:c>
      <x:c r="E1254" t="str">
        <x:v>baseline</x:v>
      </x:c>
      <x:c r="F1254" s="11" t="n">
        <x:v>46249.4134212037</x:v>
      </x:c>
      <x:c r="G1254" t="str"/>
      <x:c r="H1254" s="12" t="n">
        <x:v>3</x:v>
      </x:c>
      <x:c r="I1254" s="13" t="n">
        <x:v>1</x:v>
      </x:c>
      <x:c r="J1254" t="str">
        <x:v>A</x:v>
      </x:c>
      <x:c r="K1254" s="14"/>
      <x:c r="L1254" s="14"/>
      <x:c r="M1254" s="14"/>
      <x:c r="N1254" s="14"/>
      <x:c r="O1254" s="14"/>
      <x:c r="P1254" s="14"/>
      <x:c r="Q1254" s="14" t="n">
        <x:v>85</x:v>
      </x:c>
      <x:c r="R1254" s="15"/>
      <x:c r="S1254" s="15"/>
      <x:c r="T1254" s="15"/>
      <x:c r="U1254" s="16"/>
      <x:c r="V1254" t="str">
        <x:v>Immocap</x:v>
      </x:c>
      <x:c r="W1254" t="str">
        <x:v>Ružinov</x:v>
      </x:c>
      <x:c r="X1254" s="11" t="str">
        <x:v>Predaný P</x:v>
      </x:c>
      <x:c r="Y1254" s="11" t="str">
        <x:v>https://kvarter-living.sk/byt/A.1.8</x:v>
      </x:c>
      <x:c r="Z1254" s="11" t="n">
        <x:v>46249.4134212037</x:v>
      </x:c>
      <x:c r="AA1254" s="11" t="n">
        <x:v>46254.51251577547</x:v>
      </x:c>
      <x:c r="AB1254" s="11" t="n">
        <x:v>46254.51251577547</x:v>
      </x:c>
      <x:c r="AC1254" t="str">
        <x:v>kvarter</x:v>
      </x:c>
    </x:row>
    <x:row r="1255" ht="22" customHeight="1">
      <x:c r="A1255" t="str">
        <x:v>Kvarter</x:v>
      </x:c>
      <x:c r="B1255" t="str">
        <x:v>A.1.9</x:v>
      </x:c>
      <x:c r="C1255" t="str">
        <x:v>sold</x:v>
      </x:c>
      <x:c r="D1255" t="str">
        <x:v>present</x:v>
      </x:c>
      <x:c r="E1255" t="str">
        <x:v>baseline</x:v>
      </x:c>
      <x:c r="F1255" s="11" t="n">
        <x:v>46249.4134212037</x:v>
      </x:c>
      <x:c r="G1255" t="str"/>
      <x:c r="H1255" s="12" t="n">
        <x:v>1</x:v>
      </x:c>
      <x:c r="I1255" s="13" t="n">
        <x:v>1</x:v>
      </x:c>
      <x:c r="J1255" t="str">
        <x:v>A</x:v>
      </x:c>
      <x:c r="K1255" s="14"/>
      <x:c r="L1255" s="14"/>
      <x:c r="M1255" s="14"/>
      <x:c r="N1255" s="14"/>
      <x:c r="O1255" s="14"/>
      <x:c r="P1255" s="14"/>
      <x:c r="Q1255" s="14" t="n">
        <x:v>32</x:v>
      </x:c>
      <x:c r="R1255" s="15"/>
      <x:c r="S1255" s="15"/>
      <x:c r="T1255" s="15"/>
      <x:c r="U1255" s="16"/>
      <x:c r="V1255" t="str">
        <x:v>Immocap</x:v>
      </x:c>
      <x:c r="W1255" t="str">
        <x:v>Ružinov</x:v>
      </x:c>
      <x:c r="X1255" s="11" t="str">
        <x:v>Predaný P</x:v>
      </x:c>
      <x:c r="Y1255" s="11" t="str">
        <x:v>https://kvarter-living.sk/byt/A.1.9</x:v>
      </x:c>
      <x:c r="Z1255" s="11" t="n">
        <x:v>46249.4134212037</x:v>
      </x:c>
      <x:c r="AA1255" s="11" t="n">
        <x:v>46254.51251577547</x:v>
      </x:c>
      <x:c r="AB1255" s="11" t="n">
        <x:v>46254.51251577547</x:v>
      </x:c>
      <x:c r="AC1255" t="str">
        <x:v>kvarter</x:v>
      </x:c>
    </x:row>
    <x:row r="1256" ht="22" customHeight="1">
      <x:c r="A1256" t="str">
        <x:v>Kvarter</x:v>
      </x:c>
      <x:c r="B1256" t="str">
        <x:v>A.1.10</x:v>
      </x:c>
      <x:c r="C1256" t="str">
        <x:v>available</x:v>
      </x:c>
      <x:c r="D1256" t="str">
        <x:v>present</x:v>
      </x:c>
      <x:c r="E1256" t="str">
        <x:v>baseline</x:v>
      </x:c>
      <x:c r="F1256" s="11" t="n">
        <x:v>46249.4134212037</x:v>
      </x:c>
      <x:c r="G1256" t="str"/>
      <x:c r="H1256" s="12" t="n">
        <x:v>1</x:v>
      </x:c>
      <x:c r="I1256" s="13" t="n">
        <x:v>1</x:v>
      </x:c>
      <x:c r="J1256" t="str">
        <x:v>A</x:v>
      </x:c>
      <x:c r="K1256" s="14"/>
      <x:c r="L1256" s="14"/>
      <x:c r="M1256" s="14"/>
      <x:c r="N1256" s="14"/>
      <x:c r="O1256" s="14"/>
      <x:c r="P1256" s="14"/>
      <x:c r="Q1256" s="14" t="n">
        <x:v>37</x:v>
      </x:c>
      <x:c r="R1256" s="15" t="n">
        <x:v>225200</x:v>
      </x:c>
      <x:c r="S1256" s="15" t="n">
        <x:v>225200</x:v>
      </x:c>
      <x:c r="T1256" s="15"/>
      <x:c r="U1256" s="16"/>
      <x:c r="V1256" t="str">
        <x:v>Immocap</x:v>
      </x:c>
      <x:c r="W1256" t="str">
        <x:v>Ružinov</x:v>
      </x:c>
      <x:c r="X1256" s="11" t="str">
        <x:v>Voľný V</x:v>
      </x:c>
      <x:c r="Y1256" s="11" t="str">
        <x:v>https://kvarter-living.sk/byt/A.1.10</x:v>
      </x:c>
      <x:c r="Z1256" s="11" t="n">
        <x:v>46249.4134212037</x:v>
      </x:c>
      <x:c r="AA1256" s="11" t="n">
        <x:v>46254.51251577547</x:v>
      </x:c>
      <x:c r="AB1256" s="11" t="n">
        <x:v>46254.51251577547</x:v>
      </x:c>
      <x:c r="AC1256" t="str">
        <x:v>kvarter</x:v>
      </x:c>
    </x:row>
    <x:row r="1257" ht="22" customHeight="1">
      <x:c r="A1257" t="str">
        <x:v>Kvarter</x:v>
      </x:c>
      <x:c r="B1257" t="str">
        <x:v>A.2.1</x:v>
      </x:c>
      <x:c r="C1257" t="str">
        <x:v>sold</x:v>
      </x:c>
      <x:c r="D1257" t="str">
        <x:v>present</x:v>
      </x:c>
      <x:c r="E1257" t="str">
        <x:v>baseline</x:v>
      </x:c>
      <x:c r="F1257" s="11" t="n">
        <x:v>46249.4134212037</x:v>
      </x:c>
      <x:c r="G1257" t="str"/>
      <x:c r="H1257" s="12" t="n">
        <x:v>1</x:v>
      </x:c>
      <x:c r="I1257" s="13" t="n">
        <x:v>2</x:v>
      </x:c>
      <x:c r="J1257" t="str">
        <x:v>A</x:v>
      </x:c>
      <x:c r="K1257" s="14"/>
      <x:c r="L1257" s="14"/>
      <x:c r="M1257" s="14"/>
      <x:c r="N1257" s="14"/>
      <x:c r="O1257" s="14"/>
      <x:c r="P1257" s="14"/>
      <x:c r="Q1257" s="14" t="n">
        <x:v>36</x:v>
      </x:c>
      <x:c r="R1257" s="15"/>
      <x:c r="S1257" s="15"/>
      <x:c r="T1257" s="15"/>
      <x:c r="U1257" s="16"/>
      <x:c r="V1257" t="str">
        <x:v>Immocap</x:v>
      </x:c>
      <x:c r="W1257" t="str">
        <x:v>Ružinov</x:v>
      </x:c>
      <x:c r="X1257" s="11" t="str">
        <x:v>Predaný P</x:v>
      </x:c>
      <x:c r="Y1257" s="11" t="str">
        <x:v>https://kvarter-living.sk/byt/A.2.1</x:v>
      </x:c>
      <x:c r="Z1257" s="11" t="n">
        <x:v>46249.4134212037</x:v>
      </x:c>
      <x:c r="AA1257" s="11" t="n">
        <x:v>46254.51251577547</x:v>
      </x:c>
      <x:c r="AB1257" s="11" t="n">
        <x:v>46254.51251577547</x:v>
      </x:c>
      <x:c r="AC1257" t="str">
        <x:v>kvarter</x:v>
      </x:c>
    </x:row>
    <x:row r="1258" ht="22" customHeight="1">
      <x:c r="A1258" t="str">
        <x:v>Kvarter</x:v>
      </x:c>
      <x:c r="B1258" t="str">
        <x:v>A.2.2</x:v>
      </x:c>
      <x:c r="C1258" t="str">
        <x:v>sold</x:v>
      </x:c>
      <x:c r="D1258" t="str">
        <x:v>present</x:v>
      </x:c>
      <x:c r="E1258" t="str">
        <x:v>baseline</x:v>
      </x:c>
      <x:c r="F1258" s="11" t="n">
        <x:v>46249.4134212037</x:v>
      </x:c>
      <x:c r="G1258" t="str"/>
      <x:c r="H1258" s="12" t="n">
        <x:v>4</x:v>
      </x:c>
      <x:c r="I1258" s="13" t="n">
        <x:v>2</x:v>
      </x:c>
      <x:c r="J1258" t="str">
        <x:v>A</x:v>
      </x:c>
      <x:c r="K1258" s="14"/>
      <x:c r="L1258" s="14"/>
      <x:c r="M1258" s="14"/>
      <x:c r="N1258" s="14"/>
      <x:c r="O1258" s="14"/>
      <x:c r="P1258" s="14"/>
      <x:c r="Q1258" s="14" t="n">
        <x:v>117</x:v>
      </x:c>
      <x:c r="R1258" s="15"/>
      <x:c r="S1258" s="15"/>
      <x:c r="T1258" s="15"/>
      <x:c r="U1258" s="16"/>
      <x:c r="V1258" t="str">
        <x:v>Immocap</x:v>
      </x:c>
      <x:c r="W1258" t="str">
        <x:v>Ružinov</x:v>
      </x:c>
      <x:c r="X1258" s="11" t="str">
        <x:v>Predaný P</x:v>
      </x:c>
      <x:c r="Y1258" s="11" t="str">
        <x:v>https://kvarter-living.sk/byt/A.2.2</x:v>
      </x:c>
      <x:c r="Z1258" s="11" t="n">
        <x:v>46249.4134212037</x:v>
      </x:c>
      <x:c r="AA1258" s="11" t="n">
        <x:v>46254.51251577547</x:v>
      </x:c>
      <x:c r="AB1258" s="11" t="n">
        <x:v>46254.51251577547</x:v>
      </x:c>
      <x:c r="AC1258" t="str">
        <x:v>kvarter</x:v>
      </x:c>
    </x:row>
    <x:row r="1259" ht="22" customHeight="1">
      <x:c r="A1259" t="str">
        <x:v>Kvarter</x:v>
      </x:c>
      <x:c r="B1259" t="str">
        <x:v>A.2.3</x:v>
      </x:c>
      <x:c r="C1259" t="str">
        <x:v>sold</x:v>
      </x:c>
      <x:c r="D1259" t="str">
        <x:v>present</x:v>
      </x:c>
      <x:c r="E1259" t="str">
        <x:v>baseline</x:v>
      </x:c>
      <x:c r="F1259" s="11" t="n">
        <x:v>46249.4134212037</x:v>
      </x:c>
      <x:c r="G1259" t="str"/>
      <x:c r="H1259" s="12" t="n">
        <x:v>2</x:v>
      </x:c>
      <x:c r="I1259" s="13" t="n">
        <x:v>2</x:v>
      </x:c>
      <x:c r="J1259" t="str">
        <x:v>A</x:v>
      </x:c>
      <x:c r="K1259" s="14"/>
      <x:c r="L1259" s="14"/>
      <x:c r="M1259" s="14"/>
      <x:c r="N1259" s="14"/>
      <x:c r="O1259" s="14"/>
      <x:c r="P1259" s="14"/>
      <x:c r="Q1259" s="14" t="n">
        <x:v>48</x:v>
      </x:c>
      <x:c r="R1259" s="15"/>
      <x:c r="S1259" s="15"/>
      <x:c r="T1259" s="15"/>
      <x:c r="U1259" s="16"/>
      <x:c r="V1259" t="str">
        <x:v>Immocap</x:v>
      </x:c>
      <x:c r="W1259" t="str">
        <x:v>Ružinov</x:v>
      </x:c>
      <x:c r="X1259" s="11" t="str">
        <x:v>Predaný P</x:v>
      </x:c>
      <x:c r="Y1259" s="11" t="str">
        <x:v>https://kvarter-living.sk/byt/A.2.3</x:v>
      </x:c>
      <x:c r="Z1259" s="11" t="n">
        <x:v>46249.4134212037</x:v>
      </x:c>
      <x:c r="AA1259" s="11" t="n">
        <x:v>46254.51251577547</x:v>
      </x:c>
      <x:c r="AB1259" s="11" t="n">
        <x:v>46254.51251577547</x:v>
      </x:c>
      <x:c r="AC1259" t="str">
        <x:v>kvarter</x:v>
      </x:c>
    </x:row>
    <x:row r="1260" ht="22" customHeight="1">
      <x:c r="A1260" t="str">
        <x:v>Kvarter</x:v>
      </x:c>
      <x:c r="B1260" t="str">
        <x:v>A.2.4</x:v>
      </x:c>
      <x:c r="C1260" t="str">
        <x:v>sold</x:v>
      </x:c>
      <x:c r="D1260" t="str">
        <x:v>present</x:v>
      </x:c>
      <x:c r="E1260" t="str">
        <x:v>baseline</x:v>
      </x:c>
      <x:c r="F1260" s="11" t="n">
        <x:v>46249.4134212037</x:v>
      </x:c>
      <x:c r="G1260" t="str"/>
      <x:c r="H1260" s="12" t="n">
        <x:v>2</x:v>
      </x:c>
      <x:c r="I1260" s="13" t="n">
        <x:v>2</x:v>
      </x:c>
      <x:c r="J1260" t="str">
        <x:v>A</x:v>
      </x:c>
      <x:c r="K1260" s="14"/>
      <x:c r="L1260" s="14"/>
      <x:c r="M1260" s="14"/>
      <x:c r="N1260" s="14"/>
      <x:c r="O1260" s="14"/>
      <x:c r="P1260" s="14"/>
      <x:c r="Q1260" s="14" t="n">
        <x:v>63</x:v>
      </x:c>
      <x:c r="R1260" s="15"/>
      <x:c r="S1260" s="15"/>
      <x:c r="T1260" s="15"/>
      <x:c r="U1260" s="16"/>
      <x:c r="V1260" t="str">
        <x:v>Immocap</x:v>
      </x:c>
      <x:c r="W1260" t="str">
        <x:v>Ružinov</x:v>
      </x:c>
      <x:c r="X1260" s="11" t="str">
        <x:v>Predaný P</x:v>
      </x:c>
      <x:c r="Y1260" s="11" t="str">
        <x:v>https://kvarter-living.sk/byt/A.2.4</x:v>
      </x:c>
      <x:c r="Z1260" s="11" t="n">
        <x:v>46249.4134212037</x:v>
      </x:c>
      <x:c r="AA1260" s="11" t="n">
        <x:v>46254.51251577547</x:v>
      </x:c>
      <x:c r="AB1260" s="11" t="n">
        <x:v>46254.51251577547</x:v>
      </x:c>
      <x:c r="AC1260" t="str">
        <x:v>kvarter</x:v>
      </x:c>
    </x:row>
    <x:row r="1261" ht="22" customHeight="1">
      <x:c r="A1261" t="str">
        <x:v>Kvarter</x:v>
      </x:c>
      <x:c r="B1261" t="str">
        <x:v>A.2.5</x:v>
      </x:c>
      <x:c r="C1261" t="str">
        <x:v>sold</x:v>
      </x:c>
      <x:c r="D1261" t="str">
        <x:v>present</x:v>
      </x:c>
      <x:c r="E1261" t="str">
        <x:v>baseline</x:v>
      </x:c>
      <x:c r="F1261" s="11" t="n">
        <x:v>46249.4134212037</x:v>
      </x:c>
      <x:c r="G1261" t="str"/>
      <x:c r="H1261" s="12" t="n">
        <x:v>2</x:v>
      </x:c>
      <x:c r="I1261" s="13" t="n">
        <x:v>2</x:v>
      </x:c>
      <x:c r="J1261" t="str">
        <x:v>A</x:v>
      </x:c>
      <x:c r="K1261" s="14"/>
      <x:c r="L1261" s="14"/>
      <x:c r="M1261" s="14"/>
      <x:c r="N1261" s="14"/>
      <x:c r="O1261" s="14"/>
      <x:c r="P1261" s="14"/>
      <x:c r="Q1261" s="14" t="n">
        <x:v>63</x:v>
      </x:c>
      <x:c r="R1261" s="15"/>
      <x:c r="S1261" s="15"/>
      <x:c r="T1261" s="15"/>
      <x:c r="U1261" s="16"/>
      <x:c r="V1261" t="str">
        <x:v>Immocap</x:v>
      </x:c>
      <x:c r="W1261" t="str">
        <x:v>Ružinov</x:v>
      </x:c>
      <x:c r="X1261" s="11" t="str">
        <x:v>Predaný P</x:v>
      </x:c>
      <x:c r="Y1261" s="11" t="str">
        <x:v>https://kvarter-living.sk/byt/A.2.5</x:v>
      </x:c>
      <x:c r="Z1261" s="11" t="n">
        <x:v>46249.4134212037</x:v>
      </x:c>
      <x:c r="AA1261" s="11" t="n">
        <x:v>46254.51251577547</x:v>
      </x:c>
      <x:c r="AB1261" s="11" t="n">
        <x:v>46254.51251577547</x:v>
      </x:c>
      <x:c r="AC1261" t="str">
        <x:v>kvarter</x:v>
      </x:c>
    </x:row>
    <x:row r="1262" ht="22" customHeight="1">
      <x:c r="A1262" t="str">
        <x:v>Kvarter</x:v>
      </x:c>
      <x:c r="B1262" t="str">
        <x:v>A.2.6</x:v>
      </x:c>
      <x:c r="C1262" t="str">
        <x:v>sold</x:v>
      </x:c>
      <x:c r="D1262" t="str">
        <x:v>present</x:v>
      </x:c>
      <x:c r="E1262" t="str">
        <x:v>baseline</x:v>
      </x:c>
      <x:c r="F1262" s="11" t="n">
        <x:v>46249.4134212037</x:v>
      </x:c>
      <x:c r="G1262" t="str"/>
      <x:c r="H1262" s="12" t="n">
        <x:v>2</x:v>
      </x:c>
      <x:c r="I1262" s="13" t="n">
        <x:v>2</x:v>
      </x:c>
      <x:c r="J1262" t="str">
        <x:v>A</x:v>
      </x:c>
      <x:c r="K1262" s="14"/>
      <x:c r="L1262" s="14"/>
      <x:c r="M1262" s="14"/>
      <x:c r="N1262" s="14"/>
      <x:c r="O1262" s="14"/>
      <x:c r="P1262" s="14"/>
      <x:c r="Q1262" s="14" t="n">
        <x:v>48</x:v>
      </x:c>
      <x:c r="R1262" s="15"/>
      <x:c r="S1262" s="15"/>
      <x:c r="T1262" s="15"/>
      <x:c r="U1262" s="16"/>
      <x:c r="V1262" t="str">
        <x:v>Immocap</x:v>
      </x:c>
      <x:c r="W1262" t="str">
        <x:v>Ružinov</x:v>
      </x:c>
      <x:c r="X1262" s="11" t="str">
        <x:v>Predaný P</x:v>
      </x:c>
      <x:c r="Y1262" s="11" t="str">
        <x:v>https://kvarter-living.sk/byt/A.2.6</x:v>
      </x:c>
      <x:c r="Z1262" s="11" t="n">
        <x:v>46249.4134212037</x:v>
      </x:c>
      <x:c r="AA1262" s="11" t="n">
        <x:v>46254.51251577547</x:v>
      </x:c>
      <x:c r="AB1262" s="11" t="n">
        <x:v>46254.51251577547</x:v>
      </x:c>
      <x:c r="AC1262" t="str">
        <x:v>kvarter</x:v>
      </x:c>
    </x:row>
    <x:row r="1263" ht="22" customHeight="1">
      <x:c r="A1263" t="str">
        <x:v>Kvarter</x:v>
      </x:c>
      <x:c r="B1263" t="str">
        <x:v>A.2.7</x:v>
      </x:c>
      <x:c r="C1263" t="str">
        <x:v>sold</x:v>
      </x:c>
      <x:c r="D1263" t="str">
        <x:v>present</x:v>
      </x:c>
      <x:c r="E1263" t="str">
        <x:v>baseline</x:v>
      </x:c>
      <x:c r="F1263" s="11" t="n">
        <x:v>46249.4134212037</x:v>
      </x:c>
      <x:c r="G1263" t="str"/>
      <x:c r="H1263" s="12" t="n">
        <x:v>4</x:v>
      </x:c>
      <x:c r="I1263" s="13" t="n">
        <x:v>2</x:v>
      </x:c>
      <x:c r="J1263" t="str">
        <x:v>A</x:v>
      </x:c>
      <x:c r="K1263" s="14"/>
      <x:c r="L1263" s="14"/>
      <x:c r="M1263" s="14"/>
      <x:c r="N1263" s="14"/>
      <x:c r="O1263" s="14"/>
      <x:c r="P1263" s="14"/>
      <x:c r="Q1263" s="14" t="n">
        <x:v>117</x:v>
      </x:c>
      <x:c r="R1263" s="15"/>
      <x:c r="S1263" s="15"/>
      <x:c r="T1263" s="15"/>
      <x:c r="U1263" s="16"/>
      <x:c r="V1263" t="str">
        <x:v>Immocap</x:v>
      </x:c>
      <x:c r="W1263" t="str">
        <x:v>Ružinov</x:v>
      </x:c>
      <x:c r="X1263" s="11" t="str">
        <x:v>Predaný P</x:v>
      </x:c>
      <x:c r="Y1263" s="11" t="str">
        <x:v>https://kvarter-living.sk/byt/A.2.7</x:v>
      </x:c>
      <x:c r="Z1263" s="11" t="n">
        <x:v>46249.4134212037</x:v>
      </x:c>
      <x:c r="AA1263" s="11" t="n">
        <x:v>46254.51251577547</x:v>
      </x:c>
      <x:c r="AB1263" s="11" t="n">
        <x:v>46254.51251577547</x:v>
      </x:c>
      <x:c r="AC1263" t="str">
        <x:v>kvarter</x:v>
      </x:c>
    </x:row>
    <x:row r="1264" ht="22" customHeight="1">
      <x:c r="A1264" t="str">
        <x:v>Kvarter</x:v>
      </x:c>
      <x:c r="B1264" t="str">
        <x:v>A.2.8</x:v>
      </x:c>
      <x:c r="C1264" t="str">
        <x:v>available</x:v>
      </x:c>
      <x:c r="D1264" t="str">
        <x:v>present</x:v>
      </x:c>
      <x:c r="E1264" t="str">
        <x:v>baseline</x:v>
      </x:c>
      <x:c r="F1264" s="11" t="n">
        <x:v>46249.4134212037</x:v>
      </x:c>
      <x:c r="G1264" t="str"/>
      <x:c r="H1264" s="12" t="n">
        <x:v>1</x:v>
      </x:c>
      <x:c r="I1264" s="13" t="n">
        <x:v>2</x:v>
      </x:c>
      <x:c r="J1264" t="str">
        <x:v>A</x:v>
      </x:c>
      <x:c r="K1264" s="14"/>
      <x:c r="L1264" s="14"/>
      <x:c r="M1264" s="14"/>
      <x:c r="N1264" s="14"/>
      <x:c r="O1264" s="14"/>
      <x:c r="P1264" s="14"/>
      <x:c r="Q1264" s="14" t="n">
        <x:v>36</x:v>
      </x:c>
      <x:c r="R1264" s="15" t="n">
        <x:v>228200</x:v>
      </x:c>
      <x:c r="S1264" s="15" t="n">
        <x:v>228200</x:v>
      </x:c>
      <x:c r="T1264" s="15"/>
      <x:c r="U1264" s="16"/>
      <x:c r="V1264" t="str">
        <x:v>Immocap</x:v>
      </x:c>
      <x:c r="W1264" t="str">
        <x:v>Ružinov</x:v>
      </x:c>
      <x:c r="X1264" s="11" t="str">
        <x:v>Voľný V</x:v>
      </x:c>
      <x:c r="Y1264" s="11" t="str">
        <x:v>https://kvarter-living.sk/byt/A.2.8</x:v>
      </x:c>
      <x:c r="Z1264" s="11" t="n">
        <x:v>46249.4134212037</x:v>
      </x:c>
      <x:c r="AA1264" s="11" t="n">
        <x:v>46254.51251577547</x:v>
      </x:c>
      <x:c r="AB1264" s="11" t="n">
        <x:v>46254.51251577547</x:v>
      </x:c>
      <x:c r="AC1264" t="str">
        <x:v>kvarter</x:v>
      </x:c>
    </x:row>
    <x:row r="1265" ht="22" customHeight="1">
      <x:c r="A1265" t="str">
        <x:v>Kvarter</x:v>
      </x:c>
      <x:c r="B1265" t="str">
        <x:v>A.3.1</x:v>
      </x:c>
      <x:c r="C1265" t="str">
        <x:v>sold</x:v>
      </x:c>
      <x:c r="D1265" t="str">
        <x:v>present</x:v>
      </x:c>
      <x:c r="E1265" t="str">
        <x:v>baseline</x:v>
      </x:c>
      <x:c r="F1265" s="11" t="n">
        <x:v>46249.4134212037</x:v>
      </x:c>
      <x:c r="G1265" t="str"/>
      <x:c r="H1265" s="12" t="n">
        <x:v>1</x:v>
      </x:c>
      <x:c r="I1265" s="13" t="n">
        <x:v>3</x:v>
      </x:c>
      <x:c r="J1265" t="str">
        <x:v>A</x:v>
      </x:c>
      <x:c r="K1265" s="14"/>
      <x:c r="L1265" s="14"/>
      <x:c r="M1265" s="14"/>
      <x:c r="N1265" s="14"/>
      <x:c r="O1265" s="14"/>
      <x:c r="P1265" s="14"/>
      <x:c r="Q1265" s="14" t="n">
        <x:v>36</x:v>
      </x:c>
      <x:c r="R1265" s="15"/>
      <x:c r="S1265" s="15"/>
      <x:c r="T1265" s="15"/>
      <x:c r="U1265" s="16"/>
      <x:c r="V1265" t="str">
        <x:v>Immocap</x:v>
      </x:c>
      <x:c r="W1265" t="str">
        <x:v>Ružinov</x:v>
      </x:c>
      <x:c r="X1265" s="11" t="str">
        <x:v>Predaný P</x:v>
      </x:c>
      <x:c r="Y1265" s="11" t="str">
        <x:v>https://kvarter-living.sk/byt/A.3.1</x:v>
      </x:c>
      <x:c r="Z1265" s="11" t="n">
        <x:v>46249.4134212037</x:v>
      </x:c>
      <x:c r="AA1265" s="11" t="n">
        <x:v>46254.51251577547</x:v>
      </x:c>
      <x:c r="AB1265" s="11" t="n">
        <x:v>46254.51251577547</x:v>
      </x:c>
      <x:c r="AC1265" t="str">
        <x:v>kvarter</x:v>
      </x:c>
    </x:row>
    <x:row r="1266" ht="22" customHeight="1">
      <x:c r="A1266" t="str">
        <x:v>Kvarter</x:v>
      </x:c>
      <x:c r="B1266" t="str">
        <x:v>A.3.2</x:v>
      </x:c>
      <x:c r="C1266" t="str">
        <x:v>sold</x:v>
      </x:c>
      <x:c r="D1266" t="str">
        <x:v>present</x:v>
      </x:c>
      <x:c r="E1266" t="str">
        <x:v>baseline</x:v>
      </x:c>
      <x:c r="F1266" s="11" t="n">
        <x:v>46249.4134212037</x:v>
      </x:c>
      <x:c r="G1266" t="str"/>
      <x:c r="H1266" s="12" t="n">
        <x:v>4</x:v>
      </x:c>
      <x:c r="I1266" s="13" t="n">
        <x:v>3</x:v>
      </x:c>
      <x:c r="J1266" t="str">
        <x:v>A</x:v>
      </x:c>
      <x:c r="K1266" s="14"/>
      <x:c r="L1266" s="14"/>
      <x:c r="M1266" s="14"/>
      <x:c r="N1266" s="14"/>
      <x:c r="O1266" s="14"/>
      <x:c r="P1266" s="14"/>
      <x:c r="Q1266" s="14" t="n">
        <x:v>117</x:v>
      </x:c>
      <x:c r="R1266" s="15"/>
      <x:c r="S1266" s="15"/>
      <x:c r="T1266" s="15"/>
      <x:c r="U1266" s="16"/>
      <x:c r="V1266" t="str">
        <x:v>Immocap</x:v>
      </x:c>
      <x:c r="W1266" t="str">
        <x:v>Ružinov</x:v>
      </x:c>
      <x:c r="X1266" s="11" t="str">
        <x:v>Predaný P</x:v>
      </x:c>
      <x:c r="Y1266" s="11" t="str">
        <x:v>https://kvarter-living.sk/byt/A.3.2</x:v>
      </x:c>
      <x:c r="Z1266" s="11" t="n">
        <x:v>46249.4134212037</x:v>
      </x:c>
      <x:c r="AA1266" s="11" t="n">
        <x:v>46254.51251577547</x:v>
      </x:c>
      <x:c r="AB1266" s="11" t="n">
        <x:v>46254.51251577547</x:v>
      </x:c>
      <x:c r="AC1266" t="str">
        <x:v>kvarter</x:v>
      </x:c>
    </x:row>
    <x:row r="1267" ht="22" customHeight="1">
      <x:c r="A1267" t="str">
        <x:v>Kvarter</x:v>
      </x:c>
      <x:c r="B1267" t="str">
        <x:v>A.3.3</x:v>
      </x:c>
      <x:c r="C1267" t="str">
        <x:v>sold</x:v>
      </x:c>
      <x:c r="D1267" t="str">
        <x:v>present</x:v>
      </x:c>
      <x:c r="E1267" t="str">
        <x:v>baseline</x:v>
      </x:c>
      <x:c r="F1267" s="11" t="n">
        <x:v>46249.4134212037</x:v>
      </x:c>
      <x:c r="G1267" t="str"/>
      <x:c r="H1267" s="12" t="n">
        <x:v>2</x:v>
      </x:c>
      <x:c r="I1267" s="13" t="n">
        <x:v>3</x:v>
      </x:c>
      <x:c r="J1267" t="str">
        <x:v>A</x:v>
      </x:c>
      <x:c r="K1267" s="14"/>
      <x:c r="L1267" s="14"/>
      <x:c r="M1267" s="14"/>
      <x:c r="N1267" s="14"/>
      <x:c r="O1267" s="14"/>
      <x:c r="P1267" s="14"/>
      <x:c r="Q1267" s="14" t="n">
        <x:v>48</x:v>
      </x:c>
      <x:c r="R1267" s="15"/>
      <x:c r="S1267" s="15"/>
      <x:c r="T1267" s="15"/>
      <x:c r="U1267" s="16"/>
      <x:c r="V1267" t="str">
        <x:v>Immocap</x:v>
      </x:c>
      <x:c r="W1267" t="str">
        <x:v>Ružinov</x:v>
      </x:c>
      <x:c r="X1267" s="11" t="str">
        <x:v>Predaný P</x:v>
      </x:c>
      <x:c r="Y1267" s="11" t="str">
        <x:v>https://kvarter-living.sk/byt/A.3.3</x:v>
      </x:c>
      <x:c r="Z1267" s="11" t="n">
        <x:v>46249.4134212037</x:v>
      </x:c>
      <x:c r="AA1267" s="11" t="n">
        <x:v>46254.51251577547</x:v>
      </x:c>
      <x:c r="AB1267" s="11" t="n">
        <x:v>46254.51251577547</x:v>
      </x:c>
      <x:c r="AC1267" t="str">
        <x:v>kvarter</x:v>
      </x:c>
    </x:row>
    <x:row r="1268" ht="22" customHeight="1">
      <x:c r="A1268" t="str">
        <x:v>Kvarter</x:v>
      </x:c>
      <x:c r="B1268" t="str">
        <x:v>A.3.4</x:v>
      </x:c>
      <x:c r="C1268" t="str">
        <x:v>sold</x:v>
      </x:c>
      <x:c r="D1268" t="str">
        <x:v>present</x:v>
      </x:c>
      <x:c r="E1268" t="str">
        <x:v>baseline</x:v>
      </x:c>
      <x:c r="F1268" s="11" t="n">
        <x:v>46249.4134212037</x:v>
      </x:c>
      <x:c r="G1268" t="str"/>
      <x:c r="H1268" s="12" t="n">
        <x:v>2</x:v>
      </x:c>
      <x:c r="I1268" s="13" t="n">
        <x:v>3</x:v>
      </x:c>
      <x:c r="J1268" t="str">
        <x:v>A</x:v>
      </x:c>
      <x:c r="K1268" s="14"/>
      <x:c r="L1268" s="14"/>
      <x:c r="M1268" s="14"/>
      <x:c r="N1268" s="14"/>
      <x:c r="O1268" s="14"/>
      <x:c r="P1268" s="14"/>
      <x:c r="Q1268" s="14" t="n">
        <x:v>63</x:v>
      </x:c>
      <x:c r="R1268" s="15"/>
      <x:c r="S1268" s="15"/>
      <x:c r="T1268" s="15"/>
      <x:c r="U1268" s="16"/>
      <x:c r="V1268" t="str">
        <x:v>Immocap</x:v>
      </x:c>
      <x:c r="W1268" t="str">
        <x:v>Ružinov</x:v>
      </x:c>
      <x:c r="X1268" s="11" t="str">
        <x:v>Predaný P</x:v>
      </x:c>
      <x:c r="Y1268" s="11" t="str">
        <x:v>https://kvarter-living.sk/byt/A.3.4</x:v>
      </x:c>
      <x:c r="Z1268" s="11" t="n">
        <x:v>46249.4134212037</x:v>
      </x:c>
      <x:c r="AA1268" s="11" t="n">
        <x:v>46254.51251577547</x:v>
      </x:c>
      <x:c r="AB1268" s="11" t="n">
        <x:v>46254.51251577547</x:v>
      </x:c>
      <x:c r="AC1268" t="str">
        <x:v>kvarter</x:v>
      </x:c>
    </x:row>
    <x:row r="1269" ht="22" customHeight="1">
      <x:c r="A1269" t="str">
        <x:v>Kvarter</x:v>
      </x:c>
      <x:c r="B1269" t="str">
        <x:v>A.3.5</x:v>
      </x:c>
      <x:c r="C1269" t="str">
        <x:v>sold</x:v>
      </x:c>
      <x:c r="D1269" t="str">
        <x:v>present</x:v>
      </x:c>
      <x:c r="E1269" t="str">
        <x:v>baseline</x:v>
      </x:c>
      <x:c r="F1269" s="11" t="n">
        <x:v>46249.4134212037</x:v>
      </x:c>
      <x:c r="G1269" t="str"/>
      <x:c r="H1269" s="12" t="n">
        <x:v>2</x:v>
      </x:c>
      <x:c r="I1269" s="13" t="n">
        <x:v>3</x:v>
      </x:c>
      <x:c r="J1269" t="str">
        <x:v>A</x:v>
      </x:c>
      <x:c r="K1269" s="14"/>
      <x:c r="L1269" s="14"/>
      <x:c r="M1269" s="14"/>
      <x:c r="N1269" s="14"/>
      <x:c r="O1269" s="14"/>
      <x:c r="P1269" s="14"/>
      <x:c r="Q1269" s="14" t="n">
        <x:v>63</x:v>
      </x:c>
      <x:c r="R1269" s="15"/>
      <x:c r="S1269" s="15"/>
      <x:c r="T1269" s="15"/>
      <x:c r="U1269" s="16"/>
      <x:c r="V1269" t="str">
        <x:v>Immocap</x:v>
      </x:c>
      <x:c r="W1269" t="str">
        <x:v>Ružinov</x:v>
      </x:c>
      <x:c r="X1269" s="11" t="str">
        <x:v>Predaný P</x:v>
      </x:c>
      <x:c r="Y1269" s="11" t="str">
        <x:v>https://kvarter-living.sk/byt/A.3.5</x:v>
      </x:c>
      <x:c r="Z1269" s="11" t="n">
        <x:v>46249.4134212037</x:v>
      </x:c>
      <x:c r="AA1269" s="11" t="n">
        <x:v>46254.51251577547</x:v>
      </x:c>
      <x:c r="AB1269" s="11" t="n">
        <x:v>46254.51251577547</x:v>
      </x:c>
      <x:c r="AC1269" t="str">
        <x:v>kvarter</x:v>
      </x:c>
    </x:row>
    <x:row r="1270" ht="22" customHeight="1">
      <x:c r="A1270" t="str">
        <x:v>Kvarter</x:v>
      </x:c>
      <x:c r="B1270" t="str">
        <x:v>A.3.6</x:v>
      </x:c>
      <x:c r="C1270" t="str">
        <x:v>sold</x:v>
      </x:c>
      <x:c r="D1270" t="str">
        <x:v>present</x:v>
      </x:c>
      <x:c r="E1270" t="str">
        <x:v>baseline</x:v>
      </x:c>
      <x:c r="F1270" s="11" t="n">
        <x:v>46249.4134212037</x:v>
      </x:c>
      <x:c r="G1270" t="str"/>
      <x:c r="H1270" s="12" t="n">
        <x:v>2</x:v>
      </x:c>
      <x:c r="I1270" s="13" t="n">
        <x:v>3</x:v>
      </x:c>
      <x:c r="J1270" t="str">
        <x:v>A</x:v>
      </x:c>
      <x:c r="K1270" s="14"/>
      <x:c r="L1270" s="14"/>
      <x:c r="M1270" s="14"/>
      <x:c r="N1270" s="14"/>
      <x:c r="O1270" s="14"/>
      <x:c r="P1270" s="14"/>
      <x:c r="Q1270" s="14" t="n">
        <x:v>48</x:v>
      </x:c>
      <x:c r="R1270" s="15"/>
      <x:c r="S1270" s="15"/>
      <x:c r="T1270" s="15"/>
      <x:c r="U1270" s="16"/>
      <x:c r="V1270" t="str">
        <x:v>Immocap</x:v>
      </x:c>
      <x:c r="W1270" t="str">
        <x:v>Ružinov</x:v>
      </x:c>
      <x:c r="X1270" s="11" t="str">
        <x:v>Predaný P</x:v>
      </x:c>
      <x:c r="Y1270" s="11" t="str">
        <x:v>https://kvarter-living.sk/byt/A.3.6</x:v>
      </x:c>
      <x:c r="Z1270" s="11" t="n">
        <x:v>46249.4134212037</x:v>
      </x:c>
      <x:c r="AA1270" s="11" t="n">
        <x:v>46254.51251577547</x:v>
      </x:c>
      <x:c r="AB1270" s="11" t="n">
        <x:v>46254.51251577547</x:v>
      </x:c>
      <x:c r="AC1270" t="str">
        <x:v>kvarter</x:v>
      </x:c>
    </x:row>
    <x:row r="1271" ht="22" customHeight="1">
      <x:c r="A1271" t="str">
        <x:v>Kvarter</x:v>
      </x:c>
      <x:c r="B1271" t="str">
        <x:v>A.3.7</x:v>
      </x:c>
      <x:c r="C1271" t="str">
        <x:v>sold</x:v>
      </x:c>
      <x:c r="D1271" t="str">
        <x:v>present</x:v>
      </x:c>
      <x:c r="E1271" t="str">
        <x:v>baseline</x:v>
      </x:c>
      <x:c r="F1271" s="11" t="n">
        <x:v>46249.4134212037</x:v>
      </x:c>
      <x:c r="G1271" t="str"/>
      <x:c r="H1271" s="12" t="n">
        <x:v>4</x:v>
      </x:c>
      <x:c r="I1271" s="13" t="n">
        <x:v>3</x:v>
      </x:c>
      <x:c r="J1271" t="str">
        <x:v>A</x:v>
      </x:c>
      <x:c r="K1271" s="14"/>
      <x:c r="L1271" s="14"/>
      <x:c r="M1271" s="14"/>
      <x:c r="N1271" s="14"/>
      <x:c r="O1271" s="14"/>
      <x:c r="P1271" s="14"/>
      <x:c r="Q1271" s="14" t="n">
        <x:v>117</x:v>
      </x:c>
      <x:c r="R1271" s="15"/>
      <x:c r="S1271" s="15"/>
      <x:c r="T1271" s="15"/>
      <x:c r="U1271" s="16"/>
      <x:c r="V1271" t="str">
        <x:v>Immocap</x:v>
      </x:c>
      <x:c r="W1271" t="str">
        <x:v>Ružinov</x:v>
      </x:c>
      <x:c r="X1271" s="11" t="str">
        <x:v>Predaný P</x:v>
      </x:c>
      <x:c r="Y1271" s="11" t="str">
        <x:v>https://kvarter-living.sk/byt/A.3.7</x:v>
      </x:c>
      <x:c r="Z1271" s="11" t="n">
        <x:v>46249.4134212037</x:v>
      </x:c>
      <x:c r="AA1271" s="11" t="n">
        <x:v>46254.51251577547</x:v>
      </x:c>
      <x:c r="AB1271" s="11" t="n">
        <x:v>46254.51251577547</x:v>
      </x:c>
      <x:c r="AC1271" t="str">
        <x:v>kvarter</x:v>
      </x:c>
    </x:row>
    <x:row r="1272" ht="22" customHeight="1">
      <x:c r="A1272" t="str">
        <x:v>Kvarter</x:v>
      </x:c>
      <x:c r="B1272" t="str">
        <x:v>A.3.8</x:v>
      </x:c>
      <x:c r="C1272" t="str">
        <x:v>available</x:v>
      </x:c>
      <x:c r="D1272" t="str">
        <x:v>present</x:v>
      </x:c>
      <x:c r="E1272" t="str">
        <x:v>baseline</x:v>
      </x:c>
      <x:c r="F1272" s="11" t="n">
        <x:v>46249.4134212037</x:v>
      </x:c>
      <x:c r="G1272" t="str"/>
      <x:c r="H1272" s="12" t="n">
        <x:v>1</x:v>
      </x:c>
      <x:c r="I1272" s="13" t="n">
        <x:v>3</x:v>
      </x:c>
      <x:c r="J1272" t="str">
        <x:v>A</x:v>
      </x:c>
      <x:c r="K1272" s="14"/>
      <x:c r="L1272" s="14"/>
      <x:c r="M1272" s="14"/>
      <x:c r="N1272" s="14"/>
      <x:c r="O1272" s="14"/>
      <x:c r="P1272" s="14"/>
      <x:c r="Q1272" s="14" t="n">
        <x:v>37</x:v>
      </x:c>
      <x:c r="R1272" s="15" t="n">
        <x:v>230100</x:v>
      </x:c>
      <x:c r="S1272" s="15" t="n">
        <x:v>230100</x:v>
      </x:c>
      <x:c r="T1272" s="15"/>
      <x:c r="U1272" s="16"/>
      <x:c r="V1272" t="str">
        <x:v>Immocap</x:v>
      </x:c>
      <x:c r="W1272" t="str">
        <x:v>Ružinov</x:v>
      </x:c>
      <x:c r="X1272" s="11" t="str">
        <x:v>Voľný V</x:v>
      </x:c>
      <x:c r="Y1272" s="11" t="str">
        <x:v>https://kvarter-living.sk/byt/A.3.8</x:v>
      </x:c>
      <x:c r="Z1272" s="11" t="n">
        <x:v>46249.4134212037</x:v>
      </x:c>
      <x:c r="AA1272" s="11" t="n">
        <x:v>46254.51251577547</x:v>
      </x:c>
      <x:c r="AB1272" s="11" t="n">
        <x:v>46254.51251577547</x:v>
      </x:c>
      <x:c r="AC1272" t="str">
        <x:v>kvarter</x:v>
      </x:c>
    </x:row>
    <x:row r="1273" ht="22" customHeight="1">
      <x:c r="A1273" t="str">
        <x:v>Kvarter</x:v>
      </x:c>
      <x:c r="B1273" t="str">
        <x:v>A.4.1</x:v>
      </x:c>
      <x:c r="C1273" t="str">
        <x:v>sold</x:v>
      </x:c>
      <x:c r="D1273" t="str">
        <x:v>present</x:v>
      </x:c>
      <x:c r="E1273" t="str">
        <x:v>baseline</x:v>
      </x:c>
      <x:c r="F1273" s="11" t="n">
        <x:v>46249.4134212037</x:v>
      </x:c>
      <x:c r="G1273" t="str"/>
      <x:c r="H1273" s="12" t="n">
        <x:v>1</x:v>
      </x:c>
      <x:c r="I1273" s="13" t="n">
        <x:v>4</x:v>
      </x:c>
      <x:c r="J1273" t="str">
        <x:v>A</x:v>
      </x:c>
      <x:c r="K1273" s="14"/>
      <x:c r="L1273" s="14"/>
      <x:c r="M1273" s="14"/>
      <x:c r="N1273" s="14"/>
      <x:c r="O1273" s="14"/>
      <x:c r="P1273" s="14"/>
      <x:c r="Q1273" s="14" t="n">
        <x:v>36</x:v>
      </x:c>
      <x:c r="R1273" s="15"/>
      <x:c r="S1273" s="15"/>
      <x:c r="T1273" s="15"/>
      <x:c r="U1273" s="16"/>
      <x:c r="V1273" t="str">
        <x:v>Immocap</x:v>
      </x:c>
      <x:c r="W1273" t="str">
        <x:v>Ružinov</x:v>
      </x:c>
      <x:c r="X1273" s="11" t="str">
        <x:v>Predaný P</x:v>
      </x:c>
      <x:c r="Y1273" s="11" t="str">
        <x:v>https://kvarter-living.sk/byt/A.4.1</x:v>
      </x:c>
      <x:c r="Z1273" s="11" t="n">
        <x:v>46249.4134212037</x:v>
      </x:c>
      <x:c r="AA1273" s="11" t="n">
        <x:v>46254.51251577547</x:v>
      </x:c>
      <x:c r="AB1273" s="11" t="n">
        <x:v>46254.51251577547</x:v>
      </x:c>
      <x:c r="AC1273" t="str">
        <x:v>kvarter</x:v>
      </x:c>
    </x:row>
    <x:row r="1274" ht="22" customHeight="1">
      <x:c r="A1274" t="str">
        <x:v>Kvarter</x:v>
      </x:c>
      <x:c r="B1274" t="str">
        <x:v>A.4.2</x:v>
      </x:c>
      <x:c r="C1274" t="str">
        <x:v>sold</x:v>
      </x:c>
      <x:c r="D1274" t="str">
        <x:v>present</x:v>
      </x:c>
      <x:c r="E1274" t="str">
        <x:v>baseline</x:v>
      </x:c>
      <x:c r="F1274" s="11" t="n">
        <x:v>46249.4134212037</x:v>
      </x:c>
      <x:c r="G1274" t="str"/>
      <x:c r="H1274" s="12" t="n">
        <x:v>4</x:v>
      </x:c>
      <x:c r="I1274" s="13" t="n">
        <x:v>4</x:v>
      </x:c>
      <x:c r="J1274" t="str">
        <x:v>A</x:v>
      </x:c>
      <x:c r="K1274" s="14"/>
      <x:c r="L1274" s="14"/>
      <x:c r="M1274" s="14"/>
      <x:c r="N1274" s="14"/>
      <x:c r="O1274" s="14"/>
      <x:c r="P1274" s="14"/>
      <x:c r="Q1274" s="14" t="n">
        <x:v>117</x:v>
      </x:c>
      <x:c r="R1274" s="15"/>
      <x:c r="S1274" s="15"/>
      <x:c r="T1274" s="15"/>
      <x:c r="U1274" s="16"/>
      <x:c r="V1274" t="str">
        <x:v>Immocap</x:v>
      </x:c>
      <x:c r="W1274" t="str">
        <x:v>Ružinov</x:v>
      </x:c>
      <x:c r="X1274" s="11" t="str">
        <x:v>Predaný P</x:v>
      </x:c>
      <x:c r="Y1274" s="11" t="str">
        <x:v>https://kvarter-living.sk/byt/A.4.2</x:v>
      </x:c>
      <x:c r="Z1274" s="11" t="n">
        <x:v>46249.4134212037</x:v>
      </x:c>
      <x:c r="AA1274" s="11" t="n">
        <x:v>46254.51251577547</x:v>
      </x:c>
      <x:c r="AB1274" s="11" t="n">
        <x:v>46254.51251577547</x:v>
      </x:c>
      <x:c r="AC1274" t="str">
        <x:v>kvarter</x:v>
      </x:c>
    </x:row>
    <x:row r="1275" ht="22" customHeight="1">
      <x:c r="A1275" t="str">
        <x:v>Kvarter</x:v>
      </x:c>
      <x:c r="B1275" t="str">
        <x:v>A.4.3</x:v>
      </x:c>
      <x:c r="C1275" t="str">
        <x:v>sold</x:v>
      </x:c>
      <x:c r="D1275" t="str">
        <x:v>present</x:v>
      </x:c>
      <x:c r="E1275" t="str">
        <x:v>baseline</x:v>
      </x:c>
      <x:c r="F1275" s="11" t="n">
        <x:v>46249.4134212037</x:v>
      </x:c>
      <x:c r="G1275" t="str"/>
      <x:c r="H1275" s="12" t="n">
        <x:v>2</x:v>
      </x:c>
      <x:c r="I1275" s="13" t="n">
        <x:v>4</x:v>
      </x:c>
      <x:c r="J1275" t="str">
        <x:v>A</x:v>
      </x:c>
      <x:c r="K1275" s="14"/>
      <x:c r="L1275" s="14"/>
      <x:c r="M1275" s="14"/>
      <x:c r="N1275" s="14"/>
      <x:c r="O1275" s="14"/>
      <x:c r="P1275" s="14"/>
      <x:c r="Q1275" s="14" t="n">
        <x:v>48</x:v>
      </x:c>
      <x:c r="R1275" s="15"/>
      <x:c r="S1275" s="15"/>
      <x:c r="T1275" s="15"/>
      <x:c r="U1275" s="16"/>
      <x:c r="V1275" t="str">
        <x:v>Immocap</x:v>
      </x:c>
      <x:c r="W1275" t="str">
        <x:v>Ružinov</x:v>
      </x:c>
      <x:c r="X1275" s="11" t="str">
        <x:v>Predaný P</x:v>
      </x:c>
      <x:c r="Y1275" s="11" t="str">
        <x:v>https://kvarter-living.sk/byt/A.4.3</x:v>
      </x:c>
      <x:c r="Z1275" s="11" t="n">
        <x:v>46249.4134212037</x:v>
      </x:c>
      <x:c r="AA1275" s="11" t="n">
        <x:v>46254.51251577547</x:v>
      </x:c>
      <x:c r="AB1275" s="11" t="n">
        <x:v>46254.51251577547</x:v>
      </x:c>
      <x:c r="AC1275" t="str">
        <x:v>kvarter</x:v>
      </x:c>
    </x:row>
    <x:row r="1276" ht="22" customHeight="1">
      <x:c r="A1276" t="str">
        <x:v>Kvarter</x:v>
      </x:c>
      <x:c r="B1276" t="str">
        <x:v>A.4.4</x:v>
      </x:c>
      <x:c r="C1276" t="str">
        <x:v>sold</x:v>
      </x:c>
      <x:c r="D1276" t="str">
        <x:v>present</x:v>
      </x:c>
      <x:c r="E1276" t="str">
        <x:v>baseline</x:v>
      </x:c>
      <x:c r="F1276" s="11" t="n">
        <x:v>46249.4134212037</x:v>
      </x:c>
      <x:c r="G1276" t="str"/>
      <x:c r="H1276" s="12" t="n">
        <x:v>2</x:v>
      </x:c>
      <x:c r="I1276" s="13" t="n">
        <x:v>4</x:v>
      </x:c>
      <x:c r="J1276" t="str">
        <x:v>A</x:v>
      </x:c>
      <x:c r="K1276" s="14"/>
      <x:c r="L1276" s="14"/>
      <x:c r="M1276" s="14"/>
      <x:c r="N1276" s="14"/>
      <x:c r="O1276" s="14"/>
      <x:c r="P1276" s="14"/>
      <x:c r="Q1276" s="14" t="n">
        <x:v>63</x:v>
      </x:c>
      <x:c r="R1276" s="15"/>
      <x:c r="S1276" s="15"/>
      <x:c r="T1276" s="15"/>
      <x:c r="U1276" s="16"/>
      <x:c r="V1276" t="str">
        <x:v>Immocap</x:v>
      </x:c>
      <x:c r="W1276" t="str">
        <x:v>Ružinov</x:v>
      </x:c>
      <x:c r="X1276" s="11" t="str">
        <x:v>Predaný P</x:v>
      </x:c>
      <x:c r="Y1276" s="11" t="str">
        <x:v>https://kvarter-living.sk/byt/A.4.4</x:v>
      </x:c>
      <x:c r="Z1276" s="11" t="n">
        <x:v>46249.4134212037</x:v>
      </x:c>
      <x:c r="AA1276" s="11" t="n">
        <x:v>46254.51251577547</x:v>
      </x:c>
      <x:c r="AB1276" s="11" t="n">
        <x:v>46254.51251577547</x:v>
      </x:c>
      <x:c r="AC1276" t="str">
        <x:v>kvarter</x:v>
      </x:c>
    </x:row>
    <x:row r="1277" ht="22" customHeight="1">
      <x:c r="A1277" t="str">
        <x:v>Kvarter</x:v>
      </x:c>
      <x:c r="B1277" t="str">
        <x:v>A.4.5</x:v>
      </x:c>
      <x:c r="C1277" t="str">
        <x:v>sold</x:v>
      </x:c>
      <x:c r="D1277" t="str">
        <x:v>present</x:v>
      </x:c>
      <x:c r="E1277" t="str">
        <x:v>baseline</x:v>
      </x:c>
      <x:c r="F1277" s="11" t="n">
        <x:v>46249.4134212037</x:v>
      </x:c>
      <x:c r="G1277" t="str"/>
      <x:c r="H1277" s="12" t="n">
        <x:v>3</x:v>
      </x:c>
      <x:c r="I1277" s="13" t="n">
        <x:v>4</x:v>
      </x:c>
      <x:c r="J1277" t="str">
        <x:v>A</x:v>
      </x:c>
      <x:c r="K1277" s="14"/>
      <x:c r="L1277" s="14"/>
      <x:c r="M1277" s="14"/>
      <x:c r="N1277" s="14"/>
      <x:c r="O1277" s="14"/>
      <x:c r="P1277" s="14"/>
      <x:c r="Q1277" s="14" t="n">
        <x:v>97</x:v>
      </x:c>
      <x:c r="R1277" s="15"/>
      <x:c r="S1277" s="15"/>
      <x:c r="T1277" s="15"/>
      <x:c r="U1277" s="16"/>
      <x:c r="V1277" t="str">
        <x:v>Immocap</x:v>
      </x:c>
      <x:c r="W1277" t="str">
        <x:v>Ružinov</x:v>
      </x:c>
      <x:c r="X1277" s="11" t="str">
        <x:v>Predaný P</x:v>
      </x:c>
      <x:c r="Y1277" s="11" t="str">
        <x:v>https://kvarter-living.sk/byt/A.4.5</x:v>
      </x:c>
      <x:c r="Z1277" s="11" t="n">
        <x:v>46249.4134212037</x:v>
      </x:c>
      <x:c r="AA1277" s="11" t="n">
        <x:v>46254.51251577547</x:v>
      </x:c>
      <x:c r="AB1277" s="11" t="n">
        <x:v>46254.51251577547</x:v>
      </x:c>
      <x:c r="AC1277" t="str">
        <x:v>kvarter</x:v>
      </x:c>
    </x:row>
    <x:row r="1278" ht="22" customHeight="1">
      <x:c r="A1278" t="str">
        <x:v>Kvarter</x:v>
      </x:c>
      <x:c r="B1278" t="str">
        <x:v>A.4.6</x:v>
      </x:c>
      <x:c r="C1278" t="str">
        <x:v>sold</x:v>
      </x:c>
      <x:c r="D1278" t="str">
        <x:v>present</x:v>
      </x:c>
      <x:c r="E1278" t="str">
        <x:v>baseline</x:v>
      </x:c>
      <x:c r="F1278" s="11" t="n">
        <x:v>46249.4134212037</x:v>
      </x:c>
      <x:c r="G1278" t="str"/>
      <x:c r="H1278" s="12" t="n">
        <x:v>4</x:v>
      </x:c>
      <x:c r="I1278" s="13" t="n">
        <x:v>4</x:v>
      </x:c>
      <x:c r="J1278" t="str">
        <x:v>A</x:v>
      </x:c>
      <x:c r="K1278" s="14"/>
      <x:c r="L1278" s="14"/>
      <x:c r="M1278" s="14"/>
      <x:c r="N1278" s="14"/>
      <x:c r="O1278" s="14"/>
      <x:c r="P1278" s="14"/>
      <x:c r="Q1278" s="14" t="n">
        <x:v>99</x:v>
      </x:c>
      <x:c r="R1278" s="15"/>
      <x:c r="S1278" s="15"/>
      <x:c r="T1278" s="15"/>
      <x:c r="U1278" s="16"/>
      <x:c r="V1278" t="str">
        <x:v>Immocap</x:v>
      </x:c>
      <x:c r="W1278" t="str">
        <x:v>Ružinov</x:v>
      </x:c>
      <x:c r="X1278" s="11" t="str">
        <x:v>Predaný P</x:v>
      </x:c>
      <x:c r="Y1278" s="11" t="str">
        <x:v>https://kvarter-living.sk/byt/A.4.6</x:v>
      </x:c>
      <x:c r="Z1278" s="11" t="n">
        <x:v>46249.4134212037</x:v>
      </x:c>
      <x:c r="AA1278" s="11" t="n">
        <x:v>46254.51251577547</x:v>
      </x:c>
      <x:c r="AB1278" s="11" t="n">
        <x:v>46254.51251577547</x:v>
      </x:c>
      <x:c r="AC1278" t="str">
        <x:v>kvarter</x:v>
      </x:c>
    </x:row>
    <x:row r="1279" ht="22" customHeight="1">
      <x:c r="A1279" t="str">
        <x:v>Kvarter</x:v>
      </x:c>
      <x:c r="B1279" t="str">
        <x:v>A.4.7</x:v>
      </x:c>
      <x:c r="C1279" t="str">
        <x:v>sold</x:v>
      </x:c>
      <x:c r="D1279" t="str">
        <x:v>present</x:v>
      </x:c>
      <x:c r="E1279" t="str">
        <x:v>baseline</x:v>
      </x:c>
      <x:c r="F1279" s="11" t="n">
        <x:v>46249.4134212037</x:v>
      </x:c>
      <x:c r="G1279" t="str"/>
      <x:c r="H1279" s="12" t="n">
        <x:v>1</x:v>
      </x:c>
      <x:c r="I1279" s="13" t="n">
        <x:v>4</x:v>
      </x:c>
      <x:c r="J1279" t="str">
        <x:v>A</x:v>
      </x:c>
      <x:c r="K1279" s="14"/>
      <x:c r="L1279" s="14"/>
      <x:c r="M1279" s="14"/>
      <x:c r="N1279" s="14"/>
      <x:c r="O1279" s="14"/>
      <x:c r="P1279" s="14"/>
      <x:c r="Q1279" s="14" t="n">
        <x:v>32</x:v>
      </x:c>
      <x:c r="R1279" s="15"/>
      <x:c r="S1279" s="15"/>
      <x:c r="T1279" s="15"/>
      <x:c r="U1279" s="16"/>
      <x:c r="V1279" t="str">
        <x:v>Immocap</x:v>
      </x:c>
      <x:c r="W1279" t="str">
        <x:v>Ružinov</x:v>
      </x:c>
      <x:c r="X1279" s="11" t="str">
        <x:v>Predaný P</x:v>
      </x:c>
      <x:c r="Y1279" s="11" t="str">
        <x:v>https://kvarter-living.sk/byt/A.4.7</x:v>
      </x:c>
      <x:c r="Z1279" s="11" t="n">
        <x:v>46249.4134212037</x:v>
      </x:c>
      <x:c r="AA1279" s="11" t="n">
        <x:v>46254.51251577547</x:v>
      </x:c>
      <x:c r="AB1279" s="11" t="n">
        <x:v>46254.51251577547</x:v>
      </x:c>
      <x:c r="AC1279" t="str">
        <x:v>kvarter</x:v>
      </x:c>
    </x:row>
    <x:row r="1280" ht="22" customHeight="1">
      <x:c r="A1280" t="str">
        <x:v>Kvarter</x:v>
      </x:c>
      <x:c r="B1280" t="str">
        <x:v>A.4.8</x:v>
      </x:c>
      <x:c r="C1280" t="str">
        <x:v>available</x:v>
      </x:c>
      <x:c r="D1280" t="str">
        <x:v>present</x:v>
      </x:c>
      <x:c r="E1280" t="str">
        <x:v>baseline</x:v>
      </x:c>
      <x:c r="F1280" s="11" t="n">
        <x:v>46249.4134212037</x:v>
      </x:c>
      <x:c r="G1280" t="str"/>
      <x:c r="H1280" s="12" t="n">
        <x:v>1</x:v>
      </x:c>
      <x:c r="I1280" s="13" t="n">
        <x:v>4</x:v>
      </x:c>
      <x:c r="J1280" t="str">
        <x:v>A</x:v>
      </x:c>
      <x:c r="K1280" s="14"/>
      <x:c r="L1280" s="14"/>
      <x:c r="M1280" s="14"/>
      <x:c r="N1280" s="14"/>
      <x:c r="O1280" s="14"/>
      <x:c r="P1280" s="14"/>
      <x:c r="Q1280" s="14" t="n">
        <x:v>37</x:v>
      </x:c>
      <x:c r="R1280" s="15" t="n">
        <x:v>234800</x:v>
      </x:c>
      <x:c r="S1280" s="15" t="n">
        <x:v>234800</x:v>
      </x:c>
      <x:c r="T1280" s="15"/>
      <x:c r="U1280" s="16"/>
      <x:c r="V1280" t="str">
        <x:v>Immocap</x:v>
      </x:c>
      <x:c r="W1280" t="str">
        <x:v>Ružinov</x:v>
      </x:c>
      <x:c r="X1280" s="11" t="str">
        <x:v>Voľný V</x:v>
      </x:c>
      <x:c r="Y1280" s="11" t="str">
        <x:v>https://kvarter-living.sk/byt/A.4.8</x:v>
      </x:c>
      <x:c r="Z1280" s="11" t="n">
        <x:v>46249.4134212037</x:v>
      </x:c>
      <x:c r="AA1280" s="11" t="n">
        <x:v>46254.51251577547</x:v>
      </x:c>
      <x:c r="AB1280" s="11" t="n">
        <x:v>46254.51251577547</x:v>
      </x:c>
      <x:c r="AC1280" t="str">
        <x:v>kvarter</x:v>
      </x:c>
    </x:row>
    <x:row r="1281" ht="22" customHeight="1">
      <x:c r="A1281" t="str">
        <x:v>Kvarter</x:v>
      </x:c>
      <x:c r="B1281" t="str">
        <x:v>B.0.1</x:v>
      </x:c>
      <x:c r="C1281" t="str">
        <x:v>available</x:v>
      </x:c>
      <x:c r="D1281" t="str">
        <x:v>present</x:v>
      </x:c>
      <x:c r="E1281" t="str">
        <x:v>baseline</x:v>
      </x:c>
      <x:c r="F1281" s="11" t="n">
        <x:v>46249.4134212037</x:v>
      </x:c>
      <x:c r="G1281" t="str"/>
      <x:c r="H1281" s="12" t="n">
        <x:v>3</x:v>
      </x:c>
      <x:c r="I1281" s="13" t="n">
        <x:v>0</x:v>
      </x:c>
      <x:c r="J1281" t="str">
        <x:v>B</x:v>
      </x:c>
      <x:c r="K1281" s="14"/>
      <x:c r="L1281" s="14"/>
      <x:c r="M1281" s="14"/>
      <x:c r="N1281" s="14"/>
      <x:c r="O1281" s="14"/>
      <x:c r="P1281" s="14"/>
      <x:c r="Q1281" s="14" t="n">
        <x:v>136</x:v>
      </x:c>
      <x:c r="R1281" s="15" t="n">
        <x:v>490400</x:v>
      </x:c>
      <x:c r="S1281" s="15" t="n">
        <x:v>490400</x:v>
      </x:c>
      <x:c r="T1281" s="15"/>
      <x:c r="U1281" s="16"/>
      <x:c r="V1281" t="str">
        <x:v>Immocap</x:v>
      </x:c>
      <x:c r="W1281" t="str">
        <x:v>Ružinov</x:v>
      </x:c>
      <x:c r="X1281" s="11" t="str">
        <x:v>Voľný V</x:v>
      </x:c>
      <x:c r="Y1281" s="11" t="str">
        <x:v>https://kvarter-living.sk/byt/B.0.1</x:v>
      </x:c>
      <x:c r="Z1281" s="11" t="n">
        <x:v>46249.4134212037</x:v>
      </x:c>
      <x:c r="AA1281" s="11" t="n">
        <x:v>46254.51251577547</x:v>
      </x:c>
      <x:c r="AB1281" s="11" t="n">
        <x:v>46254.51251577547</x:v>
      </x:c>
      <x:c r="AC1281" t="str">
        <x:v>kvarter</x:v>
      </x:c>
    </x:row>
    <x:row r="1282" ht="22" customHeight="1">
      <x:c r="A1282" t="str">
        <x:v>Kvarter</x:v>
      </x:c>
      <x:c r="B1282" t="str">
        <x:v>B.0.2</x:v>
      </x:c>
      <x:c r="C1282" t="str">
        <x:v>available</x:v>
      </x:c>
      <x:c r="D1282" t="str">
        <x:v>present</x:v>
      </x:c>
      <x:c r="E1282" t="str">
        <x:v>baseline</x:v>
      </x:c>
      <x:c r="F1282" s="11" t="n">
        <x:v>46249.4134212037</x:v>
      </x:c>
      <x:c r="G1282" t="str"/>
      <x:c r="H1282" s="12" t="n">
        <x:v>2</x:v>
      </x:c>
      <x:c r="I1282" s="13" t="n">
        <x:v>0</x:v>
      </x:c>
      <x:c r="J1282" t="str">
        <x:v>B</x:v>
      </x:c>
      <x:c r="K1282" s="14"/>
      <x:c r="L1282" s="14"/>
      <x:c r="M1282" s="14"/>
      <x:c r="N1282" s="14"/>
      <x:c r="O1282" s="14"/>
      <x:c r="P1282" s="14"/>
      <x:c r="Q1282" s="14" t="n">
        <x:v>62</x:v>
      </x:c>
      <x:c r="R1282" s="15" t="n">
        <x:v>279000</x:v>
      </x:c>
      <x:c r="S1282" s="15" t="n">
        <x:v>279000</x:v>
      </x:c>
      <x:c r="T1282" s="15"/>
      <x:c r="U1282" s="16"/>
      <x:c r="V1282" t="str">
        <x:v>Immocap</x:v>
      </x:c>
      <x:c r="W1282" t="str">
        <x:v>Ružinov</x:v>
      </x:c>
      <x:c r="X1282" s="11" t="str">
        <x:v>Voľný V</x:v>
      </x:c>
      <x:c r="Y1282" s="11" t="str">
        <x:v>https://kvarter-living.sk/byt/B.0.2</x:v>
      </x:c>
      <x:c r="Z1282" s="11" t="n">
        <x:v>46249.4134212037</x:v>
      </x:c>
      <x:c r="AA1282" s="11" t="n">
        <x:v>46254.51251577547</x:v>
      </x:c>
      <x:c r="AB1282" s="11" t="n">
        <x:v>46254.51251577547</x:v>
      </x:c>
      <x:c r="AC1282" t="str">
        <x:v>kvarter</x:v>
      </x:c>
    </x:row>
    <x:row r="1283" ht="22" customHeight="1">
      <x:c r="A1283" t="str">
        <x:v>Kvarter</x:v>
      </x:c>
      <x:c r="B1283" t="str">
        <x:v>B.0.3</x:v>
      </x:c>
      <x:c r="C1283" t="str">
        <x:v>available</x:v>
      </x:c>
      <x:c r="D1283" t="str">
        <x:v>present</x:v>
      </x:c>
      <x:c r="E1283" t="str">
        <x:v>baseline</x:v>
      </x:c>
      <x:c r="F1283" s="11" t="n">
        <x:v>46249.4134212037</x:v>
      </x:c>
      <x:c r="G1283" t="str"/>
      <x:c r="H1283" s="12" t="n">
        <x:v>2</x:v>
      </x:c>
      <x:c r="I1283" s="13" t="n">
        <x:v>0</x:v>
      </x:c>
      <x:c r="J1283" t="str">
        <x:v>B</x:v>
      </x:c>
      <x:c r="K1283" s="14"/>
      <x:c r="L1283" s="14"/>
      <x:c r="M1283" s="14"/>
      <x:c r="N1283" s="14"/>
      <x:c r="O1283" s="14"/>
      <x:c r="P1283" s="14"/>
      <x:c r="Q1283" s="14" t="n">
        <x:v>91</x:v>
      </x:c>
      <x:c r="R1283" s="15" t="n">
        <x:v>332500</x:v>
      </x:c>
      <x:c r="S1283" s="15" t="n">
        <x:v>332500</x:v>
      </x:c>
      <x:c r="T1283" s="15"/>
      <x:c r="U1283" s="16"/>
      <x:c r="V1283" t="str">
        <x:v>Immocap</x:v>
      </x:c>
      <x:c r="W1283" t="str">
        <x:v>Ružinov</x:v>
      </x:c>
      <x:c r="X1283" s="11" t="str">
        <x:v>Voľný V</x:v>
      </x:c>
      <x:c r="Y1283" s="11" t="str">
        <x:v>https://kvarter-living.sk/byt/B.0.3</x:v>
      </x:c>
      <x:c r="Z1283" s="11" t="n">
        <x:v>46249.4134212037</x:v>
      </x:c>
      <x:c r="AA1283" s="11" t="n">
        <x:v>46254.51251577547</x:v>
      </x:c>
      <x:c r="AB1283" s="11" t="n">
        <x:v>46254.51251577547</x:v>
      </x:c>
      <x:c r="AC1283" t="str">
        <x:v>kvarter</x:v>
      </x:c>
    </x:row>
    <x:row r="1284" ht="22" customHeight="1">
      <x:c r="A1284" t="str">
        <x:v>Kvarter</x:v>
      </x:c>
      <x:c r="B1284" t="str">
        <x:v>B.0.4</x:v>
      </x:c>
      <x:c r="C1284" t="str">
        <x:v>available</x:v>
      </x:c>
      <x:c r="D1284" t="str">
        <x:v>present</x:v>
      </x:c>
      <x:c r="E1284" t="str">
        <x:v>baseline</x:v>
      </x:c>
      <x:c r="F1284" s="11" t="n">
        <x:v>46249.4134212037</x:v>
      </x:c>
      <x:c r="G1284" t="str"/>
      <x:c r="H1284" s="12" t="n">
        <x:v>2</x:v>
      </x:c>
      <x:c r="I1284" s="13" t="n">
        <x:v>0</x:v>
      </x:c>
      <x:c r="J1284" t="str">
        <x:v>B</x:v>
      </x:c>
      <x:c r="K1284" s="14"/>
      <x:c r="L1284" s="14"/>
      <x:c r="M1284" s="14"/>
      <x:c r="N1284" s="14"/>
      <x:c r="O1284" s="14"/>
      <x:c r="P1284" s="14"/>
      <x:c r="Q1284" s="14" t="n">
        <x:v>101</x:v>
      </x:c>
      <x:c r="R1284" s="15" t="n">
        <x:v>339100</x:v>
      </x:c>
      <x:c r="S1284" s="15" t="n">
        <x:v>339100</x:v>
      </x:c>
      <x:c r="T1284" s="15"/>
      <x:c r="U1284" s="16"/>
      <x:c r="V1284" t="str">
        <x:v>Immocap</x:v>
      </x:c>
      <x:c r="W1284" t="str">
        <x:v>Ružinov</x:v>
      </x:c>
      <x:c r="X1284" s="11" t="str">
        <x:v>Voľný V</x:v>
      </x:c>
      <x:c r="Y1284" s="11" t="str">
        <x:v>https://kvarter-living.sk/byt/B.0.4</x:v>
      </x:c>
      <x:c r="Z1284" s="11" t="n">
        <x:v>46249.4134212037</x:v>
      </x:c>
      <x:c r="AA1284" s="11" t="n">
        <x:v>46254.51251577547</x:v>
      </x:c>
      <x:c r="AB1284" s="11" t="n">
        <x:v>46254.51251577547</x:v>
      </x:c>
      <x:c r="AC1284" t="str">
        <x:v>kvarter</x:v>
      </x:c>
    </x:row>
    <x:row r="1285" ht="22" customHeight="1">
      <x:c r="A1285" t="str">
        <x:v>Kvarter</x:v>
      </x:c>
      <x:c r="B1285" t="str">
        <x:v>B.0.5</x:v>
      </x:c>
      <x:c r="C1285" t="str">
        <x:v>sold</x:v>
      </x:c>
      <x:c r="D1285" t="str">
        <x:v>present</x:v>
      </x:c>
      <x:c r="E1285" t="str">
        <x:v>baseline</x:v>
      </x:c>
      <x:c r="F1285" s="11" t="n">
        <x:v>46249.4134212037</x:v>
      </x:c>
      <x:c r="G1285" t="str"/>
      <x:c r="H1285" s="12" t="n">
        <x:v>2</x:v>
      </x:c>
      <x:c r="I1285" s="13" t="n">
        <x:v>0</x:v>
      </x:c>
      <x:c r="J1285" t="str">
        <x:v>B</x:v>
      </x:c>
      <x:c r="K1285" s="14"/>
      <x:c r="L1285" s="14"/>
      <x:c r="M1285" s="14"/>
      <x:c r="N1285" s="14"/>
      <x:c r="O1285" s="14"/>
      <x:c r="P1285" s="14"/>
      <x:c r="Q1285" s="14" t="n">
        <x:v>71</x:v>
      </x:c>
      <x:c r="R1285" s="15"/>
      <x:c r="S1285" s="15"/>
      <x:c r="T1285" s="15"/>
      <x:c r="U1285" s="16"/>
      <x:c r="V1285" t="str">
        <x:v>Immocap</x:v>
      </x:c>
      <x:c r="W1285" t="str">
        <x:v>Ružinov</x:v>
      </x:c>
      <x:c r="X1285" s="11" t="str">
        <x:v>Predaný P</x:v>
      </x:c>
      <x:c r="Y1285" s="11" t="str">
        <x:v>https://kvarter-living.sk/byt/B.0.5</x:v>
      </x:c>
      <x:c r="Z1285" s="11" t="n">
        <x:v>46249.4134212037</x:v>
      </x:c>
      <x:c r="AA1285" s="11" t="n">
        <x:v>46254.51251577547</x:v>
      </x:c>
      <x:c r="AB1285" s="11" t="n">
        <x:v>46254.51251577547</x:v>
      </x:c>
      <x:c r="AC1285" t="str">
        <x:v>kvarter</x:v>
      </x:c>
    </x:row>
    <x:row r="1286" ht="22" customHeight="1">
      <x:c r="A1286" t="str">
        <x:v>Kvarter</x:v>
      </x:c>
      <x:c r="B1286" t="str">
        <x:v>B.0.6</x:v>
      </x:c>
      <x:c r="C1286" t="str">
        <x:v>available</x:v>
      </x:c>
      <x:c r="D1286" t="str">
        <x:v>present</x:v>
      </x:c>
      <x:c r="E1286" t="str">
        <x:v>baseline</x:v>
      </x:c>
      <x:c r="F1286" s="11" t="n">
        <x:v>46249.4134212037</x:v>
      </x:c>
      <x:c r="G1286" t="str"/>
      <x:c r="H1286" s="12" t="n">
        <x:v>3</x:v>
      </x:c>
      <x:c r="I1286" s="13" t="n">
        <x:v>0</x:v>
      </x:c>
      <x:c r="J1286" t="str">
        <x:v>B</x:v>
      </x:c>
      <x:c r="K1286" s="14"/>
      <x:c r="L1286" s="14"/>
      <x:c r="M1286" s="14"/>
      <x:c r="N1286" s="14"/>
      <x:c r="O1286" s="14"/>
      <x:c r="P1286" s="14"/>
      <x:c r="Q1286" s="14" t="n">
        <x:v>102</x:v>
      </x:c>
      <x:c r="R1286" s="15" t="n">
        <x:v>403100</x:v>
      </x:c>
      <x:c r="S1286" s="15" t="n">
        <x:v>403100</x:v>
      </x:c>
      <x:c r="T1286" s="15"/>
      <x:c r="U1286" s="16"/>
      <x:c r="V1286" t="str">
        <x:v>Immocap</x:v>
      </x:c>
      <x:c r="W1286" t="str">
        <x:v>Ružinov</x:v>
      </x:c>
      <x:c r="X1286" s="11" t="str">
        <x:v>Voľný V</x:v>
      </x:c>
      <x:c r="Y1286" s="11" t="str">
        <x:v>https://kvarter-living.sk/byt/B.0.6</x:v>
      </x:c>
      <x:c r="Z1286" s="11" t="n">
        <x:v>46249.4134212037</x:v>
      </x:c>
      <x:c r="AA1286" s="11" t="n">
        <x:v>46254.51251577547</x:v>
      </x:c>
      <x:c r="AB1286" s="11" t="n">
        <x:v>46254.51251577547</x:v>
      </x:c>
      <x:c r="AC1286" t="str">
        <x:v>kvarter</x:v>
      </x:c>
    </x:row>
    <x:row r="1287" ht="22" customHeight="1">
      <x:c r="A1287" t="str">
        <x:v>Kvarter</x:v>
      </x:c>
      <x:c r="B1287" t="str">
        <x:v>B.1.1</x:v>
      </x:c>
      <x:c r="C1287" t="str">
        <x:v>available</x:v>
      </x:c>
      <x:c r="D1287" t="str">
        <x:v>present</x:v>
      </x:c>
      <x:c r="E1287" t="str">
        <x:v>baseline</x:v>
      </x:c>
      <x:c r="F1287" s="11" t="n">
        <x:v>46249.4134212037</x:v>
      </x:c>
      <x:c r="G1287" t="str"/>
      <x:c r="H1287" s="12" t="n">
        <x:v>1</x:v>
      </x:c>
      <x:c r="I1287" s="13" t="n">
        <x:v>1</x:v>
      </x:c>
      <x:c r="J1287" t="str">
        <x:v>B</x:v>
      </x:c>
      <x:c r="K1287" s="14"/>
      <x:c r="L1287" s="14"/>
      <x:c r="M1287" s="14"/>
      <x:c r="N1287" s="14"/>
      <x:c r="O1287" s="14"/>
      <x:c r="P1287" s="14"/>
      <x:c r="Q1287" s="14" t="n">
        <x:v>36</x:v>
      </x:c>
      <x:c r="R1287" s="15" t="n">
        <x:v>230800</x:v>
      </x:c>
      <x:c r="S1287" s="15" t="n">
        <x:v>230800</x:v>
      </x:c>
      <x:c r="T1287" s="15"/>
      <x:c r="U1287" s="16"/>
      <x:c r="V1287" t="str">
        <x:v>Immocap</x:v>
      </x:c>
      <x:c r="W1287" t="str">
        <x:v>Ružinov</x:v>
      </x:c>
      <x:c r="X1287" s="11" t="str">
        <x:v>Voľný V</x:v>
      </x:c>
      <x:c r="Y1287" s="11" t="str">
        <x:v>https://kvarter-living.sk/byt/B.1.1</x:v>
      </x:c>
      <x:c r="Z1287" s="11" t="n">
        <x:v>46249.4134212037</x:v>
      </x:c>
      <x:c r="AA1287" s="11" t="n">
        <x:v>46254.51251577547</x:v>
      </x:c>
      <x:c r="AB1287" s="11" t="n">
        <x:v>46254.51251577547</x:v>
      </x:c>
      <x:c r="AC1287" t="str">
        <x:v>kvarter</x:v>
      </x:c>
    </x:row>
    <x:row r="1288" ht="22" customHeight="1">
      <x:c r="A1288" t="str">
        <x:v>Kvarter</x:v>
      </x:c>
      <x:c r="B1288" t="str">
        <x:v>B.1.2</x:v>
      </x:c>
      <x:c r="C1288" t="str">
        <x:v>sold</x:v>
      </x:c>
      <x:c r="D1288" t="str">
        <x:v>present</x:v>
      </x:c>
      <x:c r="E1288" t="str">
        <x:v>baseline</x:v>
      </x:c>
      <x:c r="F1288" s="11" t="n">
        <x:v>46249.4134212037</x:v>
      </x:c>
      <x:c r="G1288" t="str"/>
      <x:c r="H1288" s="12" t="n">
        <x:v>1</x:v>
      </x:c>
      <x:c r="I1288" s="13" t="n">
        <x:v>1</x:v>
      </x:c>
      <x:c r="J1288" t="str">
        <x:v>B</x:v>
      </x:c>
      <x:c r="K1288" s="14"/>
      <x:c r="L1288" s="14"/>
      <x:c r="M1288" s="14"/>
      <x:c r="N1288" s="14"/>
      <x:c r="O1288" s="14"/>
      <x:c r="P1288" s="14"/>
      <x:c r="Q1288" s="14" t="n">
        <x:v>32</x:v>
      </x:c>
      <x:c r="R1288" s="15"/>
      <x:c r="S1288" s="15"/>
      <x:c r="T1288" s="15"/>
      <x:c r="U1288" s="16"/>
      <x:c r="V1288" t="str">
        <x:v>Immocap</x:v>
      </x:c>
      <x:c r="W1288" t="str">
        <x:v>Ružinov</x:v>
      </x:c>
      <x:c r="X1288" s="11" t="str">
        <x:v>Predaný P</x:v>
      </x:c>
      <x:c r="Y1288" s="11" t="str">
        <x:v>https://kvarter-living.sk/byt/B.1.2</x:v>
      </x:c>
      <x:c r="Z1288" s="11" t="n">
        <x:v>46249.4134212037</x:v>
      </x:c>
      <x:c r="AA1288" s="11" t="n">
        <x:v>46254.51251577547</x:v>
      </x:c>
      <x:c r="AB1288" s="11" t="n">
        <x:v>46254.51251577547</x:v>
      </x:c>
      <x:c r="AC1288" t="str">
        <x:v>kvarter</x:v>
      </x:c>
    </x:row>
    <x:row r="1289" ht="22" customHeight="1">
      <x:c r="A1289" t="str">
        <x:v>Kvarter</x:v>
      </x:c>
      <x:c r="B1289" t="str">
        <x:v>B.1.3</x:v>
      </x:c>
      <x:c r="C1289" t="str">
        <x:v>available</x:v>
      </x:c>
      <x:c r="D1289" t="str">
        <x:v>present</x:v>
      </x:c>
      <x:c r="E1289" t="str">
        <x:v>baseline</x:v>
      </x:c>
      <x:c r="F1289" s="11" t="n">
        <x:v>46249.4134212037</x:v>
      </x:c>
      <x:c r="G1289" t="str"/>
      <x:c r="H1289" s="12" t="n">
        <x:v>3</x:v>
      </x:c>
      <x:c r="I1289" s="13" t="n">
        <x:v>1</x:v>
      </x:c>
      <x:c r="J1289" t="str">
        <x:v>B</x:v>
      </x:c>
      <x:c r="K1289" s="14"/>
      <x:c r="L1289" s="14"/>
      <x:c r="M1289" s="14"/>
      <x:c r="N1289" s="14"/>
      <x:c r="O1289" s="14"/>
      <x:c r="P1289" s="14"/>
      <x:c r="Q1289" s="14" t="n">
        <x:v>85</x:v>
      </x:c>
      <x:c r="R1289" s="15" t="n">
        <x:v>437200</x:v>
      </x:c>
      <x:c r="S1289" s="15" t="n">
        <x:v>437200</x:v>
      </x:c>
      <x:c r="T1289" s="15"/>
      <x:c r="U1289" s="16"/>
      <x:c r="V1289" t="str">
        <x:v>Immocap</x:v>
      </x:c>
      <x:c r="W1289" t="str">
        <x:v>Ružinov</x:v>
      </x:c>
      <x:c r="X1289" s="11" t="str">
        <x:v>Voľný V</x:v>
      </x:c>
      <x:c r="Y1289" s="11" t="str">
        <x:v>https://kvarter-living.sk/byt/B.1.3</x:v>
      </x:c>
      <x:c r="Z1289" s="11" t="n">
        <x:v>46249.4134212037</x:v>
      </x:c>
      <x:c r="AA1289" s="11" t="n">
        <x:v>46254.51251577547</x:v>
      </x:c>
      <x:c r="AB1289" s="11" t="n">
        <x:v>46254.51251577547</x:v>
      </x:c>
      <x:c r="AC1289" t="str">
        <x:v>kvarter</x:v>
      </x:c>
    </x:row>
    <x:row r="1290" ht="22" customHeight="1">
      <x:c r="A1290" t="str">
        <x:v>Kvarter</x:v>
      </x:c>
      <x:c r="B1290" t="str">
        <x:v>B.1.4</x:v>
      </x:c>
      <x:c r="C1290" t="str">
        <x:v>sold</x:v>
      </x:c>
      <x:c r="D1290" t="str">
        <x:v>present</x:v>
      </x:c>
      <x:c r="E1290" t="str">
        <x:v>baseline</x:v>
      </x:c>
      <x:c r="F1290" s="11" t="n">
        <x:v>46249.4134212037</x:v>
      </x:c>
      <x:c r="G1290" t="str"/>
      <x:c r="H1290" s="12" t="n">
        <x:v>2</x:v>
      </x:c>
      <x:c r="I1290" s="13" t="n">
        <x:v>1</x:v>
      </x:c>
      <x:c r="J1290" t="str">
        <x:v>B</x:v>
      </x:c>
      <x:c r="K1290" s="14"/>
      <x:c r="L1290" s="14"/>
      <x:c r="M1290" s="14"/>
      <x:c r="N1290" s="14"/>
      <x:c r="O1290" s="14"/>
      <x:c r="P1290" s="14"/>
      <x:c r="Q1290" s="14" t="n">
        <x:v>48</x:v>
      </x:c>
      <x:c r="R1290" s="15"/>
      <x:c r="S1290" s="15"/>
      <x:c r="T1290" s="15"/>
      <x:c r="U1290" s="16"/>
      <x:c r="V1290" t="str">
        <x:v>Immocap</x:v>
      </x:c>
      <x:c r="W1290" t="str">
        <x:v>Ružinov</x:v>
      </x:c>
      <x:c r="X1290" s="11" t="str">
        <x:v>Predaný P</x:v>
      </x:c>
      <x:c r="Y1290" s="11" t="str">
        <x:v>https://kvarter-living.sk/byt/B.1.4</x:v>
      </x:c>
      <x:c r="Z1290" s="11" t="n">
        <x:v>46249.4134212037</x:v>
      </x:c>
      <x:c r="AA1290" s="11" t="n">
        <x:v>46254.51251577547</x:v>
      </x:c>
      <x:c r="AB1290" s="11" t="n">
        <x:v>46254.51251577547</x:v>
      </x:c>
      <x:c r="AC1290" t="str">
        <x:v>kvarter</x:v>
      </x:c>
    </x:row>
    <x:row r="1291" ht="22" customHeight="1">
      <x:c r="A1291" t="str">
        <x:v>Kvarter</x:v>
      </x:c>
      <x:c r="B1291" t="str">
        <x:v>B.1.5</x:v>
      </x:c>
      <x:c r="C1291" t="str">
        <x:v>available</x:v>
      </x:c>
      <x:c r="D1291" t="str">
        <x:v>present</x:v>
      </x:c>
      <x:c r="E1291" t="str">
        <x:v>baseline</x:v>
      </x:c>
      <x:c r="F1291" s="11" t="n">
        <x:v>46249.4134212037</x:v>
      </x:c>
      <x:c r="G1291" t="str"/>
      <x:c r="H1291" s="12" t="n">
        <x:v>2</x:v>
      </x:c>
      <x:c r="I1291" s="13" t="n">
        <x:v>1</x:v>
      </x:c>
      <x:c r="J1291" t="str">
        <x:v>B</x:v>
      </x:c>
      <x:c r="K1291" s="14"/>
      <x:c r="L1291" s="14"/>
      <x:c r="M1291" s="14"/>
      <x:c r="N1291" s="14"/>
      <x:c r="O1291" s="14"/>
      <x:c r="P1291" s="14"/>
      <x:c r="Q1291" s="14" t="n">
        <x:v>63</x:v>
      </x:c>
      <x:c r="R1291" s="15" t="n">
        <x:v>317900</x:v>
      </x:c>
      <x:c r="S1291" s="15" t="n">
        <x:v>317900</x:v>
      </x:c>
      <x:c r="T1291" s="15"/>
      <x:c r="U1291" s="16"/>
      <x:c r="V1291" t="str">
        <x:v>Immocap</x:v>
      </x:c>
      <x:c r="W1291" t="str">
        <x:v>Ružinov</x:v>
      </x:c>
      <x:c r="X1291" s="11" t="str">
        <x:v>Voľný V</x:v>
      </x:c>
      <x:c r="Y1291" s="11" t="str">
        <x:v>https://kvarter-living.sk/byt/B.1.5</x:v>
      </x:c>
      <x:c r="Z1291" s="11" t="n">
        <x:v>46249.4134212037</x:v>
      </x:c>
      <x:c r="AA1291" s="11" t="n">
        <x:v>46254.51251577547</x:v>
      </x:c>
      <x:c r="AB1291" s="11" t="n">
        <x:v>46254.51251577547</x:v>
      </x:c>
      <x:c r="AC1291" t="str">
        <x:v>kvarter</x:v>
      </x:c>
    </x:row>
    <x:row r="1292" ht="22" customHeight="1">
      <x:c r="A1292" t="str">
        <x:v>Kvarter</x:v>
      </x:c>
      <x:c r="B1292" t="str">
        <x:v>B.1.6</x:v>
      </x:c>
      <x:c r="C1292" t="str">
        <x:v>available</x:v>
      </x:c>
      <x:c r="D1292" t="str">
        <x:v>present</x:v>
      </x:c>
      <x:c r="E1292" t="str">
        <x:v>baseline</x:v>
      </x:c>
      <x:c r="F1292" s="11" t="n">
        <x:v>46249.4134212037</x:v>
      </x:c>
      <x:c r="G1292" t="str"/>
      <x:c r="H1292" s="12" t="n">
        <x:v>2</x:v>
      </x:c>
      <x:c r="I1292" s="13" t="n">
        <x:v>1</x:v>
      </x:c>
      <x:c r="J1292" t="str">
        <x:v>B</x:v>
      </x:c>
      <x:c r="K1292" s="14"/>
      <x:c r="L1292" s="14"/>
      <x:c r="M1292" s="14"/>
      <x:c r="N1292" s="14"/>
      <x:c r="O1292" s="14"/>
      <x:c r="P1292" s="14"/>
      <x:c r="Q1292" s="14" t="n">
        <x:v>63</x:v>
      </x:c>
      <x:c r="R1292" s="15" t="n">
        <x:v>317900</x:v>
      </x:c>
      <x:c r="S1292" s="15" t="n">
        <x:v>317900</x:v>
      </x:c>
      <x:c r="T1292" s="15"/>
      <x:c r="U1292" s="16"/>
      <x:c r="V1292" t="str">
        <x:v>Immocap</x:v>
      </x:c>
      <x:c r="W1292" t="str">
        <x:v>Ružinov</x:v>
      </x:c>
      <x:c r="X1292" s="11" t="str">
        <x:v>Voľný V</x:v>
      </x:c>
      <x:c r="Y1292" s="11" t="str">
        <x:v>https://kvarter-living.sk/byt/B.1.6</x:v>
      </x:c>
      <x:c r="Z1292" s="11" t="n">
        <x:v>46249.4134212037</x:v>
      </x:c>
      <x:c r="AA1292" s="11" t="n">
        <x:v>46254.51251577547</x:v>
      </x:c>
      <x:c r="AB1292" s="11" t="n">
        <x:v>46254.51251577547</x:v>
      </x:c>
      <x:c r="AC1292" t="str">
        <x:v>kvarter</x:v>
      </x:c>
    </x:row>
    <x:row r="1293" ht="22" customHeight="1">
      <x:c r="A1293" t="str">
        <x:v>Kvarter</x:v>
      </x:c>
      <x:c r="B1293" t="str">
        <x:v>B.1.7</x:v>
      </x:c>
      <x:c r="C1293" t="str">
        <x:v>sold</x:v>
      </x:c>
      <x:c r="D1293" t="str">
        <x:v>present</x:v>
      </x:c>
      <x:c r="E1293" t="str">
        <x:v>baseline</x:v>
      </x:c>
      <x:c r="F1293" s="11" t="n">
        <x:v>46249.4134212037</x:v>
      </x:c>
      <x:c r="G1293" t="str"/>
      <x:c r="H1293" s="12" t="n">
        <x:v>2</x:v>
      </x:c>
      <x:c r="I1293" s="13" t="n">
        <x:v>1</x:v>
      </x:c>
      <x:c r="J1293" t="str">
        <x:v>B</x:v>
      </x:c>
      <x:c r="K1293" s="14"/>
      <x:c r="L1293" s="14"/>
      <x:c r="M1293" s="14"/>
      <x:c r="N1293" s="14"/>
      <x:c r="O1293" s="14"/>
      <x:c r="P1293" s="14"/>
      <x:c r="Q1293" s="14" t="n">
        <x:v>48</x:v>
      </x:c>
      <x:c r="R1293" s="15"/>
      <x:c r="S1293" s="15"/>
      <x:c r="T1293" s="15"/>
      <x:c r="U1293" s="16"/>
      <x:c r="V1293" t="str">
        <x:v>Immocap</x:v>
      </x:c>
      <x:c r="W1293" t="str">
        <x:v>Ružinov</x:v>
      </x:c>
      <x:c r="X1293" s="11" t="str">
        <x:v>Predaný P</x:v>
      </x:c>
      <x:c r="Y1293" s="11" t="str">
        <x:v>https://kvarter-living.sk/byt/B.1.7</x:v>
      </x:c>
      <x:c r="Z1293" s="11" t="n">
        <x:v>46249.4134212037</x:v>
      </x:c>
      <x:c r="AA1293" s="11" t="n">
        <x:v>46254.51251577547</x:v>
      </x:c>
      <x:c r="AB1293" s="11" t="n">
        <x:v>46254.51251577547</x:v>
      </x:c>
      <x:c r="AC1293" t="str">
        <x:v>kvarter</x:v>
      </x:c>
    </x:row>
    <x:row r="1294" ht="22" customHeight="1">
      <x:c r="A1294" t="str">
        <x:v>Kvarter</x:v>
      </x:c>
      <x:c r="B1294" t="str">
        <x:v>B.1.8</x:v>
      </x:c>
      <x:c r="C1294" t="str">
        <x:v>available</x:v>
      </x:c>
      <x:c r="D1294" t="str">
        <x:v>present</x:v>
      </x:c>
      <x:c r="E1294" t="str">
        <x:v>baseline</x:v>
      </x:c>
      <x:c r="F1294" s="11" t="n">
        <x:v>46249.4134212037</x:v>
      </x:c>
      <x:c r="G1294" t="str"/>
      <x:c r="H1294" s="12" t="n">
        <x:v>3</x:v>
      </x:c>
      <x:c r="I1294" s="13" t="n">
        <x:v>1</x:v>
      </x:c>
      <x:c r="J1294" t="str">
        <x:v>B</x:v>
      </x:c>
      <x:c r="K1294" s="14"/>
      <x:c r="L1294" s="14"/>
      <x:c r="M1294" s="14"/>
      <x:c r="N1294" s="14"/>
      <x:c r="O1294" s="14"/>
      <x:c r="P1294" s="14"/>
      <x:c r="Q1294" s="14" t="n">
        <x:v>85</x:v>
      </x:c>
      <x:c r="R1294" s="15" t="n">
        <x:v>437200</x:v>
      </x:c>
      <x:c r="S1294" s="15" t="n">
        <x:v>437200</x:v>
      </x:c>
      <x:c r="T1294" s="15"/>
      <x:c r="U1294" s="16"/>
      <x:c r="V1294" t="str">
        <x:v>Immocap</x:v>
      </x:c>
      <x:c r="W1294" t="str">
        <x:v>Ružinov</x:v>
      </x:c>
      <x:c r="X1294" s="11" t="str">
        <x:v>Voľný V</x:v>
      </x:c>
      <x:c r="Y1294" s="11" t="str">
        <x:v>https://kvarter-living.sk/byt/B.1.8</x:v>
      </x:c>
      <x:c r="Z1294" s="11" t="n">
        <x:v>46249.4134212037</x:v>
      </x:c>
      <x:c r="AA1294" s="11" t="n">
        <x:v>46254.51251577547</x:v>
      </x:c>
      <x:c r="AB1294" s="11" t="n">
        <x:v>46254.51251577547</x:v>
      </x:c>
      <x:c r="AC1294" t="str">
        <x:v>kvarter</x:v>
      </x:c>
    </x:row>
    <x:row r="1295" ht="22" customHeight="1">
      <x:c r="A1295" t="str">
        <x:v>Kvarter</x:v>
      </x:c>
      <x:c r="B1295" t="str">
        <x:v>B.1.9</x:v>
      </x:c>
      <x:c r="C1295" t="str">
        <x:v>sold</x:v>
      </x:c>
      <x:c r="D1295" t="str">
        <x:v>present</x:v>
      </x:c>
      <x:c r="E1295" t="str">
        <x:v>baseline</x:v>
      </x:c>
      <x:c r="F1295" s="11" t="n">
        <x:v>46249.4134212037</x:v>
      </x:c>
      <x:c r="G1295" t="str"/>
      <x:c r="H1295" s="12" t="n">
        <x:v>1</x:v>
      </x:c>
      <x:c r="I1295" s="13" t="n">
        <x:v>1</x:v>
      </x:c>
      <x:c r="J1295" t="str">
        <x:v>B</x:v>
      </x:c>
      <x:c r="K1295" s="14"/>
      <x:c r="L1295" s="14"/>
      <x:c r="M1295" s="14"/>
      <x:c r="N1295" s="14"/>
      <x:c r="O1295" s="14"/>
      <x:c r="P1295" s="14"/>
      <x:c r="Q1295" s="14" t="n">
        <x:v>32</x:v>
      </x:c>
      <x:c r="R1295" s="15"/>
      <x:c r="S1295" s="15"/>
      <x:c r="T1295" s="15"/>
      <x:c r="U1295" s="16"/>
      <x:c r="V1295" t="str">
        <x:v>Immocap</x:v>
      </x:c>
      <x:c r="W1295" t="str">
        <x:v>Ružinov</x:v>
      </x:c>
      <x:c r="X1295" s="11" t="str">
        <x:v>Predaný P</x:v>
      </x:c>
      <x:c r="Y1295" s="11" t="str">
        <x:v>https://kvarter-living.sk/byt/B.1.9</x:v>
      </x:c>
      <x:c r="Z1295" s="11" t="n">
        <x:v>46249.4134212037</x:v>
      </x:c>
      <x:c r="AA1295" s="11" t="n">
        <x:v>46254.51251577547</x:v>
      </x:c>
      <x:c r="AB1295" s="11" t="n">
        <x:v>46254.51251577547</x:v>
      </x:c>
      <x:c r="AC1295" t="str">
        <x:v>kvarter</x:v>
      </x:c>
    </x:row>
    <x:row r="1296" ht="22" customHeight="1">
      <x:c r="A1296" t="str">
        <x:v>Kvarter</x:v>
      </x:c>
      <x:c r="B1296" t="str">
        <x:v>B.1.10</x:v>
      </x:c>
      <x:c r="C1296" t="str">
        <x:v>sold</x:v>
      </x:c>
      <x:c r="D1296" t="str">
        <x:v>present</x:v>
      </x:c>
      <x:c r="E1296" t="str">
        <x:v>baseline</x:v>
      </x:c>
      <x:c r="F1296" s="11" t="n">
        <x:v>46249.4134212037</x:v>
      </x:c>
      <x:c r="G1296" t="str"/>
      <x:c r="H1296" s="12" t="n">
        <x:v>1</x:v>
      </x:c>
      <x:c r="I1296" s="13" t="n">
        <x:v>1</x:v>
      </x:c>
      <x:c r="J1296" t="str">
        <x:v>B</x:v>
      </x:c>
      <x:c r="K1296" s="14"/>
      <x:c r="L1296" s="14"/>
      <x:c r="M1296" s="14"/>
      <x:c r="N1296" s="14"/>
      <x:c r="O1296" s="14"/>
      <x:c r="P1296" s="14"/>
      <x:c r="Q1296" s="14" t="n">
        <x:v>37</x:v>
      </x:c>
      <x:c r="R1296" s="15"/>
      <x:c r="S1296" s="15"/>
      <x:c r="T1296" s="15"/>
      <x:c r="U1296" s="16"/>
      <x:c r="V1296" t="str">
        <x:v>Immocap</x:v>
      </x:c>
      <x:c r="W1296" t="str">
        <x:v>Ružinov</x:v>
      </x:c>
      <x:c r="X1296" s="11" t="str">
        <x:v>Predaný P</x:v>
      </x:c>
      <x:c r="Y1296" s="11" t="str">
        <x:v>https://kvarter-living.sk/byt/B.1.10</x:v>
      </x:c>
      <x:c r="Z1296" s="11" t="n">
        <x:v>46249.4134212037</x:v>
      </x:c>
      <x:c r="AA1296" s="11" t="n">
        <x:v>46254.51251577547</x:v>
      </x:c>
      <x:c r="AB1296" s="11" t="n">
        <x:v>46254.51251577547</x:v>
      </x:c>
      <x:c r="AC1296" t="str">
        <x:v>kvarter</x:v>
      </x:c>
    </x:row>
    <x:row r="1297" ht="22" customHeight="1">
      <x:c r="A1297" t="str">
        <x:v>Kvarter</x:v>
      </x:c>
      <x:c r="B1297" t="str">
        <x:v>B.2.1</x:v>
      </x:c>
      <x:c r="C1297" t="str">
        <x:v>pre_reserved</x:v>
      </x:c>
      <x:c r="D1297" t="str">
        <x:v>present</x:v>
      </x:c>
      <x:c r="E1297" t="str">
        <x:v>baseline</x:v>
      </x:c>
      <x:c r="F1297" s="11" t="n">
        <x:v>46249.4134212037</x:v>
      </x:c>
      <x:c r="G1297" t="str"/>
      <x:c r="H1297" s="12" t="n">
        <x:v>1</x:v>
      </x:c>
      <x:c r="I1297" s="13" t="n">
        <x:v>2</x:v>
      </x:c>
      <x:c r="J1297" t="str">
        <x:v>B</x:v>
      </x:c>
      <x:c r="K1297" s="14"/>
      <x:c r="L1297" s="14"/>
      <x:c r="M1297" s="14"/>
      <x:c r="N1297" s="14"/>
      <x:c r="O1297" s="14"/>
      <x:c r="P1297" s="14"/>
      <x:c r="Q1297" s="14" t="n">
        <x:v>31</x:v>
      </x:c>
      <x:c r="R1297" s="15" t="n">
        <x:v>192000</x:v>
      </x:c>
      <x:c r="S1297" s="15" t="n">
        <x:v>192000</x:v>
      </x:c>
      <x:c r="T1297" s="15"/>
      <x:c r="U1297" s="16"/>
      <x:c r="V1297" t="str">
        <x:v>Immocap</x:v>
      </x:c>
      <x:c r="W1297" t="str">
        <x:v>Ružinov</x:v>
      </x:c>
      <x:c r="X1297" s="11" t="str">
        <x:v>Predrezervovaný PR</x:v>
      </x:c>
      <x:c r="Y1297" s="11" t="str">
        <x:v>https://kvarter-living.sk/byt/B.2.1</x:v>
      </x:c>
      <x:c r="Z1297" s="11" t="n">
        <x:v>46249.4134212037</x:v>
      </x:c>
      <x:c r="AA1297" s="11" t="n">
        <x:v>46254.51251577547</x:v>
      </x:c>
      <x:c r="AB1297" s="11" t="n">
        <x:v>46254.51251577547</x:v>
      </x:c>
      <x:c r="AC1297" t="str">
        <x:v>kvarter</x:v>
      </x:c>
    </x:row>
    <x:row r="1298" ht="22" customHeight="1">
      <x:c r="A1298" t="str">
        <x:v>Kvarter</x:v>
      </x:c>
      <x:c r="B1298" t="str">
        <x:v>B.2.2</x:v>
      </x:c>
      <x:c r="C1298" t="str">
        <x:v>sold</x:v>
      </x:c>
      <x:c r="D1298" t="str">
        <x:v>present</x:v>
      </x:c>
      <x:c r="E1298" t="str">
        <x:v>baseline</x:v>
      </x:c>
      <x:c r="F1298" s="11" t="n">
        <x:v>46249.4134212037</x:v>
      </x:c>
      <x:c r="G1298" t="str"/>
      <x:c r="H1298" s="12" t="n">
        <x:v>3</x:v>
      </x:c>
      <x:c r="I1298" s="13" t="n">
        <x:v>2</x:v>
      </x:c>
      <x:c r="J1298" t="str">
        <x:v>B</x:v>
      </x:c>
      <x:c r="K1298" s="14"/>
      <x:c r="L1298" s="14"/>
      <x:c r="M1298" s="14"/>
      <x:c r="N1298" s="14"/>
      <x:c r="O1298" s="14"/>
      <x:c r="P1298" s="14"/>
      <x:c r="Q1298" s="14" t="n">
        <x:v>85</x:v>
      </x:c>
      <x:c r="R1298" s="15"/>
      <x:c r="S1298" s="15"/>
      <x:c r="T1298" s="15"/>
      <x:c r="U1298" s="16"/>
      <x:c r="V1298" t="str">
        <x:v>Immocap</x:v>
      </x:c>
      <x:c r="W1298" t="str">
        <x:v>Ružinov</x:v>
      </x:c>
      <x:c r="X1298" s="11" t="str">
        <x:v>Predaný P</x:v>
      </x:c>
      <x:c r="Y1298" s="11" t="str">
        <x:v>https://kvarter-living.sk/byt/B.2.2</x:v>
      </x:c>
      <x:c r="Z1298" s="11" t="n">
        <x:v>46249.4134212037</x:v>
      </x:c>
      <x:c r="AA1298" s="11" t="n">
        <x:v>46254.51251577547</x:v>
      </x:c>
      <x:c r="AB1298" s="11" t="n">
        <x:v>46254.51251577547</x:v>
      </x:c>
      <x:c r="AC1298" t="str">
        <x:v>kvarter</x:v>
      </x:c>
    </x:row>
    <x:row r="1299" ht="22" customHeight="1">
      <x:c r="A1299" t="str">
        <x:v>Kvarter</x:v>
      </x:c>
      <x:c r="B1299" t="str">
        <x:v>B.2.3</x:v>
      </x:c>
      <x:c r="C1299" t="str">
        <x:v>sold</x:v>
      </x:c>
      <x:c r="D1299" t="str">
        <x:v>present</x:v>
      </x:c>
      <x:c r="E1299" t="str">
        <x:v>baseline</x:v>
      </x:c>
      <x:c r="F1299" s="11" t="n">
        <x:v>46249.4134212037</x:v>
      </x:c>
      <x:c r="G1299" t="str"/>
      <x:c r="H1299" s="12" t="n">
        <x:v>2</x:v>
      </x:c>
      <x:c r="I1299" s="13" t="n">
        <x:v>2</x:v>
      </x:c>
      <x:c r="J1299" t="str">
        <x:v>B</x:v>
      </x:c>
      <x:c r="K1299" s="14"/>
      <x:c r="L1299" s="14"/>
      <x:c r="M1299" s="14"/>
      <x:c r="N1299" s="14"/>
      <x:c r="O1299" s="14"/>
      <x:c r="P1299" s="14"/>
      <x:c r="Q1299" s="14" t="n">
        <x:v>48</x:v>
      </x:c>
      <x:c r="R1299" s="15"/>
      <x:c r="S1299" s="15"/>
      <x:c r="T1299" s="15"/>
      <x:c r="U1299" s="16"/>
      <x:c r="V1299" t="str">
        <x:v>Immocap</x:v>
      </x:c>
      <x:c r="W1299" t="str">
        <x:v>Ružinov</x:v>
      </x:c>
      <x:c r="X1299" s="11" t="str">
        <x:v>Predaný P</x:v>
      </x:c>
      <x:c r="Y1299" s="11" t="str">
        <x:v>https://kvarter-living.sk/byt/B.2.3</x:v>
      </x:c>
      <x:c r="Z1299" s="11" t="n">
        <x:v>46249.4134212037</x:v>
      </x:c>
      <x:c r="AA1299" s="11" t="n">
        <x:v>46254.51251577547</x:v>
      </x:c>
      <x:c r="AB1299" s="11" t="n">
        <x:v>46254.51251577547</x:v>
      </x:c>
      <x:c r="AC1299" t="str">
        <x:v>kvarter</x:v>
      </x:c>
    </x:row>
    <x:row r="1300" ht="22" customHeight="1">
      <x:c r="A1300" t="str">
        <x:v>Kvarter</x:v>
      </x:c>
      <x:c r="B1300" t="str">
        <x:v>B.2.4</x:v>
      </x:c>
      <x:c r="C1300" t="str">
        <x:v>available</x:v>
      </x:c>
      <x:c r="D1300" t="str">
        <x:v>present</x:v>
      </x:c>
      <x:c r="E1300" t="str">
        <x:v>baseline</x:v>
      </x:c>
      <x:c r="F1300" s="11" t="n">
        <x:v>46249.4134212037</x:v>
      </x:c>
      <x:c r="G1300" t="str"/>
      <x:c r="H1300" s="12" t="n">
        <x:v>2</x:v>
      </x:c>
      <x:c r="I1300" s="13" t="n">
        <x:v>2</x:v>
      </x:c>
      <x:c r="J1300" t="str">
        <x:v>B</x:v>
      </x:c>
      <x:c r="K1300" s="14"/>
      <x:c r="L1300" s="14"/>
      <x:c r="M1300" s="14"/>
      <x:c r="N1300" s="14"/>
      <x:c r="O1300" s="14"/>
      <x:c r="P1300" s="14"/>
      <x:c r="Q1300" s="14" t="n">
        <x:v>63</x:v>
      </x:c>
      <x:c r="R1300" s="15" t="n">
        <x:v>322000</x:v>
      </x:c>
      <x:c r="S1300" s="15" t="n">
        <x:v>322000</x:v>
      </x:c>
      <x:c r="T1300" s="15"/>
      <x:c r="U1300" s="16"/>
      <x:c r="V1300" t="str">
        <x:v>Immocap</x:v>
      </x:c>
      <x:c r="W1300" t="str">
        <x:v>Ružinov</x:v>
      </x:c>
      <x:c r="X1300" s="11" t="str">
        <x:v>Voľný V</x:v>
      </x:c>
      <x:c r="Y1300" s="11" t="str">
        <x:v>https://kvarter-living.sk/byt/B.2.4</x:v>
      </x:c>
      <x:c r="Z1300" s="11" t="n">
        <x:v>46249.4134212037</x:v>
      </x:c>
      <x:c r="AA1300" s="11" t="n">
        <x:v>46254.51251577547</x:v>
      </x:c>
      <x:c r="AB1300" s="11" t="n">
        <x:v>46254.51251577547</x:v>
      </x:c>
      <x:c r="AC1300" t="str">
        <x:v>kvarter</x:v>
      </x:c>
    </x:row>
    <x:row r="1301" ht="22" customHeight="1">
      <x:c r="A1301" t="str">
        <x:v>Kvarter</x:v>
      </x:c>
      <x:c r="B1301" t="str">
        <x:v>B.2.5</x:v>
      </x:c>
      <x:c r="C1301" t="str">
        <x:v>available</x:v>
      </x:c>
      <x:c r="D1301" t="str">
        <x:v>present</x:v>
      </x:c>
      <x:c r="E1301" t="str">
        <x:v>baseline</x:v>
      </x:c>
      <x:c r="F1301" s="11" t="n">
        <x:v>46249.4134212037</x:v>
      </x:c>
      <x:c r="G1301" t="str"/>
      <x:c r="H1301" s="12" t="n">
        <x:v>2</x:v>
      </x:c>
      <x:c r="I1301" s="13" t="n">
        <x:v>2</x:v>
      </x:c>
      <x:c r="J1301" t="str">
        <x:v>B</x:v>
      </x:c>
      <x:c r="K1301" s="14"/>
      <x:c r="L1301" s="14"/>
      <x:c r="M1301" s="14"/>
      <x:c r="N1301" s="14"/>
      <x:c r="O1301" s="14"/>
      <x:c r="P1301" s="14"/>
      <x:c r="Q1301" s="14" t="n">
        <x:v>63</x:v>
      </x:c>
      <x:c r="R1301" s="15" t="n">
        <x:v>322000</x:v>
      </x:c>
      <x:c r="S1301" s="15" t="n">
        <x:v>322000</x:v>
      </x:c>
      <x:c r="T1301" s="15"/>
      <x:c r="U1301" s="16"/>
      <x:c r="V1301" t="str">
        <x:v>Immocap</x:v>
      </x:c>
      <x:c r="W1301" t="str">
        <x:v>Ružinov</x:v>
      </x:c>
      <x:c r="X1301" s="11" t="str">
        <x:v>Voľný V</x:v>
      </x:c>
      <x:c r="Y1301" s="11" t="str">
        <x:v>https://kvarter-living.sk/byt/B.2.5</x:v>
      </x:c>
      <x:c r="Z1301" s="11" t="n">
        <x:v>46249.4134212037</x:v>
      </x:c>
      <x:c r="AA1301" s="11" t="n">
        <x:v>46254.51251577547</x:v>
      </x:c>
      <x:c r="AB1301" s="11" t="n">
        <x:v>46254.51251577547</x:v>
      </x:c>
      <x:c r="AC1301" t="str">
        <x:v>kvarter</x:v>
      </x:c>
    </x:row>
    <x:row r="1302" ht="22" customHeight="1">
      <x:c r="A1302" t="str">
        <x:v>Kvarter</x:v>
      </x:c>
      <x:c r="B1302" t="str">
        <x:v>B.2.6</x:v>
      </x:c>
      <x:c r="C1302" t="str">
        <x:v>sold</x:v>
      </x:c>
      <x:c r="D1302" t="str">
        <x:v>present</x:v>
      </x:c>
      <x:c r="E1302" t="str">
        <x:v>baseline</x:v>
      </x:c>
      <x:c r="F1302" s="11" t="n">
        <x:v>46249.4134212037</x:v>
      </x:c>
      <x:c r="G1302" t="str"/>
      <x:c r="H1302" s="12" t="n">
        <x:v>2</x:v>
      </x:c>
      <x:c r="I1302" s="13" t="n">
        <x:v>2</x:v>
      </x:c>
      <x:c r="J1302" t="str">
        <x:v>B</x:v>
      </x:c>
      <x:c r="K1302" s="14"/>
      <x:c r="L1302" s="14"/>
      <x:c r="M1302" s="14"/>
      <x:c r="N1302" s="14"/>
      <x:c r="O1302" s="14"/>
      <x:c r="P1302" s="14"/>
      <x:c r="Q1302" s="14" t="n">
        <x:v>48</x:v>
      </x:c>
      <x:c r="R1302" s="15"/>
      <x:c r="S1302" s="15"/>
      <x:c r="T1302" s="15"/>
      <x:c r="U1302" s="16"/>
      <x:c r="V1302" t="str">
        <x:v>Immocap</x:v>
      </x:c>
      <x:c r="W1302" t="str">
        <x:v>Ružinov</x:v>
      </x:c>
      <x:c r="X1302" s="11" t="str">
        <x:v>Predaný P</x:v>
      </x:c>
      <x:c r="Y1302" s="11" t="str">
        <x:v>https://kvarter-living.sk/byt/B.2.6</x:v>
      </x:c>
      <x:c r="Z1302" s="11" t="n">
        <x:v>46249.4134212037</x:v>
      </x:c>
      <x:c r="AA1302" s="11" t="n">
        <x:v>46254.51251577547</x:v>
      </x:c>
      <x:c r="AB1302" s="11" t="n">
        <x:v>46254.51251577547</x:v>
      </x:c>
      <x:c r="AC1302" t="str">
        <x:v>kvarter</x:v>
      </x:c>
    </x:row>
    <x:row r="1303" ht="22" customHeight="1">
      <x:c r="A1303" t="str">
        <x:v>Kvarter</x:v>
      </x:c>
      <x:c r="B1303" t="str">
        <x:v>B.2.7</x:v>
      </x:c>
      <x:c r="C1303" t="str">
        <x:v>sold</x:v>
      </x:c>
      <x:c r="D1303" t="str">
        <x:v>present</x:v>
      </x:c>
      <x:c r="E1303" t="str">
        <x:v>baseline</x:v>
      </x:c>
      <x:c r="F1303" s="11" t="n">
        <x:v>46249.4134212037</x:v>
      </x:c>
      <x:c r="G1303" t="str"/>
      <x:c r="H1303" s="12" t="n">
        <x:v>3</x:v>
      </x:c>
      <x:c r="I1303" s="13" t="n">
        <x:v>2</x:v>
      </x:c>
      <x:c r="J1303" t="str">
        <x:v>B</x:v>
      </x:c>
      <x:c r="K1303" s="14"/>
      <x:c r="L1303" s="14"/>
      <x:c r="M1303" s="14"/>
      <x:c r="N1303" s="14"/>
      <x:c r="O1303" s="14"/>
      <x:c r="P1303" s="14"/>
      <x:c r="Q1303" s="14" t="n">
        <x:v>85</x:v>
      </x:c>
      <x:c r="R1303" s="15"/>
      <x:c r="S1303" s="15"/>
      <x:c r="T1303" s="15"/>
      <x:c r="U1303" s="16"/>
      <x:c r="V1303" t="str">
        <x:v>Immocap</x:v>
      </x:c>
      <x:c r="W1303" t="str">
        <x:v>Ružinov</x:v>
      </x:c>
      <x:c r="X1303" s="11" t="str">
        <x:v>Predaný P</x:v>
      </x:c>
      <x:c r="Y1303" s="11" t="str">
        <x:v>https://kvarter-living.sk/byt/B.2.7</x:v>
      </x:c>
      <x:c r="Z1303" s="11" t="n">
        <x:v>46249.4134212037</x:v>
      </x:c>
      <x:c r="AA1303" s="11" t="n">
        <x:v>46254.51251577547</x:v>
      </x:c>
      <x:c r="AB1303" s="11" t="n">
        <x:v>46254.51251577547</x:v>
      </x:c>
      <x:c r="AC1303" t="str">
        <x:v>kvarter</x:v>
      </x:c>
    </x:row>
    <x:row r="1304" ht="22" customHeight="1">
      <x:c r="A1304" t="str">
        <x:v>Kvarter</x:v>
      </x:c>
      <x:c r="B1304" t="str">
        <x:v>B.2.8</x:v>
      </x:c>
      <x:c r="C1304" t="str">
        <x:v>sold</x:v>
      </x:c>
      <x:c r="D1304" t="str">
        <x:v>present</x:v>
      </x:c>
      <x:c r="E1304" t="str">
        <x:v>baseline</x:v>
      </x:c>
      <x:c r="F1304" s="11" t="n">
        <x:v>46249.4134212037</x:v>
      </x:c>
      <x:c r="G1304" t="str"/>
      <x:c r="H1304" s="12" t="n">
        <x:v>1</x:v>
      </x:c>
      <x:c r="I1304" s="13" t="n">
        <x:v>2</x:v>
      </x:c>
      <x:c r="J1304" t="str">
        <x:v>B</x:v>
      </x:c>
      <x:c r="K1304" s="14"/>
      <x:c r="L1304" s="14"/>
      <x:c r="M1304" s="14"/>
      <x:c r="N1304" s="14"/>
      <x:c r="O1304" s="14"/>
      <x:c r="P1304" s="14"/>
      <x:c r="Q1304" s="14" t="n">
        <x:v>36</x:v>
      </x:c>
      <x:c r="R1304" s="15"/>
      <x:c r="S1304" s="15"/>
      <x:c r="T1304" s="15"/>
      <x:c r="U1304" s="16"/>
      <x:c r="V1304" t="str">
        <x:v>Immocap</x:v>
      </x:c>
      <x:c r="W1304" t="str">
        <x:v>Ružinov</x:v>
      </x:c>
      <x:c r="X1304" s="11" t="str">
        <x:v>Predaný P</x:v>
      </x:c>
      <x:c r="Y1304" s="11" t="str">
        <x:v>https://kvarter-living.sk/byt/B.2.8</x:v>
      </x:c>
      <x:c r="Z1304" s="11" t="n">
        <x:v>46249.4134212037</x:v>
      </x:c>
      <x:c r="AA1304" s="11" t="n">
        <x:v>46254.51251577547</x:v>
      </x:c>
      <x:c r="AB1304" s="11" t="n">
        <x:v>46254.51251577547</x:v>
      </x:c>
      <x:c r="AC1304" t="str">
        <x:v>kvarter</x:v>
      </x:c>
    </x:row>
    <x:row r="1305" ht="22" customHeight="1">
      <x:c r="A1305" t="str">
        <x:v>Kvarter</x:v>
      </x:c>
      <x:c r="B1305" t="str">
        <x:v>B.2.9</x:v>
      </x:c>
      <x:c r="C1305" t="str">
        <x:v>pre_reserved</x:v>
      </x:c>
      <x:c r="D1305" t="str">
        <x:v>present</x:v>
      </x:c>
      <x:c r="E1305" t="str">
        <x:v>baseline</x:v>
      </x:c>
      <x:c r="F1305" s="11" t="n">
        <x:v>46249.4134212037</x:v>
      </x:c>
      <x:c r="G1305" t="str"/>
      <x:c r="H1305" s="12" t="n">
        <x:v>1</x:v>
      </x:c>
      <x:c r="I1305" s="13" t="n">
        <x:v>2</x:v>
      </x:c>
      <x:c r="J1305" t="str">
        <x:v>B</x:v>
      </x:c>
      <x:c r="K1305" s="14"/>
      <x:c r="L1305" s="14"/>
      <x:c r="M1305" s="14"/>
      <x:c r="N1305" s="14"/>
      <x:c r="O1305" s="14"/>
      <x:c r="P1305" s="14"/>
      <x:c r="Q1305" s="14" t="n">
        <x:v>36</x:v>
      </x:c>
      <x:c r="R1305" s="15" t="n">
        <x:v>225600</x:v>
      </x:c>
      <x:c r="S1305" s="15" t="n">
        <x:v>225600</x:v>
      </x:c>
      <x:c r="T1305" s="15"/>
      <x:c r="U1305" s="16"/>
      <x:c r="V1305" t="str">
        <x:v>Immocap</x:v>
      </x:c>
      <x:c r="W1305" t="str">
        <x:v>Ružinov</x:v>
      </x:c>
      <x:c r="X1305" s="11" t="str">
        <x:v>Predrezervovaný PR</x:v>
      </x:c>
      <x:c r="Y1305" s="11" t="str">
        <x:v>https://kvarter-living.sk/byt/B.2.9</x:v>
      </x:c>
      <x:c r="Z1305" s="11" t="n">
        <x:v>46249.4134212037</x:v>
      </x:c>
      <x:c r="AA1305" s="11" t="n">
        <x:v>46254.51251577547</x:v>
      </x:c>
      <x:c r="AB1305" s="11" t="n">
        <x:v>46254.51251577547</x:v>
      </x:c>
      <x:c r="AC1305" t="str">
        <x:v>kvarter</x:v>
      </x:c>
    </x:row>
    <x:row r="1306" ht="22" customHeight="1">
      <x:c r="A1306" t="str">
        <x:v>Kvarter</x:v>
      </x:c>
      <x:c r="B1306" t="str">
        <x:v>B.2.10</x:v>
      </x:c>
      <x:c r="C1306" t="str">
        <x:v>available</x:v>
      </x:c>
      <x:c r="D1306" t="str">
        <x:v>present</x:v>
      </x:c>
      <x:c r="E1306" t="str">
        <x:v>baseline</x:v>
      </x:c>
      <x:c r="F1306" s="11" t="n">
        <x:v>46249.4134212037</x:v>
      </x:c>
      <x:c r="G1306" t="str"/>
      <x:c r="H1306" s="12" t="n">
        <x:v>1</x:v>
      </x:c>
      <x:c r="I1306" s="13" t="n">
        <x:v>2</x:v>
      </x:c>
      <x:c r="J1306" t="str">
        <x:v>B</x:v>
      </x:c>
      <x:c r="K1306" s="14"/>
      <x:c r="L1306" s="14"/>
      <x:c r="M1306" s="14"/>
      <x:c r="N1306" s="14"/>
      <x:c r="O1306" s="14"/>
      <x:c r="P1306" s="14"/>
      <x:c r="Q1306" s="14" t="n">
        <x:v>36</x:v>
      </x:c>
      <x:c r="R1306" s="15" t="n">
        <x:v>228500</x:v>
      </x:c>
      <x:c r="S1306" s="15" t="n">
        <x:v>228500</x:v>
      </x:c>
      <x:c r="T1306" s="15"/>
      <x:c r="U1306" s="16"/>
      <x:c r="V1306" t="str">
        <x:v>Immocap</x:v>
      </x:c>
      <x:c r="W1306" t="str">
        <x:v>Ružinov</x:v>
      </x:c>
      <x:c r="X1306" s="11" t="str">
        <x:v>Voľný V</x:v>
      </x:c>
      <x:c r="Y1306" s="11" t="str">
        <x:v>https://kvarter-living.sk/byt/B.2.10</x:v>
      </x:c>
      <x:c r="Z1306" s="11" t="n">
        <x:v>46249.4134212037</x:v>
      </x:c>
      <x:c r="AA1306" s="11" t="n">
        <x:v>46254.51251577547</x:v>
      </x:c>
      <x:c r="AB1306" s="11" t="n">
        <x:v>46254.51251577547</x:v>
      </x:c>
      <x:c r="AC1306" t="str">
        <x:v>kvarter</x:v>
      </x:c>
    </x:row>
    <x:row r="1307" ht="22" customHeight="1">
      <x:c r="A1307" t="str">
        <x:v>Kvarter</x:v>
      </x:c>
      <x:c r="B1307" t="str">
        <x:v>B.3.1</x:v>
      </x:c>
      <x:c r="C1307" t="str">
        <x:v>available</x:v>
      </x:c>
      <x:c r="D1307" t="str">
        <x:v>present</x:v>
      </x:c>
      <x:c r="E1307" t="str">
        <x:v>baseline</x:v>
      </x:c>
      <x:c r="F1307" s="11" t="n">
        <x:v>46249.4134212037</x:v>
      </x:c>
      <x:c r="G1307" t="str"/>
      <x:c r="H1307" s="12" t="n">
        <x:v>1</x:v>
      </x:c>
      <x:c r="I1307" s="13" t="n">
        <x:v>3</x:v>
      </x:c>
      <x:c r="J1307" t="str">
        <x:v>B</x:v>
      </x:c>
      <x:c r="K1307" s="14"/>
      <x:c r="L1307" s="14"/>
      <x:c r="M1307" s="14"/>
      <x:c r="N1307" s="14"/>
      <x:c r="O1307" s="14"/>
      <x:c r="P1307" s="14"/>
      <x:c r="Q1307" s="14" t="n">
        <x:v>36</x:v>
      </x:c>
      <x:c r="R1307" s="15" t="n">
        <x:v>229300</x:v>
      </x:c>
      <x:c r="S1307" s="15" t="n">
        <x:v>229300</x:v>
      </x:c>
      <x:c r="T1307" s="15"/>
      <x:c r="U1307" s="16"/>
      <x:c r="V1307" t="str">
        <x:v>Immocap</x:v>
      </x:c>
      <x:c r="W1307" t="str">
        <x:v>Ružinov</x:v>
      </x:c>
      <x:c r="X1307" s="11" t="str">
        <x:v>Voľný V</x:v>
      </x:c>
      <x:c r="Y1307" s="11" t="str">
        <x:v>https://kvarter-living.sk/byt/B.3.1</x:v>
      </x:c>
      <x:c r="Z1307" s="11" t="n">
        <x:v>46249.4134212037</x:v>
      </x:c>
      <x:c r="AA1307" s="11" t="n">
        <x:v>46254.51251577547</x:v>
      </x:c>
      <x:c r="AB1307" s="11" t="n">
        <x:v>46254.51251577547</x:v>
      </x:c>
      <x:c r="AC1307" t="str">
        <x:v>kvarter</x:v>
      </x:c>
    </x:row>
    <x:row r="1308" ht="22" customHeight="1">
      <x:c r="A1308" t="str">
        <x:v>Kvarter</x:v>
      </x:c>
      <x:c r="B1308" t="str">
        <x:v>B.3.2</x:v>
      </x:c>
      <x:c r="C1308" t="str">
        <x:v>sold</x:v>
      </x:c>
      <x:c r="D1308" t="str">
        <x:v>present</x:v>
      </x:c>
      <x:c r="E1308" t="str">
        <x:v>baseline</x:v>
      </x:c>
      <x:c r="F1308" s="11" t="n">
        <x:v>46249.4134212037</x:v>
      </x:c>
      <x:c r="G1308" t="str"/>
      <x:c r="H1308" s="12" t="n">
        <x:v>4</x:v>
      </x:c>
      <x:c r="I1308" s="13" t="n">
        <x:v>3</x:v>
      </x:c>
      <x:c r="J1308" t="str">
        <x:v>B</x:v>
      </x:c>
      <x:c r="K1308" s="14"/>
      <x:c r="L1308" s="14"/>
      <x:c r="M1308" s="14"/>
      <x:c r="N1308" s="14"/>
      <x:c r="O1308" s="14"/>
      <x:c r="P1308" s="14"/>
      <x:c r="Q1308" s="14" t="n">
        <x:v>117</x:v>
      </x:c>
      <x:c r="R1308" s="15"/>
      <x:c r="S1308" s="15"/>
      <x:c r="T1308" s="15"/>
      <x:c r="U1308" s="16"/>
      <x:c r="V1308" t="str">
        <x:v>Immocap</x:v>
      </x:c>
      <x:c r="W1308" t="str">
        <x:v>Ružinov</x:v>
      </x:c>
      <x:c r="X1308" s="11" t="str">
        <x:v>Predaný P</x:v>
      </x:c>
      <x:c r="Y1308" s="11" t="str">
        <x:v>https://kvarter-living.sk/byt/B.3.2</x:v>
      </x:c>
      <x:c r="Z1308" s="11" t="n">
        <x:v>46249.4134212037</x:v>
      </x:c>
      <x:c r="AA1308" s="11" t="n">
        <x:v>46254.51251577547</x:v>
      </x:c>
      <x:c r="AB1308" s="11" t="n">
        <x:v>46254.51251577547</x:v>
      </x:c>
      <x:c r="AC1308" t="str">
        <x:v>kvarter</x:v>
      </x:c>
    </x:row>
    <x:row r="1309" ht="22" customHeight="1">
      <x:c r="A1309" t="str">
        <x:v>Kvarter</x:v>
      </x:c>
      <x:c r="B1309" t="str">
        <x:v>B.3.3</x:v>
      </x:c>
      <x:c r="C1309" t="str">
        <x:v>sold</x:v>
      </x:c>
      <x:c r="D1309" t="str">
        <x:v>present</x:v>
      </x:c>
      <x:c r="E1309" t="str">
        <x:v>baseline</x:v>
      </x:c>
      <x:c r="F1309" s="11" t="n">
        <x:v>46249.4134212037</x:v>
      </x:c>
      <x:c r="G1309" t="str"/>
      <x:c r="H1309" s="12" t="n">
        <x:v>2</x:v>
      </x:c>
      <x:c r="I1309" s="13" t="n">
        <x:v>3</x:v>
      </x:c>
      <x:c r="J1309" t="str">
        <x:v>B</x:v>
      </x:c>
      <x:c r="K1309" s="14"/>
      <x:c r="L1309" s="14"/>
      <x:c r="M1309" s="14"/>
      <x:c r="N1309" s="14"/>
      <x:c r="O1309" s="14"/>
      <x:c r="P1309" s="14"/>
      <x:c r="Q1309" s="14" t="n">
        <x:v>48</x:v>
      </x:c>
      <x:c r="R1309" s="15"/>
      <x:c r="S1309" s="15"/>
      <x:c r="T1309" s="15"/>
      <x:c r="U1309" s="16"/>
      <x:c r="V1309" t="str">
        <x:v>Immocap</x:v>
      </x:c>
      <x:c r="W1309" t="str">
        <x:v>Ružinov</x:v>
      </x:c>
      <x:c r="X1309" s="11" t="str">
        <x:v>Predaný P</x:v>
      </x:c>
      <x:c r="Y1309" s="11" t="str">
        <x:v>https://kvarter-living.sk/byt/B.3.3</x:v>
      </x:c>
      <x:c r="Z1309" s="11" t="n">
        <x:v>46249.4134212037</x:v>
      </x:c>
      <x:c r="AA1309" s="11" t="n">
        <x:v>46254.51251577547</x:v>
      </x:c>
      <x:c r="AB1309" s="11" t="n">
        <x:v>46254.51251577547</x:v>
      </x:c>
      <x:c r="AC1309" t="str">
        <x:v>kvarter</x:v>
      </x:c>
    </x:row>
    <x:row r="1310" ht="22" customHeight="1">
      <x:c r="A1310" t="str">
        <x:v>Kvarter</x:v>
      </x:c>
      <x:c r="B1310" t="str">
        <x:v>B.3.4</x:v>
      </x:c>
      <x:c r="C1310" t="str">
        <x:v>sold</x:v>
      </x:c>
      <x:c r="D1310" t="str">
        <x:v>present</x:v>
      </x:c>
      <x:c r="E1310" t="str">
        <x:v>baseline</x:v>
      </x:c>
      <x:c r="F1310" s="11" t="n">
        <x:v>46249.4134212037</x:v>
      </x:c>
      <x:c r="G1310" t="str"/>
      <x:c r="H1310" s="12" t="n">
        <x:v>2</x:v>
      </x:c>
      <x:c r="I1310" s="13" t="n">
        <x:v>3</x:v>
      </x:c>
      <x:c r="J1310" t="str">
        <x:v>B</x:v>
      </x:c>
      <x:c r="K1310" s="14"/>
      <x:c r="L1310" s="14"/>
      <x:c r="M1310" s="14"/>
      <x:c r="N1310" s="14"/>
      <x:c r="O1310" s="14"/>
      <x:c r="P1310" s="14"/>
      <x:c r="Q1310" s="14" t="n">
        <x:v>63</x:v>
      </x:c>
      <x:c r="R1310" s="15"/>
      <x:c r="S1310" s="15"/>
      <x:c r="T1310" s="15"/>
      <x:c r="U1310" s="16"/>
      <x:c r="V1310" t="str">
        <x:v>Immocap</x:v>
      </x:c>
      <x:c r="W1310" t="str">
        <x:v>Ružinov</x:v>
      </x:c>
      <x:c r="X1310" s="11" t="str">
        <x:v>Predaný P</x:v>
      </x:c>
      <x:c r="Y1310" s="11" t="str">
        <x:v>https://kvarter-living.sk/byt/B.3.4</x:v>
      </x:c>
      <x:c r="Z1310" s="11" t="n">
        <x:v>46249.4134212037</x:v>
      </x:c>
      <x:c r="AA1310" s="11" t="n">
        <x:v>46254.51251577547</x:v>
      </x:c>
      <x:c r="AB1310" s="11" t="n">
        <x:v>46254.51251577547</x:v>
      </x:c>
      <x:c r="AC1310" t="str">
        <x:v>kvarter</x:v>
      </x:c>
    </x:row>
    <x:row r="1311" ht="22" customHeight="1">
      <x:c r="A1311" t="str">
        <x:v>Kvarter</x:v>
      </x:c>
      <x:c r="B1311" t="str">
        <x:v>B.3.5</x:v>
      </x:c>
      <x:c r="C1311" t="str">
        <x:v>available</x:v>
      </x:c>
      <x:c r="D1311" t="str">
        <x:v>present</x:v>
      </x:c>
      <x:c r="E1311" t="str">
        <x:v>baseline</x:v>
      </x:c>
      <x:c r="F1311" s="11" t="n">
        <x:v>46249.4134212037</x:v>
      </x:c>
      <x:c r="G1311" t="str"/>
      <x:c r="H1311" s="12" t="n">
        <x:v>2</x:v>
      </x:c>
      <x:c r="I1311" s="13" t="n">
        <x:v>3</x:v>
      </x:c>
      <x:c r="J1311" t="str">
        <x:v>B</x:v>
      </x:c>
      <x:c r="K1311" s="14"/>
      <x:c r="L1311" s="14"/>
      <x:c r="M1311" s="14"/>
      <x:c r="N1311" s="14"/>
      <x:c r="O1311" s="14"/>
      <x:c r="P1311" s="14"/>
      <x:c r="Q1311" s="14" t="n">
        <x:v>63</x:v>
      </x:c>
      <x:c r="R1311" s="15" t="n">
        <x:v>324800</x:v>
      </x:c>
      <x:c r="S1311" s="15" t="n">
        <x:v>324800</x:v>
      </x:c>
      <x:c r="T1311" s="15"/>
      <x:c r="U1311" s="16"/>
      <x:c r="V1311" t="str">
        <x:v>Immocap</x:v>
      </x:c>
      <x:c r="W1311" t="str">
        <x:v>Ružinov</x:v>
      </x:c>
      <x:c r="X1311" s="11" t="str">
        <x:v>Voľný V</x:v>
      </x:c>
      <x:c r="Y1311" s="11" t="str">
        <x:v>https://kvarter-living.sk/byt/B.3.5</x:v>
      </x:c>
      <x:c r="Z1311" s="11" t="n">
        <x:v>46249.4134212037</x:v>
      </x:c>
      <x:c r="AA1311" s="11" t="n">
        <x:v>46254.51251577547</x:v>
      </x:c>
      <x:c r="AB1311" s="11" t="n">
        <x:v>46254.51251577547</x:v>
      </x:c>
      <x:c r="AC1311" t="str">
        <x:v>kvarter</x:v>
      </x:c>
    </x:row>
    <x:row r="1312" ht="22" customHeight="1">
      <x:c r="A1312" t="str">
        <x:v>Kvarter</x:v>
      </x:c>
      <x:c r="B1312" t="str">
        <x:v>B.3.6</x:v>
      </x:c>
      <x:c r="C1312" t="str">
        <x:v>sold</x:v>
      </x:c>
      <x:c r="D1312" t="str">
        <x:v>present</x:v>
      </x:c>
      <x:c r="E1312" t="str">
        <x:v>baseline</x:v>
      </x:c>
      <x:c r="F1312" s="11" t="n">
        <x:v>46249.4134212037</x:v>
      </x:c>
      <x:c r="G1312" t="str"/>
      <x:c r="H1312" s="12" t="n">
        <x:v>2</x:v>
      </x:c>
      <x:c r="I1312" s="13" t="n">
        <x:v>3</x:v>
      </x:c>
      <x:c r="J1312" t="str">
        <x:v>B</x:v>
      </x:c>
      <x:c r="K1312" s="14"/>
      <x:c r="L1312" s="14"/>
      <x:c r="M1312" s="14"/>
      <x:c r="N1312" s="14"/>
      <x:c r="O1312" s="14"/>
      <x:c r="P1312" s="14"/>
      <x:c r="Q1312" s="14" t="n">
        <x:v>48</x:v>
      </x:c>
      <x:c r="R1312" s="15"/>
      <x:c r="S1312" s="15"/>
      <x:c r="T1312" s="15"/>
      <x:c r="U1312" s="16"/>
      <x:c r="V1312" t="str">
        <x:v>Immocap</x:v>
      </x:c>
      <x:c r="W1312" t="str">
        <x:v>Ružinov</x:v>
      </x:c>
      <x:c r="X1312" s="11" t="str">
        <x:v>Predaný P</x:v>
      </x:c>
      <x:c r="Y1312" s="11" t="str">
        <x:v>https://kvarter-living.sk/byt/B.3.6</x:v>
      </x:c>
      <x:c r="Z1312" s="11" t="n">
        <x:v>46249.4134212037</x:v>
      </x:c>
      <x:c r="AA1312" s="11" t="n">
        <x:v>46254.51251577547</x:v>
      </x:c>
      <x:c r="AB1312" s="11" t="n">
        <x:v>46254.51251577547</x:v>
      </x:c>
      <x:c r="AC1312" t="str">
        <x:v>kvarter</x:v>
      </x:c>
    </x:row>
    <x:row r="1313" ht="22" customHeight="1">
      <x:c r="A1313" t="str">
        <x:v>Kvarter</x:v>
      </x:c>
      <x:c r="B1313" t="str">
        <x:v>B.3.7</x:v>
      </x:c>
      <x:c r="C1313" t="str">
        <x:v>sold</x:v>
      </x:c>
      <x:c r="D1313" t="str">
        <x:v>present</x:v>
      </x:c>
      <x:c r="E1313" t="str">
        <x:v>baseline</x:v>
      </x:c>
      <x:c r="F1313" s="11" t="n">
        <x:v>46249.4134212037</x:v>
      </x:c>
      <x:c r="G1313" t="str"/>
      <x:c r="H1313" s="12" t="n">
        <x:v>3</x:v>
      </x:c>
      <x:c r="I1313" s="13" t="n">
        <x:v>3</x:v>
      </x:c>
      <x:c r="J1313" t="str">
        <x:v>B</x:v>
      </x:c>
      <x:c r="K1313" s="14"/>
      <x:c r="L1313" s="14"/>
      <x:c r="M1313" s="14"/>
      <x:c r="N1313" s="14"/>
      <x:c r="O1313" s="14"/>
      <x:c r="P1313" s="14"/>
      <x:c r="Q1313" s="14" t="n">
        <x:v>85</x:v>
      </x:c>
      <x:c r="R1313" s="15"/>
      <x:c r="S1313" s="15"/>
      <x:c r="T1313" s="15"/>
      <x:c r="U1313" s="16"/>
      <x:c r="V1313" t="str">
        <x:v>Immocap</x:v>
      </x:c>
      <x:c r="W1313" t="str">
        <x:v>Ružinov</x:v>
      </x:c>
      <x:c r="X1313" s="11" t="str">
        <x:v>Predaný P</x:v>
      </x:c>
      <x:c r="Y1313" s="11" t="str">
        <x:v>https://kvarter-living.sk/byt/B.3.7</x:v>
      </x:c>
      <x:c r="Z1313" s="11" t="n">
        <x:v>46249.4134212037</x:v>
      </x:c>
      <x:c r="AA1313" s="11" t="n">
        <x:v>46254.51251577547</x:v>
      </x:c>
      <x:c r="AB1313" s="11" t="n">
        <x:v>46254.51251577547</x:v>
      </x:c>
      <x:c r="AC1313" t="str">
        <x:v>kvarter</x:v>
      </x:c>
    </x:row>
    <x:row r="1314" ht="22" customHeight="1">
      <x:c r="A1314" t="str">
        <x:v>Kvarter</x:v>
      </x:c>
      <x:c r="B1314" t="str">
        <x:v>B.3.8</x:v>
      </x:c>
      <x:c r="C1314" t="str">
        <x:v>sold</x:v>
      </x:c>
      <x:c r="D1314" t="str">
        <x:v>present</x:v>
      </x:c>
      <x:c r="E1314" t="str">
        <x:v>baseline</x:v>
      </x:c>
      <x:c r="F1314" s="11" t="n">
        <x:v>46249.4134212037</x:v>
      </x:c>
      <x:c r="G1314" t="str"/>
      <x:c r="H1314" s="12" t="n">
        <x:v>1</x:v>
      </x:c>
      <x:c r="I1314" s="13" t="n">
        <x:v>3</x:v>
      </x:c>
      <x:c r="J1314" t="str">
        <x:v>B</x:v>
      </x:c>
      <x:c r="K1314" s="14"/>
      <x:c r="L1314" s="14"/>
      <x:c r="M1314" s="14"/>
      <x:c r="N1314" s="14"/>
      <x:c r="O1314" s="14"/>
      <x:c r="P1314" s="14"/>
      <x:c r="Q1314" s="14" t="n">
        <x:v>31</x:v>
      </x:c>
      <x:c r="R1314" s="15"/>
      <x:c r="S1314" s="15"/>
      <x:c r="T1314" s="15"/>
      <x:c r="U1314" s="16"/>
      <x:c r="V1314" t="str">
        <x:v>Immocap</x:v>
      </x:c>
      <x:c r="W1314" t="str">
        <x:v>Ružinov</x:v>
      </x:c>
      <x:c r="X1314" s="11" t="str">
        <x:v>Predaný P</x:v>
      </x:c>
      <x:c r="Y1314" s="11" t="str">
        <x:v>https://kvarter-living.sk/byt/B.3.8</x:v>
      </x:c>
      <x:c r="Z1314" s="11" t="n">
        <x:v>46249.4134212037</x:v>
      </x:c>
      <x:c r="AA1314" s="11" t="n">
        <x:v>46254.51251577547</x:v>
      </x:c>
      <x:c r="AB1314" s="11" t="n">
        <x:v>46254.51251577547</x:v>
      </x:c>
      <x:c r="AC1314" t="str">
        <x:v>kvarter</x:v>
      </x:c>
    </x:row>
    <x:row r="1315" ht="22" customHeight="1">
      <x:c r="A1315" t="str">
        <x:v>Kvarter</x:v>
      </x:c>
      <x:c r="B1315" t="str">
        <x:v>B.3.9</x:v>
      </x:c>
      <x:c r="C1315" t="str">
        <x:v>pre_reserved</x:v>
      </x:c>
      <x:c r="D1315" t="str">
        <x:v>present</x:v>
      </x:c>
      <x:c r="E1315" t="str">
        <x:v>baseline</x:v>
      </x:c>
      <x:c r="F1315" s="11" t="n">
        <x:v>46249.4134212037</x:v>
      </x:c>
      <x:c r="G1315" t="str"/>
      <x:c r="H1315" s="12" t="n">
        <x:v>1</x:v>
      </x:c>
      <x:c r="I1315" s="13" t="n">
        <x:v>3</x:v>
      </x:c>
      <x:c r="J1315" t="str">
        <x:v>B</x:v>
      </x:c>
      <x:c r="K1315" s="14"/>
      <x:c r="L1315" s="14"/>
      <x:c r="M1315" s="14"/>
      <x:c r="N1315" s="14"/>
      <x:c r="O1315" s="14"/>
      <x:c r="P1315" s="14"/>
      <x:c r="Q1315" s="14" t="n">
        <x:v>36</x:v>
      </x:c>
      <x:c r="R1315" s="15" t="n">
        <x:v>225600</x:v>
      </x:c>
      <x:c r="S1315" s="15" t="n">
        <x:v>225600</x:v>
      </x:c>
      <x:c r="T1315" s="15"/>
      <x:c r="U1315" s="16"/>
      <x:c r="V1315" t="str">
        <x:v>Immocap</x:v>
      </x:c>
      <x:c r="W1315" t="str">
        <x:v>Ružinov</x:v>
      </x:c>
      <x:c r="X1315" s="11" t="str">
        <x:v>Predrezervovaný PR</x:v>
      </x:c>
      <x:c r="Y1315" s="11" t="str">
        <x:v>https://kvarter-living.sk/byt/B.3.9</x:v>
      </x:c>
      <x:c r="Z1315" s="11" t="n">
        <x:v>46249.4134212037</x:v>
      </x:c>
      <x:c r="AA1315" s="11" t="n">
        <x:v>46254.51251577547</x:v>
      </x:c>
      <x:c r="AB1315" s="11" t="n">
        <x:v>46254.51251577547</x:v>
      </x:c>
      <x:c r="AC1315" t="str">
        <x:v>kvarter</x:v>
      </x:c>
    </x:row>
    <x:row r="1316" ht="22" customHeight="1">
      <x:c r="A1316" t="str">
        <x:v>Kvarter</x:v>
      </x:c>
      <x:c r="B1316" t="str">
        <x:v>B.4.1</x:v>
      </x:c>
      <x:c r="C1316" t="str">
        <x:v>available</x:v>
      </x:c>
      <x:c r="D1316" t="str">
        <x:v>present</x:v>
      </x:c>
      <x:c r="E1316" t="str">
        <x:v>baseline</x:v>
      </x:c>
      <x:c r="F1316" s="11" t="n">
        <x:v>46249.4134212037</x:v>
      </x:c>
      <x:c r="G1316" t="str"/>
      <x:c r="H1316" s="12" t="n">
        <x:v>1</x:v>
      </x:c>
      <x:c r="I1316" s="13" t="n">
        <x:v>4</x:v>
      </x:c>
      <x:c r="J1316" t="str">
        <x:v>B</x:v>
      </x:c>
      <x:c r="K1316" s="14"/>
      <x:c r="L1316" s="14"/>
      <x:c r="M1316" s="14"/>
      <x:c r="N1316" s="14"/>
      <x:c r="O1316" s="14"/>
      <x:c r="P1316" s="14"/>
      <x:c r="Q1316" s="14" t="n">
        <x:v>36</x:v>
      </x:c>
      <x:c r="R1316" s="15" t="n">
        <x:v>231000</x:v>
      </x:c>
      <x:c r="S1316" s="15" t="n">
        <x:v>231000</x:v>
      </x:c>
      <x:c r="T1316" s="15"/>
      <x:c r="U1316" s="16"/>
      <x:c r="V1316" t="str">
        <x:v>Immocap</x:v>
      </x:c>
      <x:c r="W1316" t="str">
        <x:v>Ružinov</x:v>
      </x:c>
      <x:c r="X1316" s="11" t="str">
        <x:v>Voľný V</x:v>
      </x:c>
      <x:c r="Y1316" s="11" t="str">
        <x:v>https://kvarter-living.sk/byt/B.4.1</x:v>
      </x:c>
      <x:c r="Z1316" s="11" t="n">
        <x:v>46249.4134212037</x:v>
      </x:c>
      <x:c r="AA1316" s="11" t="n">
        <x:v>46254.51251577547</x:v>
      </x:c>
      <x:c r="AB1316" s="11" t="n">
        <x:v>46254.51251577547</x:v>
      </x:c>
      <x:c r="AC1316" t="str">
        <x:v>kvarter</x:v>
      </x:c>
    </x:row>
    <x:row r="1317" ht="22" customHeight="1">
      <x:c r="A1317" t="str">
        <x:v>Kvarter</x:v>
      </x:c>
      <x:c r="B1317" t="str">
        <x:v>B.4.2</x:v>
      </x:c>
      <x:c r="C1317" t="str">
        <x:v>sold</x:v>
      </x:c>
      <x:c r="D1317" t="str">
        <x:v>present</x:v>
      </x:c>
      <x:c r="E1317" t="str">
        <x:v>baseline</x:v>
      </x:c>
      <x:c r="F1317" s="11" t="n">
        <x:v>46249.4134212037</x:v>
      </x:c>
      <x:c r="G1317" t="str"/>
      <x:c r="H1317" s="12" t="n">
        <x:v>4</x:v>
      </x:c>
      <x:c r="I1317" s="13" t="n">
        <x:v>4</x:v>
      </x:c>
      <x:c r="J1317" t="str">
        <x:v>B</x:v>
      </x:c>
      <x:c r="K1317" s="14"/>
      <x:c r="L1317" s="14"/>
      <x:c r="M1317" s="14"/>
      <x:c r="N1317" s="14"/>
      <x:c r="O1317" s="14"/>
      <x:c r="P1317" s="14"/>
      <x:c r="Q1317" s="14" t="n">
        <x:v>117</x:v>
      </x:c>
      <x:c r="R1317" s="15"/>
      <x:c r="S1317" s="15"/>
      <x:c r="T1317" s="15"/>
      <x:c r="U1317" s="16"/>
      <x:c r="V1317" t="str">
        <x:v>Immocap</x:v>
      </x:c>
      <x:c r="W1317" t="str">
        <x:v>Ružinov</x:v>
      </x:c>
      <x:c r="X1317" s="11" t="str">
        <x:v>Predaný P</x:v>
      </x:c>
      <x:c r="Y1317" s="11" t="str">
        <x:v>https://kvarter-living.sk/byt/B.4.2</x:v>
      </x:c>
      <x:c r="Z1317" s="11" t="n">
        <x:v>46249.4134212037</x:v>
      </x:c>
      <x:c r="AA1317" s="11" t="n">
        <x:v>46254.51251577547</x:v>
      </x:c>
      <x:c r="AB1317" s="11" t="n">
        <x:v>46254.51251577547</x:v>
      </x:c>
      <x:c r="AC1317" t="str">
        <x:v>kvarter</x:v>
      </x:c>
    </x:row>
    <x:row r="1318" ht="22" customHeight="1">
      <x:c r="A1318" t="str">
        <x:v>Kvarter</x:v>
      </x:c>
      <x:c r="B1318" t="str">
        <x:v>B.4.3</x:v>
      </x:c>
      <x:c r="C1318" t="str">
        <x:v>sold</x:v>
      </x:c>
      <x:c r="D1318" t="str">
        <x:v>present</x:v>
      </x:c>
      <x:c r="E1318" t="str">
        <x:v>baseline</x:v>
      </x:c>
      <x:c r="F1318" s="11" t="n">
        <x:v>46249.4134212037</x:v>
      </x:c>
      <x:c r="G1318" t="str"/>
      <x:c r="H1318" s="12" t="n">
        <x:v>2</x:v>
      </x:c>
      <x:c r="I1318" s="13" t="n">
        <x:v>4</x:v>
      </x:c>
      <x:c r="J1318" t="str">
        <x:v>B</x:v>
      </x:c>
      <x:c r="K1318" s="14"/>
      <x:c r="L1318" s="14"/>
      <x:c r="M1318" s="14"/>
      <x:c r="N1318" s="14"/>
      <x:c r="O1318" s="14"/>
      <x:c r="P1318" s="14"/>
      <x:c r="Q1318" s="14" t="n">
        <x:v>48</x:v>
      </x:c>
      <x:c r="R1318" s="15"/>
      <x:c r="S1318" s="15"/>
      <x:c r="T1318" s="15"/>
      <x:c r="U1318" s="16"/>
      <x:c r="V1318" t="str">
        <x:v>Immocap</x:v>
      </x:c>
      <x:c r="W1318" t="str">
        <x:v>Ružinov</x:v>
      </x:c>
      <x:c r="X1318" s="11" t="str">
        <x:v>Predaný P</x:v>
      </x:c>
      <x:c r="Y1318" s="11" t="str">
        <x:v>https://kvarter-living.sk/byt/B.4.3</x:v>
      </x:c>
      <x:c r="Z1318" s="11" t="n">
        <x:v>46249.4134212037</x:v>
      </x:c>
      <x:c r="AA1318" s="11" t="n">
        <x:v>46254.51251577547</x:v>
      </x:c>
      <x:c r="AB1318" s="11" t="n">
        <x:v>46254.51251577547</x:v>
      </x:c>
      <x:c r="AC1318" t="str">
        <x:v>kvarter</x:v>
      </x:c>
    </x:row>
    <x:row r="1319" ht="22" customHeight="1">
      <x:c r="A1319" t="str">
        <x:v>Kvarter</x:v>
      </x:c>
      <x:c r="B1319" t="str">
        <x:v>B.4.4</x:v>
      </x:c>
      <x:c r="C1319" t="str">
        <x:v>available</x:v>
      </x:c>
      <x:c r="D1319" t="str">
        <x:v>present</x:v>
      </x:c>
      <x:c r="E1319" t="str">
        <x:v>baseline</x:v>
      </x:c>
      <x:c r="F1319" s="11" t="n">
        <x:v>46249.4134212037</x:v>
      </x:c>
      <x:c r="G1319" t="str"/>
      <x:c r="H1319" s="12" t="n">
        <x:v>2</x:v>
      </x:c>
      <x:c r="I1319" s="13" t="n">
        <x:v>4</x:v>
      </x:c>
      <x:c r="J1319" t="str">
        <x:v>B</x:v>
      </x:c>
      <x:c r="K1319" s="14"/>
      <x:c r="L1319" s="14"/>
      <x:c r="M1319" s="14"/>
      <x:c r="N1319" s="14"/>
      <x:c r="O1319" s="14"/>
      <x:c r="P1319" s="14"/>
      <x:c r="Q1319" s="14" t="n">
        <x:v>63</x:v>
      </x:c>
      <x:c r="R1319" s="15" t="n">
        <x:v>327600</x:v>
      </x:c>
      <x:c r="S1319" s="15" t="n">
        <x:v>327600</x:v>
      </x:c>
      <x:c r="T1319" s="15"/>
      <x:c r="U1319" s="16"/>
      <x:c r="V1319" t="str">
        <x:v>Immocap</x:v>
      </x:c>
      <x:c r="W1319" t="str">
        <x:v>Ružinov</x:v>
      </x:c>
      <x:c r="X1319" s="11" t="str">
        <x:v>Voľný V</x:v>
      </x:c>
      <x:c r="Y1319" s="11" t="str">
        <x:v>https://kvarter-living.sk/byt/B.4.4</x:v>
      </x:c>
      <x:c r="Z1319" s="11" t="n">
        <x:v>46249.4134212037</x:v>
      </x:c>
      <x:c r="AA1319" s="11" t="n">
        <x:v>46254.51251577547</x:v>
      </x:c>
      <x:c r="AB1319" s="11" t="n">
        <x:v>46254.51251577547</x:v>
      </x:c>
      <x:c r="AC1319" t="str">
        <x:v>kvarter</x:v>
      </x:c>
    </x:row>
    <x:row r="1320" ht="22" customHeight="1">
      <x:c r="A1320" t="str">
        <x:v>Kvarter</x:v>
      </x:c>
      <x:c r="B1320" t="str">
        <x:v>B.4.5</x:v>
      </x:c>
      <x:c r="C1320" t="str">
        <x:v>available</x:v>
      </x:c>
      <x:c r="D1320" t="str">
        <x:v>present</x:v>
      </x:c>
      <x:c r="E1320" t="str">
        <x:v>baseline</x:v>
      </x:c>
      <x:c r="F1320" s="11" t="n">
        <x:v>46249.4134212037</x:v>
      </x:c>
      <x:c r="G1320" t="str"/>
      <x:c r="H1320" s="12" t="n">
        <x:v>2</x:v>
      </x:c>
      <x:c r="I1320" s="13" t="n">
        <x:v>4</x:v>
      </x:c>
      <x:c r="J1320" t="str">
        <x:v>B</x:v>
      </x:c>
      <x:c r="K1320" s="14"/>
      <x:c r="L1320" s="14"/>
      <x:c r="M1320" s="14"/>
      <x:c r="N1320" s="14"/>
      <x:c r="O1320" s="14"/>
      <x:c r="P1320" s="14"/>
      <x:c r="Q1320" s="14" t="n">
        <x:v>63</x:v>
      </x:c>
      <x:c r="R1320" s="15" t="n">
        <x:v>327600</x:v>
      </x:c>
      <x:c r="S1320" s="15" t="n">
        <x:v>327600</x:v>
      </x:c>
      <x:c r="T1320" s="15"/>
      <x:c r="U1320" s="16"/>
      <x:c r="V1320" t="str">
        <x:v>Immocap</x:v>
      </x:c>
      <x:c r="W1320" t="str">
        <x:v>Ružinov</x:v>
      </x:c>
      <x:c r="X1320" s="11" t="str">
        <x:v>Voľný V</x:v>
      </x:c>
      <x:c r="Y1320" s="11" t="str">
        <x:v>https://kvarter-living.sk/byt/B.4.5</x:v>
      </x:c>
      <x:c r="Z1320" s="11" t="n">
        <x:v>46249.4134212037</x:v>
      </x:c>
      <x:c r="AA1320" s="11" t="n">
        <x:v>46254.51251577547</x:v>
      </x:c>
      <x:c r="AB1320" s="11" t="n">
        <x:v>46254.51251577547</x:v>
      </x:c>
      <x:c r="AC1320" t="str">
        <x:v>kvarter</x:v>
      </x:c>
    </x:row>
    <x:row r="1321" ht="22" customHeight="1">
      <x:c r="A1321" t="str">
        <x:v>Kvarter</x:v>
      </x:c>
      <x:c r="B1321" t="str">
        <x:v>B.4.6</x:v>
      </x:c>
      <x:c r="C1321" t="str">
        <x:v>sold</x:v>
      </x:c>
      <x:c r="D1321" t="str">
        <x:v>present</x:v>
      </x:c>
      <x:c r="E1321" t="str">
        <x:v>baseline</x:v>
      </x:c>
      <x:c r="F1321" s="11" t="n">
        <x:v>46249.4134212037</x:v>
      </x:c>
      <x:c r="G1321" t="str"/>
      <x:c r="H1321" s="12" t="n">
        <x:v>2</x:v>
      </x:c>
      <x:c r="I1321" s="13" t="n">
        <x:v>4</x:v>
      </x:c>
      <x:c r="J1321" t="str">
        <x:v>B</x:v>
      </x:c>
      <x:c r="K1321" s="14"/>
      <x:c r="L1321" s="14"/>
      <x:c r="M1321" s="14"/>
      <x:c r="N1321" s="14"/>
      <x:c r="O1321" s="14"/>
      <x:c r="P1321" s="14"/>
      <x:c r="Q1321" s="14" t="n">
        <x:v>48</x:v>
      </x:c>
      <x:c r="R1321" s="15"/>
      <x:c r="S1321" s="15"/>
      <x:c r="T1321" s="15"/>
      <x:c r="U1321" s="16"/>
      <x:c r="V1321" t="str">
        <x:v>Immocap</x:v>
      </x:c>
      <x:c r="W1321" t="str">
        <x:v>Ružinov</x:v>
      </x:c>
      <x:c r="X1321" s="11" t="str">
        <x:v>Predaný P</x:v>
      </x:c>
      <x:c r="Y1321" s="11" t="str">
        <x:v>https://kvarter-living.sk/byt/B.4.6</x:v>
      </x:c>
      <x:c r="Z1321" s="11" t="n">
        <x:v>46249.4134212037</x:v>
      </x:c>
      <x:c r="AA1321" s="11" t="n">
        <x:v>46254.51251577547</x:v>
      </x:c>
      <x:c r="AB1321" s="11" t="n">
        <x:v>46254.51251577547</x:v>
      </x:c>
      <x:c r="AC1321" t="str">
        <x:v>kvarter</x:v>
      </x:c>
    </x:row>
    <x:row r="1322" ht="22" customHeight="1">
      <x:c r="A1322" t="str">
        <x:v>Kvarter</x:v>
      </x:c>
      <x:c r="B1322" t="str">
        <x:v>B.4.7</x:v>
      </x:c>
      <x:c r="C1322" t="str">
        <x:v>sold</x:v>
      </x:c>
      <x:c r="D1322" t="str">
        <x:v>present</x:v>
      </x:c>
      <x:c r="E1322" t="str">
        <x:v>baseline</x:v>
      </x:c>
      <x:c r="F1322" s="11" t="n">
        <x:v>46249.4134212037</x:v>
      </x:c>
      <x:c r="G1322" t="str"/>
      <x:c r="H1322" s="12" t="n">
        <x:v>4</x:v>
      </x:c>
      <x:c r="I1322" s="13" t="n">
        <x:v>4</x:v>
      </x:c>
      <x:c r="J1322" t="str">
        <x:v>B</x:v>
      </x:c>
      <x:c r="K1322" s="14"/>
      <x:c r="L1322" s="14"/>
      <x:c r="M1322" s="14"/>
      <x:c r="N1322" s="14"/>
      <x:c r="O1322" s="14"/>
      <x:c r="P1322" s="14"/>
      <x:c r="Q1322" s="14" t="n">
        <x:v>117</x:v>
      </x:c>
      <x:c r="R1322" s="15"/>
      <x:c r="S1322" s="15"/>
      <x:c r="T1322" s="15"/>
      <x:c r="U1322" s="16"/>
      <x:c r="V1322" t="str">
        <x:v>Immocap</x:v>
      </x:c>
      <x:c r="W1322" t="str">
        <x:v>Ružinov</x:v>
      </x:c>
      <x:c r="X1322" s="11" t="str">
        <x:v>Predaný P</x:v>
      </x:c>
      <x:c r="Y1322" s="11" t="str">
        <x:v>https://kvarter-living.sk/byt/B.4.7</x:v>
      </x:c>
      <x:c r="Z1322" s="11" t="n">
        <x:v>46249.4134212037</x:v>
      </x:c>
      <x:c r="AA1322" s="11" t="n">
        <x:v>46254.51251577547</x:v>
      </x:c>
      <x:c r="AB1322" s="11" t="n">
        <x:v>46254.51251577547</x:v>
      </x:c>
      <x:c r="AC1322" t="str">
        <x:v>kvarter</x:v>
      </x:c>
    </x:row>
    <x:row r="1323" ht="22" customHeight="1">
      <x:c r="A1323" t="str">
        <x:v>Kvarter</x:v>
      </x:c>
      <x:c r="B1323" t="str">
        <x:v>B.4.8</x:v>
      </x:c>
      <x:c r="C1323" t="str">
        <x:v>sold</x:v>
      </x:c>
      <x:c r="D1323" t="str">
        <x:v>present</x:v>
      </x:c>
      <x:c r="E1323" t="str">
        <x:v>baseline</x:v>
      </x:c>
      <x:c r="F1323" s="11" t="n">
        <x:v>46249.4134212037</x:v>
      </x:c>
      <x:c r="G1323" t="str"/>
      <x:c r="H1323" s="12" t="n">
        <x:v>1</x:v>
      </x:c>
      <x:c r="I1323" s="13" t="n">
        <x:v>4</x:v>
      </x:c>
      <x:c r="J1323" t="str">
        <x:v>B</x:v>
      </x:c>
      <x:c r="K1323" s="14"/>
      <x:c r="L1323" s="14"/>
      <x:c r="M1323" s="14"/>
      <x:c r="N1323" s="14"/>
      <x:c r="O1323" s="14"/>
      <x:c r="P1323" s="14"/>
      <x:c r="Q1323" s="14" t="n">
        <x:v>36</x:v>
      </x:c>
      <x:c r="R1323" s="15"/>
      <x:c r="S1323" s="15"/>
      <x:c r="T1323" s="15"/>
      <x:c r="U1323" s="16"/>
      <x:c r="V1323" t="str">
        <x:v>Immocap</x:v>
      </x:c>
      <x:c r="W1323" t="str">
        <x:v>Ružinov</x:v>
      </x:c>
      <x:c r="X1323" s="11" t="str">
        <x:v>Predaný P</x:v>
      </x:c>
      <x:c r="Y1323" s="11" t="str">
        <x:v>https://kvarter-living.sk/byt/B.4.8</x:v>
      </x:c>
      <x:c r="Z1323" s="11" t="n">
        <x:v>46249.4134212037</x:v>
      </x:c>
      <x:c r="AA1323" s="11" t="n">
        <x:v>46254.51251577547</x:v>
      </x:c>
      <x:c r="AB1323" s="11" t="n">
        <x:v>46254.51251577547</x:v>
      </x:c>
      <x:c r="AC1323" t="str">
        <x:v>kvarter</x:v>
      </x:c>
    </x:row>
    <x:row r="1324" ht="22" customHeight="1">
      <x:c r="A1324" t="str">
        <x:v>Kvarter</x:v>
      </x:c>
      <x:c r="B1324" t="str">
        <x:v>B.5.1</x:v>
      </x:c>
      <x:c r="C1324" t="str">
        <x:v>available</x:v>
      </x:c>
      <x:c r="D1324" t="str">
        <x:v>present</x:v>
      </x:c>
      <x:c r="E1324" t="str">
        <x:v>baseline</x:v>
      </x:c>
      <x:c r="F1324" s="11" t="n">
        <x:v>46249.4134212037</x:v>
      </x:c>
      <x:c r="G1324" t="str"/>
      <x:c r="H1324" s="12" t="n">
        <x:v>4</x:v>
      </x:c>
      <x:c r="I1324" s="13" t="n">
        <x:v>5</x:v>
      </x:c>
      <x:c r="J1324" t="str">
        <x:v>B</x:v>
      </x:c>
      <x:c r="K1324" s="14"/>
      <x:c r="L1324" s="14"/>
      <x:c r="M1324" s="14"/>
      <x:c r="N1324" s="14"/>
      <x:c r="O1324" s="14"/>
      <x:c r="P1324" s="14"/>
      <x:c r="Q1324" s="14" t="n">
        <x:v>316</x:v>
      </x:c>
      <x:c r="R1324" s="15"/>
      <x:c r="S1324" s="15"/>
      <x:c r="T1324" s="15"/>
      <x:c r="U1324" s="16"/>
      <x:c r="V1324" t="str">
        <x:v>Immocap</x:v>
      </x:c>
      <x:c r="W1324" t="str">
        <x:v>Ružinov</x:v>
      </x:c>
      <x:c r="X1324" s="11" t="str">
        <x:v>Voľný V</x:v>
      </x:c>
      <x:c r="Y1324" s="11" t="str">
        <x:v>https://kvarter-living.sk/byt/B.5.1</x:v>
      </x:c>
      <x:c r="Z1324" s="11" t="n">
        <x:v>46249.4134212037</x:v>
      </x:c>
      <x:c r="AA1324" s="11" t="n">
        <x:v>46254.51251577547</x:v>
      </x:c>
      <x:c r="AB1324" s="11" t="n">
        <x:v>46254.51251577547</x:v>
      </x:c>
      <x:c r="AC1324" t="str">
        <x:v>kvarter</x:v>
      </x:c>
    </x:row>
    <x:row r="1325" ht="22" customHeight="1">
      <x:c r="A1325" t="str">
        <x:v>Kvarter</x:v>
      </x:c>
      <x:c r="B1325" t="str">
        <x:v>B.5.2</x:v>
      </x:c>
      <x:c r="C1325" t="str">
        <x:v>available</x:v>
      </x:c>
      <x:c r="D1325" t="str">
        <x:v>present</x:v>
      </x:c>
      <x:c r="E1325" t="str">
        <x:v>baseline</x:v>
      </x:c>
      <x:c r="F1325" s="11" t="n">
        <x:v>46249.4134212037</x:v>
      </x:c>
      <x:c r="G1325" t="str"/>
      <x:c r="H1325" s="12" t="n">
        <x:v>2</x:v>
      </x:c>
      <x:c r="I1325" s="13" t="n">
        <x:v>5</x:v>
      </x:c>
      <x:c r="J1325" t="str">
        <x:v>B</x:v>
      </x:c>
      <x:c r="K1325" s="14"/>
      <x:c r="L1325" s="14"/>
      <x:c r="M1325" s="14"/>
      <x:c r="N1325" s="14"/>
      <x:c r="O1325" s="14"/>
      <x:c r="P1325" s="14"/>
      <x:c r="Q1325" s="14" t="n">
        <x:v>57</x:v>
      </x:c>
      <x:c r="R1325" s="15" t="n">
        <x:v>345400</x:v>
      </x:c>
      <x:c r="S1325" s="15" t="n">
        <x:v>345400</x:v>
      </x:c>
      <x:c r="T1325" s="15"/>
      <x:c r="U1325" s="16"/>
      <x:c r="V1325" t="str">
        <x:v>Immocap</x:v>
      </x:c>
      <x:c r="W1325" t="str">
        <x:v>Ružinov</x:v>
      </x:c>
      <x:c r="X1325" s="11" t="str">
        <x:v>Voľný V</x:v>
      </x:c>
      <x:c r="Y1325" s="11" t="str">
        <x:v>https://kvarter-living.sk/byt/B.5.2</x:v>
      </x:c>
      <x:c r="Z1325" s="11" t="n">
        <x:v>46249.4134212037</x:v>
      </x:c>
      <x:c r="AA1325" s="11" t="n">
        <x:v>46254.51251577547</x:v>
      </x:c>
      <x:c r="AB1325" s="11" t="n">
        <x:v>46254.51251577547</x:v>
      </x:c>
      <x:c r="AC1325" t="str">
        <x:v>kvarter</x:v>
      </x:c>
    </x:row>
    <x:row r="1326" ht="22" customHeight="1">
      <x:c r="A1326" t="str">
        <x:v>Kvarter</x:v>
      </x:c>
      <x:c r="B1326" t="str">
        <x:v>B.5.3</x:v>
      </x:c>
      <x:c r="C1326" t="str">
        <x:v>sold</x:v>
      </x:c>
      <x:c r="D1326" t="str">
        <x:v>present</x:v>
      </x:c>
      <x:c r="E1326" t="str">
        <x:v>baseline</x:v>
      </x:c>
      <x:c r="F1326" s="11" t="n">
        <x:v>46249.4134212037</x:v>
      </x:c>
      <x:c r="G1326" t="str"/>
      <x:c r="H1326" s="12" t="n">
        <x:v>2</x:v>
      </x:c>
      <x:c r="I1326" s="13" t="n">
        <x:v>5</x:v>
      </x:c>
      <x:c r="J1326" t="str">
        <x:v>B</x:v>
      </x:c>
      <x:c r="K1326" s="14"/>
      <x:c r="L1326" s="14"/>
      <x:c r="M1326" s="14"/>
      <x:c r="N1326" s="14"/>
      <x:c r="O1326" s="14"/>
      <x:c r="P1326" s="14"/>
      <x:c r="Q1326" s="14" t="n">
        <x:v>63</x:v>
      </x:c>
      <x:c r="R1326" s="15"/>
      <x:c r="S1326" s="15"/>
      <x:c r="T1326" s="15"/>
      <x:c r="U1326" s="16"/>
      <x:c r="V1326" t="str">
        <x:v>Immocap</x:v>
      </x:c>
      <x:c r="W1326" t="str">
        <x:v>Ružinov</x:v>
      </x:c>
      <x:c r="X1326" s="11" t="str">
        <x:v>Predaný P</x:v>
      </x:c>
      <x:c r="Y1326" s="11" t="str">
        <x:v>https://kvarter-living.sk/byt/B.5.3</x:v>
      </x:c>
      <x:c r="Z1326" s="11" t="n">
        <x:v>46249.4134212037</x:v>
      </x:c>
      <x:c r="AA1326" s="11" t="n">
        <x:v>46254.51251577547</x:v>
      </x:c>
      <x:c r="AB1326" s="11" t="n">
        <x:v>46254.51251577547</x:v>
      </x:c>
      <x:c r="AC1326" t="str">
        <x:v>kvarter</x:v>
      </x:c>
    </x:row>
    <x:row r="1327" ht="22" customHeight="1">
      <x:c r="A1327" t="str">
        <x:v>Kvarter</x:v>
      </x:c>
      <x:c r="B1327" t="str">
        <x:v>B.5.4</x:v>
      </x:c>
      <x:c r="C1327" t="str">
        <x:v>sold</x:v>
      </x:c>
      <x:c r="D1327" t="str">
        <x:v>present</x:v>
      </x:c>
      <x:c r="E1327" t="str">
        <x:v>baseline</x:v>
      </x:c>
      <x:c r="F1327" s="11" t="n">
        <x:v>46249.4134212037</x:v>
      </x:c>
      <x:c r="G1327" t="str"/>
      <x:c r="H1327" s="12" t="n">
        <x:v>2</x:v>
      </x:c>
      <x:c r="I1327" s="13" t="n">
        <x:v>5</x:v>
      </x:c>
      <x:c r="J1327" t="str">
        <x:v>B</x:v>
      </x:c>
      <x:c r="K1327" s="14"/>
      <x:c r="L1327" s="14"/>
      <x:c r="M1327" s="14"/>
      <x:c r="N1327" s="14"/>
      <x:c r="O1327" s="14"/>
      <x:c r="P1327" s="14"/>
      <x:c r="Q1327" s="14" t="n">
        <x:v>63</x:v>
      </x:c>
      <x:c r="R1327" s="15"/>
      <x:c r="S1327" s="15"/>
      <x:c r="T1327" s="15"/>
      <x:c r="U1327" s="16"/>
      <x:c r="V1327" t="str">
        <x:v>Immocap</x:v>
      </x:c>
      <x:c r="W1327" t="str">
        <x:v>Ružinov</x:v>
      </x:c>
      <x:c r="X1327" s="11" t="str">
        <x:v>Predaný P</x:v>
      </x:c>
      <x:c r="Y1327" s="11" t="str">
        <x:v>https://kvarter-living.sk/byt/B.5.4</x:v>
      </x:c>
      <x:c r="Z1327" s="11" t="n">
        <x:v>46249.4134212037</x:v>
      </x:c>
      <x:c r="AA1327" s="11" t="n">
        <x:v>46254.51251577547</x:v>
      </x:c>
      <x:c r="AB1327" s="11" t="n">
        <x:v>46254.51251577547</x:v>
      </x:c>
      <x:c r="AC1327" t="str">
        <x:v>kvarter</x:v>
      </x:c>
    </x:row>
    <x:row r="1328" ht="22" customHeight="1">
      <x:c r="A1328" t="str">
        <x:v>Kvarter</x:v>
      </x:c>
      <x:c r="B1328" t="str">
        <x:v>B.5.5</x:v>
      </x:c>
      <x:c r="C1328" t="str">
        <x:v>sold</x:v>
      </x:c>
      <x:c r="D1328" t="str">
        <x:v>present</x:v>
      </x:c>
      <x:c r="E1328" t="str">
        <x:v>baseline</x:v>
      </x:c>
      <x:c r="F1328" s="11" t="n">
        <x:v>46249.4134212037</x:v>
      </x:c>
      <x:c r="G1328" t="str"/>
      <x:c r="H1328" s="12" t="n">
        <x:v>2</x:v>
      </x:c>
      <x:c r="I1328" s="13" t="n">
        <x:v>5</x:v>
      </x:c>
      <x:c r="J1328" t="str">
        <x:v>B</x:v>
      </x:c>
      <x:c r="K1328" s="14"/>
      <x:c r="L1328" s="14"/>
      <x:c r="M1328" s="14"/>
      <x:c r="N1328" s="14"/>
      <x:c r="O1328" s="14"/>
      <x:c r="P1328" s="14"/>
      <x:c r="Q1328" s="14" t="n">
        <x:v>57</x:v>
      </x:c>
      <x:c r="R1328" s="15"/>
      <x:c r="S1328" s="15"/>
      <x:c r="T1328" s="15"/>
      <x:c r="U1328" s="16"/>
      <x:c r="V1328" t="str">
        <x:v>Immocap</x:v>
      </x:c>
      <x:c r="W1328" t="str">
        <x:v>Ružinov</x:v>
      </x:c>
      <x:c r="X1328" s="11" t="str">
        <x:v>Predaný P</x:v>
      </x:c>
      <x:c r="Y1328" s="11" t="str">
        <x:v>https://kvarter-living.sk/byt/B.5.5</x:v>
      </x:c>
      <x:c r="Z1328" s="11" t="n">
        <x:v>46249.4134212037</x:v>
      </x:c>
      <x:c r="AA1328" s="11" t="n">
        <x:v>46254.51251577547</x:v>
      </x:c>
      <x:c r="AB1328" s="11" t="n">
        <x:v>46254.51251577547</x:v>
      </x:c>
      <x:c r="AC1328" t="str">
        <x:v>kvarter</x:v>
      </x:c>
    </x:row>
    <x:row r="1329" ht="22" customHeight="1">
      <x:c r="A1329" t="str">
        <x:v>Kvarter</x:v>
      </x:c>
      <x:c r="B1329" t="str">
        <x:v>B.5.6</x:v>
      </x:c>
      <x:c r="C1329" t="str">
        <x:v>available</x:v>
      </x:c>
      <x:c r="D1329" t="str">
        <x:v>present</x:v>
      </x:c>
      <x:c r="E1329" t="str">
        <x:v>baseline</x:v>
      </x:c>
      <x:c r="F1329" s="11" t="n">
        <x:v>46249.4134212037</x:v>
      </x:c>
      <x:c r="G1329" t="str"/>
      <x:c r="H1329" s="12" t="n">
        <x:v>4</x:v>
      </x:c>
      <x:c r="I1329" s="13" t="n">
        <x:v>5</x:v>
      </x:c>
      <x:c r="J1329" t="str">
        <x:v>B</x:v>
      </x:c>
      <x:c r="K1329" s="14"/>
      <x:c r="L1329" s="14"/>
      <x:c r="M1329" s="14"/>
      <x:c r="N1329" s="14"/>
      <x:c r="O1329" s="14"/>
      <x:c r="P1329" s="14"/>
      <x:c r="Q1329" s="14" t="n">
        <x:v>316</x:v>
      </x:c>
      <x:c r="R1329" s="15"/>
      <x:c r="S1329" s="15"/>
      <x:c r="T1329" s="15"/>
      <x:c r="U1329" s="16"/>
      <x:c r="V1329" t="str">
        <x:v>Immocap</x:v>
      </x:c>
      <x:c r="W1329" t="str">
        <x:v>Ružinov</x:v>
      </x:c>
      <x:c r="X1329" s="11" t="str">
        <x:v>Voľný V</x:v>
      </x:c>
      <x:c r="Y1329" s="11" t="str">
        <x:v>https://kvarter-living.sk/byt/B.5.6</x:v>
      </x:c>
      <x:c r="Z1329" s="11" t="n">
        <x:v>46249.4134212037</x:v>
      </x:c>
      <x:c r="AA1329" s="11" t="n">
        <x:v>46254.51251577547</x:v>
      </x:c>
      <x:c r="AB1329" s="11" t="n">
        <x:v>46254.51251577547</x:v>
      </x:c>
      <x:c r="AC1329" t="str">
        <x:v>kvarter</x:v>
      </x:c>
    </x:row>
    <x:row r="1330" ht="22" customHeight="1">
      <x:c r="A1330" t="str">
        <x:v>Milrose</x:v>
      </x:c>
      <x:c r="B1330" t="str">
        <x:v>A2.01</x:v>
      </x:c>
      <x:c r="C1330" t="str">
        <x:v>available</x:v>
      </x:c>
      <x:c r="D1330" t="str">
        <x:v>present</x:v>
      </x:c>
      <x:c r="E1330" t="str">
        <x:v>baseline</x:v>
      </x:c>
      <x:c r="F1330" s="11" t="n">
        <x:v>46252.68496519676</x:v>
      </x:c>
      <x:c r="G1330" t="str">
        <x:v>byt</x:v>
      </x:c>
      <x:c r="H1330" s="12" t="n">
        <x:v>2</x:v>
      </x:c>
      <x:c r="I1330" s="13" t="n">
        <x:v>2</x:v>
      </x:c>
      <x:c r="J1330" t="str">
        <x:v>A</x:v>
      </x:c>
      <x:c r="K1330" s="14"/>
      <x:c r="L1330" s="14"/>
      <x:c r="M1330" s="14"/>
      <x:c r="N1330" s="14"/>
      <x:c r="O1330" s="14"/>
      <x:c r="P1330" s="14"/>
      <x:c r="Q1330" s="14" t="n">
        <x:v>50.26</x:v>
      </x:c>
      <x:c r="R1330" s="15" t="n">
        <x:v>297500</x:v>
      </x:c>
      <x:c r="S1330" s="15" t="n">
        <x:v>297500</x:v>
      </x:c>
      <x:c r="T1330" s="15"/>
      <x:c r="U1330" s="16"/>
      <x:c r="V1330" t="str">
        <x:v>INTRADE Group</x:v>
      </x:c>
      <x:c r="W1330" t="str">
        <x:v>Ružinov</x:v>
      </x:c>
      <x:c r="X1330" s="11" t="str">
        <x:v>Voľný</x:v>
      </x:c>
      <x:c r="Y1330" s="11" t="str">
        <x:v>https://milrose.sk/byt/byt-a2-01/</x:v>
      </x:c>
      <x:c r="Z1330" s="11" t="n">
        <x:v>46252.68496519676</x:v>
      </x:c>
      <x:c r="AA1330" s="11" t="n">
        <x:v>46254.51251577547</x:v>
      </x:c>
      <x:c r="AB1330" s="11" t="n">
        <x:v>46254.51251577547</x:v>
      </x:c>
      <x:c r="AC1330" t="str">
        <x:v>milrose</x:v>
      </x:c>
    </x:row>
    <x:row r="1331" ht="22" customHeight="1">
      <x:c r="A1331" t="str">
        <x:v>Milrose</x:v>
      </x:c>
      <x:c r="B1331" t="str">
        <x:v>A2.02</x:v>
      </x:c>
      <x:c r="C1331" t="str">
        <x:v>pre_reserved</x:v>
      </x:c>
      <x:c r="D1331" t="str">
        <x:v>present</x:v>
      </x:c>
      <x:c r="E1331" t="str">
        <x:v>baseline</x:v>
      </x:c>
      <x:c r="F1331" s="11" t="n">
        <x:v>46252.68496519676</x:v>
      </x:c>
      <x:c r="G1331" t="str">
        <x:v>byt</x:v>
      </x:c>
      <x:c r="H1331" s="12" t="n">
        <x:v>1</x:v>
      </x:c>
      <x:c r="I1331" s="13" t="n">
        <x:v>2</x:v>
      </x:c>
      <x:c r="J1331" t="str">
        <x:v>A</x:v>
      </x:c>
      <x:c r="K1331" s="14"/>
      <x:c r="L1331" s="14"/>
      <x:c r="M1331" s="14"/>
      <x:c r="N1331" s="14"/>
      <x:c r="O1331" s="14"/>
      <x:c r="P1331" s="14"/>
      <x:c r="Q1331" s="14" t="n">
        <x:v>35</x:v>
      </x:c>
      <x:c r="R1331" s="15" t="n">
        <x:v>230800</x:v>
      </x:c>
      <x:c r="S1331" s="15" t="n">
        <x:v>230800</x:v>
      </x:c>
      <x:c r="T1331" s="15"/>
      <x:c r="U1331" s="16"/>
      <x:c r="V1331" t="str">
        <x:v>INTRADE Group</x:v>
      </x:c>
      <x:c r="W1331" t="str">
        <x:v>Ružinov</x:v>
      </x:c>
      <x:c r="X1331" s="11" t="str">
        <x:v>Predbežne rezervovaný</x:v>
      </x:c>
      <x:c r="Y1331" s="11" t="str">
        <x:v>https://milrose.sk/byt/byt-a2-02/</x:v>
      </x:c>
      <x:c r="Z1331" s="11" t="n">
        <x:v>46252.68496519676</x:v>
      </x:c>
      <x:c r="AA1331" s="11" t="n">
        <x:v>46254.51251577547</x:v>
      </x:c>
      <x:c r="AB1331" s="11" t="n">
        <x:v>46254.51251577547</x:v>
      </x:c>
      <x:c r="AC1331" t="str">
        <x:v>milrose</x:v>
      </x:c>
    </x:row>
    <x:row r="1332" ht="22" customHeight="1">
      <x:c r="A1332" t="str">
        <x:v>Milrose</x:v>
      </x:c>
      <x:c r="B1332" t="str">
        <x:v>A2.03</x:v>
      </x:c>
      <x:c r="C1332" t="str">
        <x:v>available</x:v>
      </x:c>
      <x:c r="D1332" t="str">
        <x:v>present</x:v>
      </x:c>
      <x:c r="E1332" t="str">
        <x:v>baseline</x:v>
      </x:c>
      <x:c r="F1332" s="11" t="n">
        <x:v>46252.68496519676</x:v>
      </x:c>
      <x:c r="G1332" t="str">
        <x:v>byt</x:v>
      </x:c>
      <x:c r="H1332" s="12" t="n">
        <x:v>2</x:v>
      </x:c>
      <x:c r="I1332" s="13" t="n">
        <x:v>2</x:v>
      </x:c>
      <x:c r="J1332" t="str">
        <x:v>A</x:v>
      </x:c>
      <x:c r="K1332" s="14"/>
      <x:c r="L1332" s="14"/>
      <x:c r="M1332" s="14"/>
      <x:c r="N1332" s="14"/>
      <x:c r="O1332" s="14"/>
      <x:c r="P1332" s="14"/>
      <x:c r="Q1332" s="14" t="n">
        <x:v>49.7</x:v>
      </x:c>
      <x:c r="R1332" s="15" t="n">
        <x:v>303400</x:v>
      </x:c>
      <x:c r="S1332" s="15" t="n">
        <x:v>303400</x:v>
      </x:c>
      <x:c r="T1332" s="15"/>
      <x:c r="U1332" s="16"/>
      <x:c r="V1332" t="str">
        <x:v>INTRADE Group</x:v>
      </x:c>
      <x:c r="W1332" t="str">
        <x:v>Ružinov</x:v>
      </x:c>
      <x:c r="X1332" s="11" t="str">
        <x:v>Voľný</x:v>
      </x:c>
      <x:c r="Y1332" s="11" t="str">
        <x:v>https://milrose.sk/byt/byt-a2-03/</x:v>
      </x:c>
      <x:c r="Z1332" s="11" t="n">
        <x:v>46252.68496519676</x:v>
      </x:c>
      <x:c r="AA1332" s="11" t="n">
        <x:v>46254.51251577547</x:v>
      </x:c>
      <x:c r="AB1332" s="11" t="n">
        <x:v>46254.51251577547</x:v>
      </x:c>
      <x:c r="AC1332" t="str">
        <x:v>milrose</x:v>
      </x:c>
    </x:row>
    <x:row r="1333" ht="22" customHeight="1">
      <x:c r="A1333" t="str">
        <x:v>Milrose</x:v>
      </x:c>
      <x:c r="B1333" t="str">
        <x:v>A2.04</x:v>
      </x:c>
      <x:c r="C1333" t="str">
        <x:v>available</x:v>
      </x:c>
      <x:c r="D1333" t="str">
        <x:v>present</x:v>
      </x:c>
      <x:c r="E1333" t="str">
        <x:v>baseline</x:v>
      </x:c>
      <x:c r="F1333" s="11" t="n">
        <x:v>46252.68496519676</x:v>
      </x:c>
      <x:c r="G1333" t="str">
        <x:v>byt</x:v>
      </x:c>
      <x:c r="H1333" s="12" t="n">
        <x:v>3</x:v>
      </x:c>
      <x:c r="I1333" s="13" t="n">
        <x:v>2</x:v>
      </x:c>
      <x:c r="J1333" t="str">
        <x:v>A</x:v>
      </x:c>
      <x:c r="K1333" s="14"/>
      <x:c r="L1333" s="14"/>
      <x:c r="M1333" s="14"/>
      <x:c r="N1333" s="14"/>
      <x:c r="O1333" s="14"/>
      <x:c r="P1333" s="14"/>
      <x:c r="Q1333" s="14" t="n">
        <x:v>69.67</x:v>
      </x:c>
      <x:c r="R1333" s="15" t="n">
        <x:v>403700</x:v>
      </x:c>
      <x:c r="S1333" s="15" t="n">
        <x:v>403700</x:v>
      </x:c>
      <x:c r="T1333" s="15"/>
      <x:c r="U1333" s="16"/>
      <x:c r="V1333" t="str">
        <x:v>INTRADE Group</x:v>
      </x:c>
      <x:c r="W1333" t="str">
        <x:v>Ružinov</x:v>
      </x:c>
      <x:c r="X1333" s="11" t="str">
        <x:v>Voľný</x:v>
      </x:c>
      <x:c r="Y1333" s="11" t="str">
        <x:v>https://milrose.sk/byt/byt-a2-04/</x:v>
      </x:c>
      <x:c r="Z1333" s="11" t="n">
        <x:v>46252.68496519676</x:v>
      </x:c>
      <x:c r="AA1333" s="11" t="n">
        <x:v>46254.51251577547</x:v>
      </x:c>
      <x:c r="AB1333" s="11" t="n">
        <x:v>46254.51251577547</x:v>
      </x:c>
      <x:c r="AC1333" t="str">
        <x:v>milrose</x:v>
      </x:c>
    </x:row>
    <x:row r="1334" ht="22" customHeight="1">
      <x:c r="A1334" t="str">
        <x:v>Milrose</x:v>
      </x:c>
      <x:c r="B1334" t="str">
        <x:v>A2.05</x:v>
      </x:c>
      <x:c r="C1334" t="str">
        <x:v>pre_reserved</x:v>
      </x:c>
      <x:c r="D1334" t="str">
        <x:v>present</x:v>
      </x:c>
      <x:c r="E1334" t="str">
        <x:v>baseline</x:v>
      </x:c>
      <x:c r="F1334" s="11" t="n">
        <x:v>46252.68496519676</x:v>
      </x:c>
      <x:c r="G1334" t="str">
        <x:v>byt</x:v>
      </x:c>
      <x:c r="H1334" s="12" t="n">
        <x:v>2</x:v>
      </x:c>
      <x:c r="I1334" s="13" t="n">
        <x:v>2</x:v>
      </x:c>
      <x:c r="J1334" t="str">
        <x:v>A</x:v>
      </x:c>
      <x:c r="K1334" s="14"/>
      <x:c r="L1334" s="14"/>
      <x:c r="M1334" s="14"/>
      <x:c r="N1334" s="14"/>
      <x:c r="O1334" s="14"/>
      <x:c r="P1334" s="14"/>
      <x:c r="Q1334" s="14" t="n">
        <x:v>47.18</x:v>
      </x:c>
      <x:c r="R1334" s="15" t="n">
        <x:v>292600</x:v>
      </x:c>
      <x:c r="S1334" s="15" t="n">
        <x:v>292600</x:v>
      </x:c>
      <x:c r="T1334" s="15"/>
      <x:c r="U1334" s="16"/>
      <x:c r="V1334" t="str">
        <x:v>INTRADE Group</x:v>
      </x:c>
      <x:c r="W1334" t="str">
        <x:v>Ružinov</x:v>
      </x:c>
      <x:c r="X1334" s="11" t="str">
        <x:v>Predbežne rezervovaný</x:v>
      </x:c>
      <x:c r="Y1334" s="11" t="str">
        <x:v>https://milrose.sk/byt/byt-a2-05/</x:v>
      </x:c>
      <x:c r="Z1334" s="11" t="n">
        <x:v>46252.68496519676</x:v>
      </x:c>
      <x:c r="AA1334" s="11" t="n">
        <x:v>46254.51251577547</x:v>
      </x:c>
      <x:c r="AB1334" s="11" t="n">
        <x:v>46254.51251577547</x:v>
      </x:c>
      <x:c r="AC1334" t="str">
        <x:v>milrose</x:v>
      </x:c>
    </x:row>
    <x:row r="1335" ht="22" customHeight="1">
      <x:c r="A1335" t="str">
        <x:v>Milrose</x:v>
      </x:c>
      <x:c r="B1335" t="str">
        <x:v>A2.06</x:v>
      </x:c>
      <x:c r="C1335" t="str">
        <x:v>sold</x:v>
      </x:c>
      <x:c r="D1335" t="str">
        <x:v>present</x:v>
      </x:c>
      <x:c r="E1335" t="str">
        <x:v>baseline</x:v>
      </x:c>
      <x:c r="F1335" s="11" t="n">
        <x:v>46252.68496519676</x:v>
      </x:c>
      <x:c r="G1335" t="str">
        <x:v>byt</x:v>
      </x:c>
      <x:c r="H1335" s="12" t="n">
        <x:v>1.5</x:v>
      </x:c>
      <x:c r="I1335" s="13" t="n">
        <x:v>2</x:v>
      </x:c>
      <x:c r="J1335" t="str">
        <x:v>A</x:v>
      </x:c>
      <x:c r="K1335" s="14"/>
      <x:c r="L1335" s="14"/>
      <x:c r="M1335" s="14"/>
      <x:c r="N1335" s="14"/>
      <x:c r="O1335" s="14"/>
      <x:c r="P1335" s="14"/>
      <x:c r="Q1335" s="14" t="n">
        <x:v>38.15</x:v>
      </x:c>
      <x:c r="R1335" s="15" t="n">
        <x:v>237200</x:v>
      </x:c>
      <x:c r="S1335" s="15" t="n">
        <x:v>237200</x:v>
      </x:c>
      <x:c r="T1335" s="15"/>
      <x:c r="U1335" s="16"/>
      <x:c r="V1335" t="str">
        <x:v>INTRADE Group</x:v>
      </x:c>
      <x:c r="W1335" t="str">
        <x:v>Ružinov</x:v>
      </x:c>
      <x:c r="X1335" s="11" t="str">
        <x:v>Predaný</x:v>
      </x:c>
      <x:c r="Y1335" s="11" t="str">
        <x:v>https://milrose.sk/byt/byt-a2-06/</x:v>
      </x:c>
      <x:c r="Z1335" s="11" t="n">
        <x:v>46252.68496519676</x:v>
      </x:c>
      <x:c r="AA1335" s="11" t="n">
        <x:v>46254.51251577547</x:v>
      </x:c>
      <x:c r="AB1335" s="11" t="n">
        <x:v>46254.51251577547</x:v>
      </x:c>
      <x:c r="AC1335" t="str">
        <x:v>milrose</x:v>
      </x:c>
    </x:row>
    <x:row r="1336" ht="22" customHeight="1">
      <x:c r="A1336" t="str">
        <x:v>Milrose</x:v>
      </x:c>
      <x:c r="B1336" t="str">
        <x:v>A3.01</x:v>
      </x:c>
      <x:c r="C1336" t="str">
        <x:v>pre_reserved</x:v>
      </x:c>
      <x:c r="D1336" t="str">
        <x:v>present</x:v>
      </x:c>
      <x:c r="E1336" t="str">
        <x:v>baseline</x:v>
      </x:c>
      <x:c r="F1336" s="11" t="n">
        <x:v>46252.68496519676</x:v>
      </x:c>
      <x:c r="G1336" t="str">
        <x:v>byt</x:v>
      </x:c>
      <x:c r="H1336" s="12" t="n">
        <x:v>2</x:v>
      </x:c>
      <x:c r="I1336" s="13" t="n">
        <x:v>3</x:v>
      </x:c>
      <x:c r="J1336" t="str">
        <x:v>A</x:v>
      </x:c>
      <x:c r="K1336" s="14"/>
      <x:c r="L1336" s="14"/>
      <x:c r="M1336" s="14"/>
      <x:c r="N1336" s="14"/>
      <x:c r="O1336" s="14"/>
      <x:c r="P1336" s="14"/>
      <x:c r="Q1336" s="14" t="n">
        <x:v>51.26</x:v>
      </x:c>
      <x:c r="R1336" s="15" t="n">
        <x:v>308000</x:v>
      </x:c>
      <x:c r="S1336" s="15" t="n">
        <x:v>308000</x:v>
      </x:c>
      <x:c r="T1336" s="15"/>
      <x:c r="U1336" s="16"/>
      <x:c r="V1336" t="str">
        <x:v>INTRADE Group</x:v>
      </x:c>
      <x:c r="W1336" t="str">
        <x:v>Ružinov</x:v>
      </x:c>
      <x:c r="X1336" s="11" t="str">
        <x:v>Predbežne rezervovaný</x:v>
      </x:c>
      <x:c r="Y1336" s="11" t="str">
        <x:v>https://milrose.sk/byt/byt-a3-01/</x:v>
      </x:c>
      <x:c r="Z1336" s="11" t="n">
        <x:v>46252.68496519676</x:v>
      </x:c>
      <x:c r="AA1336" s="11" t="n">
        <x:v>46254.51251577547</x:v>
      </x:c>
      <x:c r="AB1336" s="11" t="n">
        <x:v>46254.51251577547</x:v>
      </x:c>
      <x:c r="AC1336" t="str">
        <x:v>milrose</x:v>
      </x:c>
    </x:row>
    <x:row r="1337" ht="22" customHeight="1">
      <x:c r="A1337" t="str">
        <x:v>Milrose</x:v>
      </x:c>
      <x:c r="B1337" t="str">
        <x:v>A3.02</x:v>
      </x:c>
      <x:c r="C1337" t="str">
        <x:v>sold</x:v>
      </x:c>
      <x:c r="D1337" t="str">
        <x:v>present</x:v>
      </x:c>
      <x:c r="E1337" t="str">
        <x:v>baseline</x:v>
      </x:c>
      <x:c r="F1337" s="11" t="n">
        <x:v>46252.68496519676</x:v>
      </x:c>
      <x:c r="G1337" t="str">
        <x:v>byt</x:v>
      </x:c>
      <x:c r="H1337" s="12" t="n">
        <x:v>1</x:v>
      </x:c>
      <x:c r="I1337" s="13" t="n">
        <x:v>3</x:v>
      </x:c>
      <x:c r="J1337" t="str">
        <x:v>A</x:v>
      </x:c>
      <x:c r="K1337" s="14"/>
      <x:c r="L1337" s="14"/>
      <x:c r="M1337" s="14"/>
      <x:c r="N1337" s="14"/>
      <x:c r="O1337" s="14"/>
      <x:c r="P1337" s="14"/>
      <x:c r="Q1337" s="14" t="n">
        <x:v>35.86</x:v>
      </x:c>
      <x:c r="R1337" s="15" t="n">
        <x:v>234400</x:v>
      </x:c>
      <x:c r="S1337" s="15" t="n">
        <x:v>234400</x:v>
      </x:c>
      <x:c r="T1337" s="15"/>
      <x:c r="U1337" s="16"/>
      <x:c r="V1337" t="str">
        <x:v>INTRADE Group</x:v>
      </x:c>
      <x:c r="W1337" t="str">
        <x:v>Ružinov</x:v>
      </x:c>
      <x:c r="X1337" s="11" t="str">
        <x:v>Predaný</x:v>
      </x:c>
      <x:c r="Y1337" s="11" t="str">
        <x:v>https://milrose.sk/byt/byt-a3-02/</x:v>
      </x:c>
      <x:c r="Z1337" s="11" t="n">
        <x:v>46252.68496519676</x:v>
      </x:c>
      <x:c r="AA1337" s="11" t="n">
        <x:v>46254.51251577547</x:v>
      </x:c>
      <x:c r="AB1337" s="11" t="n">
        <x:v>46254.51251577547</x:v>
      </x:c>
      <x:c r="AC1337" t="str">
        <x:v>milrose</x:v>
      </x:c>
    </x:row>
    <x:row r="1338" ht="22" customHeight="1">
      <x:c r="A1338" t="str">
        <x:v>Milrose</x:v>
      </x:c>
      <x:c r="B1338" t="str">
        <x:v>A3.03</x:v>
      </x:c>
      <x:c r="C1338" t="str">
        <x:v>available</x:v>
      </x:c>
      <x:c r="D1338" t="str">
        <x:v>present</x:v>
      </x:c>
      <x:c r="E1338" t="str">
        <x:v>baseline</x:v>
      </x:c>
      <x:c r="F1338" s="11" t="n">
        <x:v>46252.68496519676</x:v>
      </x:c>
      <x:c r="G1338" t="str">
        <x:v>byt</x:v>
      </x:c>
      <x:c r="H1338" s="12" t="n">
        <x:v>2</x:v>
      </x:c>
      <x:c r="I1338" s="13" t="n">
        <x:v>3</x:v>
      </x:c>
      <x:c r="J1338" t="str">
        <x:v>A</x:v>
      </x:c>
      <x:c r="K1338" s="14"/>
      <x:c r="L1338" s="14"/>
      <x:c r="M1338" s="14"/>
      <x:c r="N1338" s="14"/>
      <x:c r="O1338" s="14"/>
      <x:c r="P1338" s="14"/>
      <x:c r="Q1338" s="14" t="n">
        <x:v>49.98</x:v>
      </x:c>
      <x:c r="R1338" s="15" t="n">
        <x:v>308800</x:v>
      </x:c>
      <x:c r="S1338" s="15" t="n">
        <x:v>308800</x:v>
      </x:c>
      <x:c r="T1338" s="15"/>
      <x:c r="U1338" s="16"/>
      <x:c r="V1338" t="str">
        <x:v>INTRADE Group</x:v>
      </x:c>
      <x:c r="W1338" t="str">
        <x:v>Ružinov</x:v>
      </x:c>
      <x:c r="X1338" s="11" t="str">
        <x:v>Voľný</x:v>
      </x:c>
      <x:c r="Y1338" s="11" t="str">
        <x:v>https://milrose.sk/byt/byt-a3-03/</x:v>
      </x:c>
      <x:c r="Z1338" s="11" t="n">
        <x:v>46252.68496519676</x:v>
      </x:c>
      <x:c r="AA1338" s="11" t="n">
        <x:v>46254.51251577547</x:v>
      </x:c>
      <x:c r="AB1338" s="11" t="n">
        <x:v>46254.51251577547</x:v>
      </x:c>
      <x:c r="AC1338" t="str">
        <x:v>milrose</x:v>
      </x:c>
    </x:row>
    <x:row r="1339" ht="22" customHeight="1">
      <x:c r="A1339" t="str">
        <x:v>Milrose</x:v>
      </x:c>
      <x:c r="B1339" t="str">
        <x:v>A3.04</x:v>
      </x:c>
      <x:c r="C1339" t="str">
        <x:v>available</x:v>
      </x:c>
      <x:c r="D1339" t="str">
        <x:v>present</x:v>
      </x:c>
      <x:c r="E1339" t="str">
        <x:v>baseline</x:v>
      </x:c>
      <x:c r="F1339" s="11" t="n">
        <x:v>46252.68496519676</x:v>
      </x:c>
      <x:c r="G1339" t="str">
        <x:v>byt</x:v>
      </x:c>
      <x:c r="H1339" s="12" t="n">
        <x:v>3</x:v>
      </x:c>
      <x:c r="I1339" s="13" t="n">
        <x:v>3</x:v>
      </x:c>
      <x:c r="J1339" t="str">
        <x:v>A</x:v>
      </x:c>
      <x:c r="K1339" s="14"/>
      <x:c r="L1339" s="14"/>
      <x:c r="M1339" s="14"/>
      <x:c r="N1339" s="14"/>
      <x:c r="O1339" s="14"/>
      <x:c r="P1339" s="14"/>
      <x:c r="Q1339" s="14" t="n">
        <x:v>71.16</x:v>
      </x:c>
      <x:c r="R1339" s="15" t="n">
        <x:v>417100</x:v>
      </x:c>
      <x:c r="S1339" s="15" t="n">
        <x:v>417100</x:v>
      </x:c>
      <x:c r="T1339" s="15"/>
      <x:c r="U1339" s="16"/>
      <x:c r="V1339" t="str">
        <x:v>INTRADE Group</x:v>
      </x:c>
      <x:c r="W1339" t="str">
        <x:v>Ružinov</x:v>
      </x:c>
      <x:c r="X1339" s="11" t="str">
        <x:v>Voľný</x:v>
      </x:c>
      <x:c r="Y1339" s="11" t="str">
        <x:v>https://milrose.sk/byt/byt-a3-04/</x:v>
      </x:c>
      <x:c r="Z1339" s="11" t="n">
        <x:v>46252.68496519676</x:v>
      </x:c>
      <x:c r="AA1339" s="11" t="n">
        <x:v>46254.51251577547</x:v>
      </x:c>
      <x:c r="AB1339" s="11" t="n">
        <x:v>46254.51251577547</x:v>
      </x:c>
      <x:c r="AC1339" t="str">
        <x:v>milrose</x:v>
      </x:c>
    </x:row>
    <x:row r="1340" ht="22" customHeight="1">
      <x:c r="A1340" t="str">
        <x:v>Milrose</x:v>
      </x:c>
      <x:c r="B1340" t="str">
        <x:v>A3.05</x:v>
      </x:c>
      <x:c r="C1340" t="str">
        <x:v>available</x:v>
      </x:c>
      <x:c r="D1340" t="str">
        <x:v>present</x:v>
      </x:c>
      <x:c r="E1340" t="str">
        <x:v>baseline</x:v>
      </x:c>
      <x:c r="F1340" s="11" t="n">
        <x:v>46252.68496519676</x:v>
      </x:c>
      <x:c r="G1340" t="str">
        <x:v>byt</x:v>
      </x:c>
      <x:c r="H1340" s="12" t="n">
        <x:v>2</x:v>
      </x:c>
      <x:c r="I1340" s="13" t="n">
        <x:v>3</x:v>
      </x:c>
      <x:c r="J1340" t="str">
        <x:v>A</x:v>
      </x:c>
      <x:c r="K1340" s="14"/>
      <x:c r="L1340" s="14"/>
      <x:c r="M1340" s="14"/>
      <x:c r="N1340" s="14"/>
      <x:c r="O1340" s="14"/>
      <x:c r="P1340" s="14"/>
      <x:c r="Q1340" s="14" t="n">
        <x:v>48.84</x:v>
      </x:c>
      <x:c r="R1340" s="15" t="n">
        <x:v>312500</x:v>
      </x:c>
      <x:c r="S1340" s="15" t="n">
        <x:v>312500</x:v>
      </x:c>
      <x:c r="T1340" s="15"/>
      <x:c r="U1340" s="16"/>
      <x:c r="V1340" t="str">
        <x:v>INTRADE Group</x:v>
      </x:c>
      <x:c r="W1340" t="str">
        <x:v>Ružinov</x:v>
      </x:c>
      <x:c r="X1340" s="11" t="str">
        <x:v>Voľný</x:v>
      </x:c>
      <x:c r="Y1340" s="11" t="str">
        <x:v>https://milrose.sk/byt/byt-a3-05/</x:v>
      </x:c>
      <x:c r="Z1340" s="11" t="n">
        <x:v>46252.68496519676</x:v>
      </x:c>
      <x:c r="AA1340" s="11" t="n">
        <x:v>46254.51251577547</x:v>
      </x:c>
      <x:c r="AB1340" s="11" t="n">
        <x:v>46254.51251577547</x:v>
      </x:c>
      <x:c r="AC1340" t="str">
        <x:v>milrose</x:v>
      </x:c>
    </x:row>
    <x:row r="1341" ht="22" customHeight="1">
      <x:c r="A1341" t="str">
        <x:v>Milrose</x:v>
      </x:c>
      <x:c r="B1341" t="str">
        <x:v>A3.06</x:v>
      </x:c>
      <x:c r="C1341" t="str">
        <x:v>sold</x:v>
      </x:c>
      <x:c r="D1341" t="str">
        <x:v>present</x:v>
      </x:c>
      <x:c r="E1341" t="str">
        <x:v>baseline</x:v>
      </x:c>
      <x:c r="F1341" s="11" t="n">
        <x:v>46252.68496519676</x:v>
      </x:c>
      <x:c r="G1341" t="str">
        <x:v>byt</x:v>
      </x:c>
      <x:c r="H1341" s="12" t="n">
        <x:v>1.5</x:v>
      </x:c>
      <x:c r="I1341" s="13" t="n">
        <x:v>3</x:v>
      </x:c>
      <x:c r="J1341" t="str">
        <x:v>A</x:v>
      </x:c>
      <x:c r="K1341" s="14"/>
      <x:c r="L1341" s="14"/>
      <x:c r="M1341" s="14"/>
      <x:c r="N1341" s="14"/>
      <x:c r="O1341" s="14"/>
      <x:c r="P1341" s="14"/>
      <x:c r="Q1341" s="14" t="n">
        <x:v>38.26</x:v>
      </x:c>
      <x:c r="R1341" s="15" t="n">
        <x:v>249300</x:v>
      </x:c>
      <x:c r="S1341" s="15" t="n">
        <x:v>249300</x:v>
      </x:c>
      <x:c r="T1341" s="15"/>
      <x:c r="U1341" s="16"/>
      <x:c r="V1341" t="str">
        <x:v>INTRADE Group</x:v>
      </x:c>
      <x:c r="W1341" t="str">
        <x:v>Ružinov</x:v>
      </x:c>
      <x:c r="X1341" s="11" t="str">
        <x:v>Predaný</x:v>
      </x:c>
      <x:c r="Y1341" s="11" t="str">
        <x:v>https://milrose.sk/byt/byt-a3-06/</x:v>
      </x:c>
      <x:c r="Z1341" s="11" t="n">
        <x:v>46252.68496519676</x:v>
      </x:c>
      <x:c r="AA1341" s="11" t="n">
        <x:v>46254.51251577547</x:v>
      </x:c>
      <x:c r="AB1341" s="11" t="n">
        <x:v>46254.51251577547</x:v>
      </x:c>
      <x:c r="AC1341" t="str">
        <x:v>milrose</x:v>
      </x:c>
    </x:row>
    <x:row r="1342" ht="22" customHeight="1">
      <x:c r="A1342" t="str">
        <x:v>Milrose</x:v>
      </x:c>
      <x:c r="B1342" t="str">
        <x:v>A4.01</x:v>
      </x:c>
      <x:c r="C1342" t="str">
        <x:v>available</x:v>
      </x:c>
      <x:c r="D1342" t="str">
        <x:v>present</x:v>
      </x:c>
      <x:c r="E1342" t="str">
        <x:v>baseline</x:v>
      </x:c>
      <x:c r="F1342" s="11" t="n">
        <x:v>46252.68496519676</x:v>
      </x:c>
      <x:c r="G1342" t="str">
        <x:v>byt</x:v>
      </x:c>
      <x:c r="H1342" s="12" t="n">
        <x:v>2</x:v>
      </x:c>
      <x:c r="I1342" s="13" t="n">
        <x:v>4</x:v>
      </x:c>
      <x:c r="J1342" t="str">
        <x:v>A</x:v>
      </x:c>
      <x:c r="K1342" s="14"/>
      <x:c r="L1342" s="14"/>
      <x:c r="M1342" s="14"/>
      <x:c r="N1342" s="14"/>
      <x:c r="O1342" s="14"/>
      <x:c r="P1342" s="14"/>
      <x:c r="Q1342" s="14" t="n">
        <x:v>51.52</x:v>
      </x:c>
      <x:c r="R1342" s="15" t="n">
        <x:v>314300</x:v>
      </x:c>
      <x:c r="S1342" s="15" t="n">
        <x:v>314300</x:v>
      </x:c>
      <x:c r="T1342" s="15"/>
      <x:c r="U1342" s="16"/>
      <x:c r="V1342" t="str">
        <x:v>INTRADE Group</x:v>
      </x:c>
      <x:c r="W1342" t="str">
        <x:v>Ružinov</x:v>
      </x:c>
      <x:c r="X1342" s="11" t="str">
        <x:v>Voľný</x:v>
      </x:c>
      <x:c r="Y1342" s="11" t="str">
        <x:v>https://milrose.sk/byt/byt-a4-01/</x:v>
      </x:c>
      <x:c r="Z1342" s="11" t="n">
        <x:v>46252.68496519676</x:v>
      </x:c>
      <x:c r="AA1342" s="11" t="n">
        <x:v>46254.51251577547</x:v>
      </x:c>
      <x:c r="AB1342" s="11" t="n">
        <x:v>46254.51251577547</x:v>
      </x:c>
      <x:c r="AC1342" t="str">
        <x:v>milrose</x:v>
      </x:c>
    </x:row>
    <x:row r="1343" ht="22" customHeight="1">
      <x:c r="A1343" t="str">
        <x:v>Milrose</x:v>
      </x:c>
      <x:c r="B1343" t="str">
        <x:v>A4.02</x:v>
      </x:c>
      <x:c r="C1343" t="str">
        <x:v>sold</x:v>
      </x:c>
      <x:c r="D1343" t="str">
        <x:v>present</x:v>
      </x:c>
      <x:c r="E1343" t="str">
        <x:v>baseline</x:v>
      </x:c>
      <x:c r="F1343" s="11" t="n">
        <x:v>46252.68496519676</x:v>
      </x:c>
      <x:c r="G1343" t="str">
        <x:v>byt</x:v>
      </x:c>
      <x:c r="H1343" s="12" t="n">
        <x:v>1</x:v>
      </x:c>
      <x:c r="I1343" s="13" t="n">
        <x:v>4</x:v>
      </x:c>
      <x:c r="J1343" t="str">
        <x:v>A</x:v>
      </x:c>
      <x:c r="K1343" s="14"/>
      <x:c r="L1343" s="14"/>
      <x:c r="M1343" s="14"/>
      <x:c r="N1343" s="14"/>
      <x:c r="O1343" s="14"/>
      <x:c r="P1343" s="14"/>
      <x:c r="Q1343" s="14" t="n">
        <x:v>35.86</x:v>
      </x:c>
      <x:c r="R1343" s="15" t="n">
        <x:v>241100</x:v>
      </x:c>
      <x:c r="S1343" s="15" t="n">
        <x:v>241100</x:v>
      </x:c>
      <x:c r="T1343" s="15"/>
      <x:c r="U1343" s="16"/>
      <x:c r="V1343" t="str">
        <x:v>INTRADE Group</x:v>
      </x:c>
      <x:c r="W1343" t="str">
        <x:v>Ružinov</x:v>
      </x:c>
      <x:c r="X1343" s="11" t="str">
        <x:v>Predaný</x:v>
      </x:c>
      <x:c r="Y1343" s="11" t="str">
        <x:v>https://milrose.sk/byt/byt-a4-02/</x:v>
      </x:c>
      <x:c r="Z1343" s="11" t="n">
        <x:v>46252.68496519676</x:v>
      </x:c>
      <x:c r="AA1343" s="11" t="n">
        <x:v>46254.51251577547</x:v>
      </x:c>
      <x:c r="AB1343" s="11" t="n">
        <x:v>46254.51251577547</x:v>
      </x:c>
      <x:c r="AC1343" t="str">
        <x:v>milrose</x:v>
      </x:c>
    </x:row>
    <x:row r="1344" ht="22" customHeight="1">
      <x:c r="A1344" t="str">
        <x:v>Milrose</x:v>
      </x:c>
      <x:c r="B1344" t="str">
        <x:v>A4.03</x:v>
      </x:c>
      <x:c r="C1344" t="str">
        <x:v>available</x:v>
      </x:c>
      <x:c r="D1344" t="str">
        <x:v>present</x:v>
      </x:c>
      <x:c r="E1344" t="str">
        <x:v>baseline</x:v>
      </x:c>
      <x:c r="F1344" s="11" t="n">
        <x:v>46252.68496519676</x:v>
      </x:c>
      <x:c r="G1344" t="str">
        <x:v>byt</x:v>
      </x:c>
      <x:c r="H1344" s="12" t="n">
        <x:v>2</x:v>
      </x:c>
      <x:c r="I1344" s="13" t="n">
        <x:v>4</x:v>
      </x:c>
      <x:c r="J1344" t="str">
        <x:v>A</x:v>
      </x:c>
      <x:c r="K1344" s="14"/>
      <x:c r="L1344" s="14"/>
      <x:c r="M1344" s="14"/>
      <x:c r="N1344" s="14"/>
      <x:c r="O1344" s="14"/>
      <x:c r="P1344" s="14"/>
      <x:c r="Q1344" s="14" t="n">
        <x:v>50.18</x:v>
      </x:c>
      <x:c r="R1344" s="15" t="n">
        <x:v>316600</x:v>
      </x:c>
      <x:c r="S1344" s="15" t="n">
        <x:v>316600</x:v>
      </x:c>
      <x:c r="T1344" s="15"/>
      <x:c r="U1344" s="16"/>
      <x:c r="V1344" t="str">
        <x:v>INTRADE Group</x:v>
      </x:c>
      <x:c r="W1344" t="str">
        <x:v>Ružinov</x:v>
      </x:c>
      <x:c r="X1344" s="11" t="str">
        <x:v>Voľný</x:v>
      </x:c>
      <x:c r="Y1344" s="11" t="str">
        <x:v>https://milrose.sk/byt/byt-a4-03/</x:v>
      </x:c>
      <x:c r="Z1344" s="11" t="n">
        <x:v>46252.68496519676</x:v>
      </x:c>
      <x:c r="AA1344" s="11" t="n">
        <x:v>46254.51251577547</x:v>
      </x:c>
      <x:c r="AB1344" s="11" t="n">
        <x:v>46254.51251577547</x:v>
      </x:c>
      <x:c r="AC1344" t="str">
        <x:v>milrose</x:v>
      </x:c>
    </x:row>
    <x:row r="1345" ht="22" customHeight="1">
      <x:c r="A1345" t="str">
        <x:v>Milrose</x:v>
      </x:c>
      <x:c r="B1345" t="str">
        <x:v>A4.04</x:v>
      </x:c>
      <x:c r="C1345" t="str">
        <x:v>available</x:v>
      </x:c>
      <x:c r="D1345" t="str">
        <x:v>present</x:v>
      </x:c>
      <x:c r="E1345" t="str">
        <x:v>baseline</x:v>
      </x:c>
      <x:c r="F1345" s="11" t="n">
        <x:v>46252.68496519676</x:v>
      </x:c>
      <x:c r="G1345" t="str">
        <x:v>byt</x:v>
      </x:c>
      <x:c r="H1345" s="12" t="n">
        <x:v>3</x:v>
      </x:c>
      <x:c r="I1345" s="13" t="n">
        <x:v>4</x:v>
      </x:c>
      <x:c r="J1345" t="str">
        <x:v>A</x:v>
      </x:c>
      <x:c r="K1345" s="14"/>
      <x:c r="L1345" s="14"/>
      <x:c r="M1345" s="14"/>
      <x:c r="N1345" s="14"/>
      <x:c r="O1345" s="14"/>
      <x:c r="P1345" s="14"/>
      <x:c r="Q1345" s="14" t="n">
        <x:v>71.49</x:v>
      </x:c>
      <x:c r="R1345" s="15" t="n">
        <x:v>425300</x:v>
      </x:c>
      <x:c r="S1345" s="15" t="n">
        <x:v>425300</x:v>
      </x:c>
      <x:c r="T1345" s="15"/>
      <x:c r="U1345" s="16"/>
      <x:c r="V1345" t="str">
        <x:v>INTRADE Group</x:v>
      </x:c>
      <x:c r="W1345" t="str">
        <x:v>Ružinov</x:v>
      </x:c>
      <x:c r="X1345" s="11" t="str">
        <x:v>Voľný</x:v>
      </x:c>
      <x:c r="Y1345" s="11" t="str">
        <x:v>https://milrose.sk/byt/byt-a4-04/</x:v>
      </x:c>
      <x:c r="Z1345" s="11" t="n">
        <x:v>46252.68496519676</x:v>
      </x:c>
      <x:c r="AA1345" s="11" t="n">
        <x:v>46254.51251577547</x:v>
      </x:c>
      <x:c r="AB1345" s="11" t="n">
        <x:v>46254.51251577547</x:v>
      </x:c>
      <x:c r="AC1345" t="str">
        <x:v>milrose</x:v>
      </x:c>
    </x:row>
    <x:row r="1346" ht="22" customHeight="1">
      <x:c r="A1346" t="str">
        <x:v>Milrose</x:v>
      </x:c>
      <x:c r="B1346" t="str">
        <x:v>A4.05</x:v>
      </x:c>
      <x:c r="C1346" t="str">
        <x:v>pre_reserved</x:v>
      </x:c>
      <x:c r="D1346" t="str">
        <x:v>present</x:v>
      </x:c>
      <x:c r="E1346" t="str">
        <x:v>baseline</x:v>
      </x:c>
      <x:c r="F1346" s="11" t="n">
        <x:v>46252.68496519676</x:v>
      </x:c>
      <x:c r="G1346" t="str">
        <x:v>byt</x:v>
      </x:c>
      <x:c r="H1346" s="12" t="n">
        <x:v>2</x:v>
      </x:c>
      <x:c r="I1346" s="13" t="n">
        <x:v>4</x:v>
      </x:c>
      <x:c r="J1346" t="str">
        <x:v>A</x:v>
      </x:c>
      <x:c r="K1346" s="14"/>
      <x:c r="L1346" s="14"/>
      <x:c r="M1346" s="14"/>
      <x:c r="N1346" s="14"/>
      <x:c r="O1346" s="14"/>
      <x:c r="P1346" s="14"/>
      <x:c r="Q1346" s="14" t="n">
        <x:v>48.71</x:v>
      </x:c>
      <x:c r="R1346" s="15" t="n">
        <x:v>320800</x:v>
      </x:c>
      <x:c r="S1346" s="15" t="n">
        <x:v>320800</x:v>
      </x:c>
      <x:c r="T1346" s="15"/>
      <x:c r="U1346" s="16"/>
      <x:c r="V1346" t="str">
        <x:v>INTRADE Group</x:v>
      </x:c>
      <x:c r="W1346" t="str">
        <x:v>Ružinov</x:v>
      </x:c>
      <x:c r="X1346" s="11" t="str">
        <x:v>Predbežne rezervovaný</x:v>
      </x:c>
      <x:c r="Y1346" s="11" t="str">
        <x:v>https://milrose.sk/byt/byt-a4-05/</x:v>
      </x:c>
      <x:c r="Z1346" s="11" t="n">
        <x:v>46252.68496519676</x:v>
      </x:c>
      <x:c r="AA1346" s="11" t="n">
        <x:v>46254.51251577547</x:v>
      </x:c>
      <x:c r="AB1346" s="11" t="n">
        <x:v>46254.51251577547</x:v>
      </x:c>
      <x:c r="AC1346" t="str">
        <x:v>milrose</x:v>
      </x:c>
    </x:row>
    <x:row r="1347" ht="22" customHeight="1">
      <x:c r="A1347" t="str">
        <x:v>Milrose</x:v>
      </x:c>
      <x:c r="B1347" t="str">
        <x:v>A4.06</x:v>
      </x:c>
      <x:c r="C1347" t="str">
        <x:v>reserved</x:v>
      </x:c>
      <x:c r="D1347" t="str">
        <x:v>present</x:v>
      </x:c>
      <x:c r="E1347" t="str">
        <x:v>baseline</x:v>
      </x:c>
      <x:c r="F1347" s="11" t="n">
        <x:v>46252.68496519676</x:v>
      </x:c>
      <x:c r="G1347" t="str">
        <x:v>byt</x:v>
      </x:c>
      <x:c r="H1347" s="12" t="n">
        <x:v>1.5</x:v>
      </x:c>
      <x:c r="I1347" s="13" t="n">
        <x:v>4</x:v>
      </x:c>
      <x:c r="J1347" t="str">
        <x:v>A</x:v>
      </x:c>
      <x:c r="K1347" s="14"/>
      <x:c r="L1347" s="14"/>
      <x:c r="M1347" s="14"/>
      <x:c r="N1347" s="14"/>
      <x:c r="O1347" s="14"/>
      <x:c r="P1347" s="14"/>
      <x:c r="Q1347" s="14" t="n">
        <x:v>38.26</x:v>
      </x:c>
      <x:c r="R1347" s="15" t="n">
        <x:v>241600</x:v>
      </x:c>
      <x:c r="S1347" s="15" t="n">
        <x:v>241600</x:v>
      </x:c>
      <x:c r="T1347" s="15"/>
      <x:c r="U1347" s="16"/>
      <x:c r="V1347" t="str">
        <x:v>INTRADE Group</x:v>
      </x:c>
      <x:c r="W1347" t="str">
        <x:v>Ružinov</x:v>
      </x:c>
      <x:c r="X1347" s="11" t="str">
        <x:v>Rezervovaný</x:v>
      </x:c>
      <x:c r="Y1347" s="11" t="str">
        <x:v>https://milrose.sk/byt/byt-a4-06/</x:v>
      </x:c>
      <x:c r="Z1347" s="11" t="n">
        <x:v>46252.68496519676</x:v>
      </x:c>
      <x:c r="AA1347" s="11" t="n">
        <x:v>46254.51251577547</x:v>
      </x:c>
      <x:c r="AB1347" s="11" t="n">
        <x:v>46254.51251577547</x:v>
      </x:c>
      <x:c r="AC1347" t="str">
        <x:v>milrose</x:v>
      </x:c>
    </x:row>
    <x:row r="1348" ht="22" customHeight="1">
      <x:c r="A1348" t="str">
        <x:v>Milrose</x:v>
      </x:c>
      <x:c r="B1348" t="str">
        <x:v>A5.01</x:v>
      </x:c>
      <x:c r="C1348" t="str">
        <x:v>sold</x:v>
      </x:c>
      <x:c r="D1348" t="str">
        <x:v>present</x:v>
      </x:c>
      <x:c r="E1348" t="str">
        <x:v>baseline</x:v>
      </x:c>
      <x:c r="F1348" s="11" t="n">
        <x:v>46252.68496519676</x:v>
      </x:c>
      <x:c r="G1348" t="str">
        <x:v>byt</x:v>
      </x:c>
      <x:c r="H1348" s="12" t="n">
        <x:v>2</x:v>
      </x:c>
      <x:c r="I1348" s="13" t="n">
        <x:v>5</x:v>
      </x:c>
      <x:c r="J1348" t="str">
        <x:v>A</x:v>
      </x:c>
      <x:c r="K1348" s="14"/>
      <x:c r="L1348" s="14"/>
      <x:c r="M1348" s="14"/>
      <x:c r="N1348" s="14"/>
      <x:c r="O1348" s="14"/>
      <x:c r="P1348" s="14"/>
      <x:c r="Q1348" s="14" t="n">
        <x:v>51.69</x:v>
      </x:c>
      <x:c r="R1348" s="15" t="n">
        <x:v>321200</x:v>
      </x:c>
      <x:c r="S1348" s="15" t="n">
        <x:v>321200</x:v>
      </x:c>
      <x:c r="T1348" s="15"/>
      <x:c r="U1348" s="16"/>
      <x:c r="V1348" t="str">
        <x:v>INTRADE Group</x:v>
      </x:c>
      <x:c r="W1348" t="str">
        <x:v>Ružinov</x:v>
      </x:c>
      <x:c r="X1348" s="11" t="str">
        <x:v>Predaný</x:v>
      </x:c>
      <x:c r="Y1348" s="11" t="str">
        <x:v>https://milrose.sk/byt/byt-a5-01/</x:v>
      </x:c>
      <x:c r="Z1348" s="11" t="n">
        <x:v>46252.68496519676</x:v>
      </x:c>
      <x:c r="AA1348" s="11" t="n">
        <x:v>46254.51251577547</x:v>
      </x:c>
      <x:c r="AB1348" s="11" t="n">
        <x:v>46254.51251577547</x:v>
      </x:c>
      <x:c r="AC1348" t="str">
        <x:v>milrose</x:v>
      </x:c>
    </x:row>
    <x:row r="1349" ht="22" customHeight="1">
      <x:c r="A1349" t="str">
        <x:v>Milrose</x:v>
      </x:c>
      <x:c r="B1349" t="str">
        <x:v>A5.02</x:v>
      </x:c>
      <x:c r="C1349" t="str">
        <x:v>reserved</x:v>
      </x:c>
      <x:c r="D1349" t="str">
        <x:v>present</x:v>
      </x:c>
      <x:c r="E1349" t="str">
        <x:v>baseline</x:v>
      </x:c>
      <x:c r="F1349" s="11" t="n">
        <x:v>46252.68496519676</x:v>
      </x:c>
      <x:c r="G1349" t="str">
        <x:v>byt</x:v>
      </x:c>
      <x:c r="H1349" s="12" t="n">
        <x:v>1</x:v>
      </x:c>
      <x:c r="I1349" s="13" t="n">
        <x:v>5</x:v>
      </x:c>
      <x:c r="J1349" t="str">
        <x:v>A</x:v>
      </x:c>
      <x:c r="K1349" s="14"/>
      <x:c r="L1349" s="14"/>
      <x:c r="M1349" s="14"/>
      <x:c r="N1349" s="14"/>
      <x:c r="O1349" s="14"/>
      <x:c r="P1349" s="14"/>
      <x:c r="Q1349" s="14" t="n">
        <x:v>35.86</x:v>
      </x:c>
      <x:c r="R1349" s="15" t="n">
        <x:v>243200</x:v>
      </x:c>
      <x:c r="S1349" s="15" t="n">
        <x:v>243200</x:v>
      </x:c>
      <x:c r="T1349" s="15"/>
      <x:c r="U1349" s="16"/>
      <x:c r="V1349" t="str">
        <x:v>INTRADE Group</x:v>
      </x:c>
      <x:c r="W1349" t="str">
        <x:v>Ružinov</x:v>
      </x:c>
      <x:c r="X1349" s="11" t="str">
        <x:v>Rezervovaný</x:v>
      </x:c>
      <x:c r="Y1349" s="11" t="str">
        <x:v>https://milrose.sk/byt/byt-a5-02/</x:v>
      </x:c>
      <x:c r="Z1349" s="11" t="n">
        <x:v>46252.68496519676</x:v>
      </x:c>
      <x:c r="AA1349" s="11" t="n">
        <x:v>46254.51251577547</x:v>
      </x:c>
      <x:c r="AB1349" s="11" t="n">
        <x:v>46254.51251577547</x:v>
      </x:c>
      <x:c r="AC1349" t="str">
        <x:v>milrose</x:v>
      </x:c>
    </x:row>
    <x:row r="1350" ht="22" customHeight="1">
      <x:c r="A1350" t="str">
        <x:v>Milrose</x:v>
      </x:c>
      <x:c r="B1350" t="str">
        <x:v>A5.03</x:v>
      </x:c>
      <x:c r="C1350" t="str">
        <x:v>available</x:v>
      </x:c>
      <x:c r="D1350" t="str">
        <x:v>present</x:v>
      </x:c>
      <x:c r="E1350" t="str">
        <x:v>baseline</x:v>
      </x:c>
      <x:c r="F1350" s="11" t="n">
        <x:v>46252.68496519676</x:v>
      </x:c>
      <x:c r="G1350" t="str">
        <x:v>byt</x:v>
      </x:c>
      <x:c r="H1350" s="12" t="n">
        <x:v>2</x:v>
      </x:c>
      <x:c r="I1350" s="13" t="n">
        <x:v>5</x:v>
      </x:c>
      <x:c r="J1350" t="str">
        <x:v>A</x:v>
      </x:c>
      <x:c r="K1350" s="14"/>
      <x:c r="L1350" s="14"/>
      <x:c r="M1350" s="14"/>
      <x:c r="N1350" s="14"/>
      <x:c r="O1350" s="14"/>
      <x:c r="P1350" s="14"/>
      <x:c r="Q1350" s="14" t="n">
        <x:v>49.98</x:v>
      </x:c>
      <x:c r="R1350" s="15" t="n">
        <x:v>317700</x:v>
      </x:c>
      <x:c r="S1350" s="15" t="n">
        <x:v>317700</x:v>
      </x:c>
      <x:c r="T1350" s="15"/>
      <x:c r="U1350" s="16"/>
      <x:c r="V1350" t="str">
        <x:v>INTRADE Group</x:v>
      </x:c>
      <x:c r="W1350" t="str">
        <x:v>Ružinov</x:v>
      </x:c>
      <x:c r="X1350" s="11" t="str">
        <x:v>Voľný</x:v>
      </x:c>
      <x:c r="Y1350" s="11" t="str">
        <x:v>https://milrose.sk/byt/byt-a5-03/</x:v>
      </x:c>
      <x:c r="Z1350" s="11" t="n">
        <x:v>46252.68496519676</x:v>
      </x:c>
      <x:c r="AA1350" s="11" t="n">
        <x:v>46254.51251577547</x:v>
      </x:c>
      <x:c r="AB1350" s="11" t="n">
        <x:v>46254.51251577547</x:v>
      </x:c>
      <x:c r="AC1350" t="str">
        <x:v>milrose</x:v>
      </x:c>
    </x:row>
    <x:row r="1351" ht="22" customHeight="1">
      <x:c r="A1351" t="str">
        <x:v>Milrose</x:v>
      </x:c>
      <x:c r="B1351" t="str">
        <x:v>A5.04</x:v>
      </x:c>
      <x:c r="C1351" t="str">
        <x:v>available</x:v>
      </x:c>
      <x:c r="D1351" t="str">
        <x:v>present</x:v>
      </x:c>
      <x:c r="E1351" t="str">
        <x:v>baseline</x:v>
      </x:c>
      <x:c r="F1351" s="11" t="n">
        <x:v>46252.68496519676</x:v>
      </x:c>
      <x:c r="G1351" t="str">
        <x:v>byt</x:v>
      </x:c>
      <x:c r="H1351" s="12" t="n">
        <x:v>3</x:v>
      </x:c>
      <x:c r="I1351" s="13" t="n">
        <x:v>5</x:v>
      </x:c>
      <x:c r="J1351" t="str">
        <x:v>A</x:v>
      </x:c>
      <x:c r="K1351" s="14"/>
      <x:c r="L1351" s="14"/>
      <x:c r="M1351" s="14"/>
      <x:c r="N1351" s="14"/>
      <x:c r="O1351" s="14"/>
      <x:c r="P1351" s="14"/>
      <x:c r="Q1351" s="14" t="n">
        <x:v>71.16</x:v>
      </x:c>
      <x:c r="R1351" s="15" t="n">
        <x:v>432700</x:v>
      </x:c>
      <x:c r="S1351" s="15" t="n">
        <x:v>432700</x:v>
      </x:c>
      <x:c r="T1351" s="15"/>
      <x:c r="U1351" s="16"/>
      <x:c r="V1351" t="str">
        <x:v>INTRADE Group</x:v>
      </x:c>
      <x:c r="W1351" t="str">
        <x:v>Ružinov</x:v>
      </x:c>
      <x:c r="X1351" s="11" t="str">
        <x:v>Voľný</x:v>
      </x:c>
      <x:c r="Y1351" s="11" t="str">
        <x:v>https://milrose.sk/byt/byt-a5-04/</x:v>
      </x:c>
      <x:c r="Z1351" s="11" t="n">
        <x:v>46252.68496519676</x:v>
      </x:c>
      <x:c r="AA1351" s="11" t="n">
        <x:v>46254.51251577547</x:v>
      </x:c>
      <x:c r="AB1351" s="11" t="n">
        <x:v>46254.51251577547</x:v>
      </x:c>
      <x:c r="AC1351" t="str">
        <x:v>milrose</x:v>
      </x:c>
    </x:row>
    <x:row r="1352" ht="22" customHeight="1">
      <x:c r="A1352" t="str">
        <x:v>Milrose</x:v>
      </x:c>
      <x:c r="B1352" t="str">
        <x:v>A5.05</x:v>
      </x:c>
      <x:c r="C1352" t="str">
        <x:v>pre_reserved</x:v>
      </x:c>
      <x:c r="D1352" t="str">
        <x:v>present</x:v>
      </x:c>
      <x:c r="E1352" t="str">
        <x:v>baseline</x:v>
      </x:c>
      <x:c r="F1352" s="11" t="n">
        <x:v>46252.68496519676</x:v>
      </x:c>
      <x:c r="G1352" t="str">
        <x:v>byt</x:v>
      </x:c>
      <x:c r="H1352" s="12" t="n">
        <x:v>2</x:v>
      </x:c>
      <x:c r="I1352" s="13" t="n">
        <x:v>5</x:v>
      </x:c>
      <x:c r="J1352" t="str">
        <x:v>A</x:v>
      </x:c>
      <x:c r="K1352" s="14"/>
      <x:c r="L1352" s="14"/>
      <x:c r="M1352" s="14"/>
      <x:c r="N1352" s="14"/>
      <x:c r="O1352" s="14"/>
      <x:c r="P1352" s="14"/>
      <x:c r="Q1352" s="14" t="n">
        <x:v>48.54</x:v>
      </x:c>
      <x:c r="R1352" s="15" t="n">
        <x:v>303500</x:v>
      </x:c>
      <x:c r="S1352" s="15" t="n">
        <x:v>303500</x:v>
      </x:c>
      <x:c r="T1352" s="15"/>
      <x:c r="U1352" s="16"/>
      <x:c r="V1352" t="str">
        <x:v>INTRADE Group</x:v>
      </x:c>
      <x:c r="W1352" t="str">
        <x:v>Ružinov</x:v>
      </x:c>
      <x:c r="X1352" s="11" t="str">
        <x:v>Predbežne rezervovaný</x:v>
      </x:c>
      <x:c r="Y1352" s="11" t="str">
        <x:v>https://milrose.sk/byt/byt-a5-05/</x:v>
      </x:c>
      <x:c r="Z1352" s="11" t="n">
        <x:v>46252.68496519676</x:v>
      </x:c>
      <x:c r="AA1352" s="11" t="n">
        <x:v>46254.51251577547</x:v>
      </x:c>
      <x:c r="AB1352" s="11" t="n">
        <x:v>46254.51251577547</x:v>
      </x:c>
      <x:c r="AC1352" t="str">
        <x:v>milrose</x:v>
      </x:c>
    </x:row>
    <x:row r="1353" ht="22" customHeight="1">
      <x:c r="A1353" t="str">
        <x:v>Milrose</x:v>
      </x:c>
      <x:c r="B1353" t="str">
        <x:v>A6.03</x:v>
      </x:c>
      <x:c r="C1353" t="str">
        <x:v>available</x:v>
      </x:c>
      <x:c r="D1353" t="str">
        <x:v>present</x:v>
      </x:c>
      <x:c r="E1353" t="str">
        <x:v>baseline</x:v>
      </x:c>
      <x:c r="F1353" s="11" t="n">
        <x:v>46252.68496519676</x:v>
      </x:c>
      <x:c r="G1353" t="str">
        <x:v>byt</x:v>
      </x:c>
      <x:c r="H1353" s="12" t="n">
        <x:v>3</x:v>
      </x:c>
      <x:c r="I1353" s="13" t="n">
        <x:v>6</x:v>
      </x:c>
      <x:c r="J1353" t="str">
        <x:v>A</x:v>
      </x:c>
      <x:c r="K1353" s="14"/>
      <x:c r="L1353" s="14"/>
      <x:c r="M1353" s="14"/>
      <x:c r="N1353" s="14"/>
      <x:c r="O1353" s="14"/>
      <x:c r="P1353" s="14"/>
      <x:c r="Q1353" s="14" t="n">
        <x:v>71.49</x:v>
      </x:c>
      <x:c r="R1353" s="15" t="n">
        <x:v>435100</x:v>
      </x:c>
      <x:c r="S1353" s="15" t="n">
        <x:v>435100</x:v>
      </x:c>
      <x:c r="T1353" s="15"/>
      <x:c r="U1353" s="16"/>
      <x:c r="V1353" t="str">
        <x:v>INTRADE Group</x:v>
      </x:c>
      <x:c r="W1353" t="str">
        <x:v>Ružinov</x:v>
      </x:c>
      <x:c r="X1353" s="11" t="str">
        <x:v>Voľný</x:v>
      </x:c>
      <x:c r="Y1353" s="11" t="str">
        <x:v>https://milrose.sk/byt/byt-a6-03/</x:v>
      </x:c>
      <x:c r="Z1353" s="11" t="n">
        <x:v>46252.68496519676</x:v>
      </x:c>
      <x:c r="AA1353" s="11" t="n">
        <x:v>46254.51251577547</x:v>
      </x:c>
      <x:c r="AB1353" s="11" t="n">
        <x:v>46254.51251577547</x:v>
      </x:c>
      <x:c r="AC1353" t="str">
        <x:v>milrose</x:v>
      </x:c>
    </x:row>
    <x:row r="1354" ht="22" customHeight="1">
      <x:c r="A1354" t="str">
        <x:v>Milrose</x:v>
      </x:c>
      <x:c r="B1354" t="str">
        <x:v>A6.04</x:v>
      </x:c>
      <x:c r="C1354" t="str">
        <x:v>sold</x:v>
      </x:c>
      <x:c r="D1354" t="str">
        <x:v>present</x:v>
      </x:c>
      <x:c r="E1354" t="str">
        <x:v>baseline</x:v>
      </x:c>
      <x:c r="F1354" s="11" t="n">
        <x:v>46252.68496519676</x:v>
      </x:c>
      <x:c r="G1354" t="str">
        <x:v>byt</x:v>
      </x:c>
      <x:c r="H1354" s="12" t="n">
        <x:v>2</x:v>
      </x:c>
      <x:c r="I1354" s="13" t="n">
        <x:v>6</x:v>
      </x:c>
      <x:c r="J1354" t="str">
        <x:v>A</x:v>
      </x:c>
      <x:c r="K1354" s="14"/>
      <x:c r="L1354" s="14"/>
      <x:c r="M1354" s="14"/>
      <x:c r="N1354" s="14"/>
      <x:c r="O1354" s="14"/>
      <x:c r="P1354" s="14"/>
      <x:c r="Q1354" s="14" t="n">
        <x:v>48.54</x:v>
      </x:c>
      <x:c r="R1354" s="15" t="n">
        <x:v>304900</x:v>
      </x:c>
      <x:c r="S1354" s="15" t="n">
        <x:v>304900</x:v>
      </x:c>
      <x:c r="T1354" s="15"/>
      <x:c r="U1354" s="16"/>
      <x:c r="V1354" t="str">
        <x:v>INTRADE Group</x:v>
      </x:c>
      <x:c r="W1354" t="str">
        <x:v>Ružinov</x:v>
      </x:c>
      <x:c r="X1354" s="11" t="str">
        <x:v>Predaný</x:v>
      </x:c>
      <x:c r="Y1354" s="11" t="str">
        <x:v>https://milrose.sk/byt/byt-a6-04/</x:v>
      </x:c>
      <x:c r="Z1354" s="11" t="n">
        <x:v>46252.68496519676</x:v>
      </x:c>
      <x:c r="AA1354" s="11" t="n">
        <x:v>46254.51251577547</x:v>
      </x:c>
      <x:c r="AB1354" s="11" t="n">
        <x:v>46254.51251577547</x:v>
      </x:c>
      <x:c r="AC1354" t="str">
        <x:v>milrose</x:v>
      </x:c>
    </x:row>
    <x:row r="1355" ht="22" customHeight="1">
      <x:c r="A1355" t="str">
        <x:v>Milrose</x:v>
      </x:c>
      <x:c r="B1355" t="str">
        <x:v>A6.05</x:v>
      </x:c>
      <x:c r="C1355" t="str">
        <x:v>sold</x:v>
      </x:c>
      <x:c r="D1355" t="str">
        <x:v>present</x:v>
      </x:c>
      <x:c r="E1355" t="str">
        <x:v>baseline</x:v>
      </x:c>
      <x:c r="F1355" s="11" t="n">
        <x:v>46252.68496519676</x:v>
      </x:c>
      <x:c r="G1355" t="str">
        <x:v>byt</x:v>
      </x:c>
      <x:c r="H1355" s="12" t="n">
        <x:v>1.5</x:v>
      </x:c>
      <x:c r="I1355" s="13" t="n">
        <x:v>6</x:v>
      </x:c>
      <x:c r="J1355" t="str">
        <x:v>A</x:v>
      </x:c>
      <x:c r="K1355" s="14"/>
      <x:c r="L1355" s="14"/>
      <x:c r="M1355" s="14"/>
      <x:c r="N1355" s="14"/>
      <x:c r="O1355" s="14"/>
      <x:c r="P1355" s="14"/>
      <x:c r="Q1355" s="14" t="n">
        <x:v>38.26</x:v>
      </x:c>
      <x:c r="R1355" s="15" t="n">
        <x:v>243800</x:v>
      </x:c>
      <x:c r="S1355" s="15" t="n">
        <x:v>243800</x:v>
      </x:c>
      <x:c r="T1355" s="15"/>
      <x:c r="U1355" s="16"/>
      <x:c r="V1355" t="str">
        <x:v>INTRADE Group</x:v>
      </x:c>
      <x:c r="W1355" t="str">
        <x:v>Ružinov</x:v>
      </x:c>
      <x:c r="X1355" s="11" t="str">
        <x:v>Predaný</x:v>
      </x:c>
      <x:c r="Y1355" s="11" t="str">
        <x:v>https://milrose.sk/byt/byt-a6-05/</x:v>
      </x:c>
      <x:c r="Z1355" s="11" t="n">
        <x:v>46252.68496519676</x:v>
      </x:c>
      <x:c r="AA1355" s="11" t="n">
        <x:v>46254.51251577547</x:v>
      </x:c>
      <x:c r="AB1355" s="11" t="n">
        <x:v>46254.51251577547</x:v>
      </x:c>
      <x:c r="AC1355" t="str">
        <x:v>milrose</x:v>
      </x:c>
    </x:row>
    <x:row r="1356" ht="22" customHeight="1">
      <x:c r="A1356" t="str">
        <x:v>Milrose</x:v>
      </x:c>
      <x:c r="B1356" t="str">
        <x:v>A7.03</x:v>
      </x:c>
      <x:c r="C1356" t="str">
        <x:v>available</x:v>
      </x:c>
      <x:c r="D1356" t="str">
        <x:v>present</x:v>
      </x:c>
      <x:c r="E1356" t="str">
        <x:v>baseline</x:v>
      </x:c>
      <x:c r="F1356" s="11" t="n">
        <x:v>46252.68496519676</x:v>
      </x:c>
      <x:c r="G1356" t="str">
        <x:v>byt</x:v>
      </x:c>
      <x:c r="H1356" s="12" t="n">
        <x:v>3</x:v>
      </x:c>
      <x:c r="I1356" s="13" t="n">
        <x:v>7</x:v>
      </x:c>
      <x:c r="J1356" t="str">
        <x:v>A</x:v>
      </x:c>
      <x:c r="K1356" s="14"/>
      <x:c r="L1356" s="14"/>
      <x:c r="M1356" s="14"/>
      <x:c r="N1356" s="14"/>
      <x:c r="O1356" s="14"/>
      <x:c r="P1356" s="14"/>
      <x:c r="Q1356" s="14" t="n">
        <x:v>71.24</x:v>
      </x:c>
      <x:c r="R1356" s="15" t="n">
        <x:v>441700</x:v>
      </x:c>
      <x:c r="S1356" s="15" t="n">
        <x:v>441700</x:v>
      </x:c>
      <x:c r="T1356" s="15"/>
      <x:c r="U1356" s="16"/>
      <x:c r="V1356" t="str">
        <x:v>INTRADE Group</x:v>
      </x:c>
      <x:c r="W1356" t="str">
        <x:v>Ružinov</x:v>
      </x:c>
      <x:c r="X1356" s="11" t="str">
        <x:v>Voľný</x:v>
      </x:c>
      <x:c r="Y1356" s="11" t="str">
        <x:v>https://milrose.sk/byt/byt-a7-03/</x:v>
      </x:c>
      <x:c r="Z1356" s="11" t="n">
        <x:v>46252.68496519676</x:v>
      </x:c>
      <x:c r="AA1356" s="11" t="n">
        <x:v>46254.51251577547</x:v>
      </x:c>
      <x:c r="AB1356" s="11" t="n">
        <x:v>46254.51251577547</x:v>
      </x:c>
      <x:c r="AC1356" t="str">
        <x:v>milrose</x:v>
      </x:c>
    </x:row>
    <x:row r="1357" ht="22" customHeight="1">
      <x:c r="A1357" t="str">
        <x:v>Milrose</x:v>
      </x:c>
      <x:c r="B1357" t="str">
        <x:v>A7.04</x:v>
      </x:c>
      <x:c r="C1357" t="str">
        <x:v>pre_reserved</x:v>
      </x:c>
      <x:c r="D1357" t="str">
        <x:v>present</x:v>
      </x:c>
      <x:c r="E1357" t="str">
        <x:v>baseline</x:v>
      </x:c>
      <x:c r="F1357" s="11" t="n">
        <x:v>46252.68496519676</x:v>
      </x:c>
      <x:c r="G1357" t="str">
        <x:v>byt</x:v>
      </x:c>
      <x:c r="H1357" s="12" t="n">
        <x:v>2</x:v>
      </x:c>
      <x:c r="I1357" s="13" t="n">
        <x:v>7</x:v>
      </x:c>
      <x:c r="J1357" t="str">
        <x:v>A</x:v>
      </x:c>
      <x:c r="K1357" s="14"/>
      <x:c r="L1357" s="14"/>
      <x:c r="M1357" s="14"/>
      <x:c r="N1357" s="14"/>
      <x:c r="O1357" s="14"/>
      <x:c r="P1357" s="14"/>
      <x:c r="Q1357" s="14" t="n">
        <x:v>48.71</x:v>
      </x:c>
      <x:c r="R1357" s="15" t="n">
        <x:v>317800</x:v>
      </x:c>
      <x:c r="S1357" s="15" t="n">
        <x:v>317800</x:v>
      </x:c>
      <x:c r="T1357" s="15"/>
      <x:c r="U1357" s="16"/>
      <x:c r="V1357" t="str">
        <x:v>INTRADE Group</x:v>
      </x:c>
      <x:c r="W1357" t="str">
        <x:v>Ružinov</x:v>
      </x:c>
      <x:c r="X1357" s="11" t="str">
        <x:v>Predbežne rezervovaný</x:v>
      </x:c>
      <x:c r="Y1357" s="11" t="str">
        <x:v>https://milrose.sk/byt/byt-a7-04/</x:v>
      </x:c>
      <x:c r="Z1357" s="11" t="n">
        <x:v>46252.68496519676</x:v>
      </x:c>
      <x:c r="AA1357" s="11" t="n">
        <x:v>46254.51251577547</x:v>
      </x:c>
      <x:c r="AB1357" s="11" t="n">
        <x:v>46254.51251577547</x:v>
      </x:c>
      <x:c r="AC1357" t="str">
        <x:v>milrose</x:v>
      </x:c>
    </x:row>
    <x:row r="1358" ht="22" customHeight="1">
      <x:c r="A1358" t="str">
        <x:v>Milrose</x:v>
      </x:c>
      <x:c r="B1358" t="str">
        <x:v>A7.05</x:v>
      </x:c>
      <x:c r="C1358" t="str">
        <x:v>sold</x:v>
      </x:c>
      <x:c r="D1358" t="str">
        <x:v>present</x:v>
      </x:c>
      <x:c r="E1358" t="str">
        <x:v>baseline</x:v>
      </x:c>
      <x:c r="F1358" s="11" t="n">
        <x:v>46252.68496519676</x:v>
      </x:c>
      <x:c r="G1358" t="str">
        <x:v>byt</x:v>
      </x:c>
      <x:c r="H1358" s="12" t="n">
        <x:v>1.5</x:v>
      </x:c>
      <x:c r="I1358" s="13" t="n">
        <x:v>7</x:v>
      </x:c>
      <x:c r="J1358" t="str">
        <x:v>A</x:v>
      </x:c>
      <x:c r="K1358" s="14"/>
      <x:c r="L1358" s="14"/>
      <x:c r="M1358" s="14"/>
      <x:c r="N1358" s="14"/>
      <x:c r="O1358" s="14"/>
      <x:c r="P1358" s="14"/>
      <x:c r="Q1358" s="14" t="n">
        <x:v>38.26</x:v>
      </x:c>
      <x:c r="R1358" s="15" t="n">
        <x:v>252400</x:v>
      </x:c>
      <x:c r="S1358" s="15" t="n">
        <x:v>252400</x:v>
      </x:c>
      <x:c r="T1358" s="15"/>
      <x:c r="U1358" s="16"/>
      <x:c r="V1358" t="str">
        <x:v>INTRADE Group</x:v>
      </x:c>
      <x:c r="W1358" t="str">
        <x:v>Ružinov</x:v>
      </x:c>
      <x:c r="X1358" s="11" t="str">
        <x:v>Predaný</x:v>
      </x:c>
      <x:c r="Y1358" s="11" t="str">
        <x:v>https://milrose.sk/byt/byt-a7-05/</x:v>
      </x:c>
      <x:c r="Z1358" s="11" t="n">
        <x:v>46252.68496519676</x:v>
      </x:c>
      <x:c r="AA1358" s="11" t="n">
        <x:v>46254.51251577547</x:v>
      </x:c>
      <x:c r="AB1358" s="11" t="n">
        <x:v>46254.51251577547</x:v>
      </x:c>
      <x:c r="AC1358" t="str">
        <x:v>milrose</x:v>
      </x:c>
    </x:row>
    <x:row r="1359" ht="22" customHeight="1">
      <x:c r="A1359" t="str">
        <x:v>Milrose</x:v>
      </x:c>
      <x:c r="B1359" t="str">
        <x:v>A8.03</x:v>
      </x:c>
      <x:c r="C1359" t="str">
        <x:v>available</x:v>
      </x:c>
      <x:c r="D1359" t="str">
        <x:v>present</x:v>
      </x:c>
      <x:c r="E1359" t="str">
        <x:v>baseline</x:v>
      </x:c>
      <x:c r="F1359" s="11" t="n">
        <x:v>46252.68496519676</x:v>
      </x:c>
      <x:c r="G1359" t="str">
        <x:v>byt</x:v>
      </x:c>
      <x:c r="H1359" s="12" t="n">
        <x:v>3</x:v>
      </x:c>
      <x:c r="I1359" s="13" t="n">
        <x:v>8</x:v>
      </x:c>
      <x:c r="J1359" t="str">
        <x:v>A</x:v>
      </x:c>
      <x:c r="K1359" s="14"/>
      <x:c r="L1359" s="14"/>
      <x:c r="M1359" s="14"/>
      <x:c r="N1359" s="14"/>
      <x:c r="O1359" s="14"/>
      <x:c r="P1359" s="14"/>
      <x:c r="Q1359" s="14" t="n">
        <x:v>71.12</x:v>
      </x:c>
      <x:c r="R1359" s="15" t="n">
        <x:v>441600</x:v>
      </x:c>
      <x:c r="S1359" s="15" t="n">
        <x:v>441600</x:v>
      </x:c>
      <x:c r="T1359" s="15"/>
      <x:c r="U1359" s="16"/>
      <x:c r="V1359" t="str">
        <x:v>INTRADE Group</x:v>
      </x:c>
      <x:c r="W1359" t="str">
        <x:v>Ružinov</x:v>
      </x:c>
      <x:c r="X1359" s="11" t="str">
        <x:v>Voľný</x:v>
      </x:c>
      <x:c r="Y1359" s="11" t="str">
        <x:v>https://milrose.sk/byt/byt-a8-03/</x:v>
      </x:c>
      <x:c r="Z1359" s="11" t="n">
        <x:v>46252.68496519676</x:v>
      </x:c>
      <x:c r="AA1359" s="11" t="n">
        <x:v>46254.51251577547</x:v>
      </x:c>
      <x:c r="AB1359" s="11" t="n">
        <x:v>46254.51251577547</x:v>
      </x:c>
      <x:c r="AC1359" t="str">
        <x:v>milrose</x:v>
      </x:c>
    </x:row>
    <x:row r="1360" ht="22" customHeight="1">
      <x:c r="A1360" t="str">
        <x:v>Milrose</x:v>
      </x:c>
      <x:c r="B1360" t="str">
        <x:v>A8.04</x:v>
      </x:c>
      <x:c r="C1360" t="str">
        <x:v>available</x:v>
      </x:c>
      <x:c r="D1360" t="str">
        <x:v>present</x:v>
      </x:c>
      <x:c r="E1360" t="str">
        <x:v>baseline</x:v>
      </x:c>
      <x:c r="F1360" s="11" t="n">
        <x:v>46252.68496519676</x:v>
      </x:c>
      <x:c r="G1360" t="str">
        <x:v>byt</x:v>
      </x:c>
      <x:c r="H1360" s="12" t="n">
        <x:v>2</x:v>
      </x:c>
      <x:c r="I1360" s="13" t="n">
        <x:v>8</x:v>
      </x:c>
      <x:c r="J1360" t="str">
        <x:v>A</x:v>
      </x:c>
      <x:c r="K1360" s="14"/>
      <x:c r="L1360" s="14"/>
      <x:c r="M1360" s="14"/>
      <x:c r="N1360" s="14"/>
      <x:c r="O1360" s="14"/>
      <x:c r="P1360" s="14"/>
      <x:c r="Q1360" s="14" t="n">
        <x:v>48.54</x:v>
      </x:c>
      <x:c r="R1360" s="15" t="n">
        <x:v>312100</x:v>
      </x:c>
      <x:c r="S1360" s="15" t="n">
        <x:v>312100</x:v>
      </x:c>
      <x:c r="T1360" s="15"/>
      <x:c r="U1360" s="16"/>
      <x:c r="V1360" t="str">
        <x:v>INTRADE Group</x:v>
      </x:c>
      <x:c r="W1360" t="str">
        <x:v>Ružinov</x:v>
      </x:c>
      <x:c r="X1360" s="11" t="str">
        <x:v>Voľný</x:v>
      </x:c>
      <x:c r="Y1360" s="11" t="str">
        <x:v>https://milrose.sk/byt/byt-a8-04/</x:v>
      </x:c>
      <x:c r="Z1360" s="11" t="n">
        <x:v>46252.68496519676</x:v>
      </x:c>
      <x:c r="AA1360" s="11" t="n">
        <x:v>46254.51251577547</x:v>
      </x:c>
      <x:c r="AB1360" s="11" t="n">
        <x:v>46254.51251577547</x:v>
      </x:c>
      <x:c r="AC1360" t="str">
        <x:v>milrose</x:v>
      </x:c>
    </x:row>
    <x:row r="1361" ht="22" customHeight="1">
      <x:c r="A1361" t="str">
        <x:v>Milrose</x:v>
      </x:c>
      <x:c r="B1361" t="str">
        <x:v>A9.03</x:v>
      </x:c>
      <x:c r="C1361" t="str">
        <x:v>available</x:v>
      </x:c>
      <x:c r="D1361" t="str">
        <x:v>present</x:v>
      </x:c>
      <x:c r="E1361" t="str">
        <x:v>baseline</x:v>
      </x:c>
      <x:c r="F1361" s="11" t="n">
        <x:v>46252.68496519676</x:v>
      </x:c>
      <x:c r="G1361" t="str">
        <x:v>byt</x:v>
      </x:c>
      <x:c r="H1361" s="12" t="n">
        <x:v>3</x:v>
      </x:c>
      <x:c r="I1361" s="13" t="n">
        <x:v>9</x:v>
      </x:c>
      <x:c r="J1361" t="str">
        <x:v>A</x:v>
      </x:c>
      <x:c r="K1361" s="14"/>
      <x:c r="L1361" s="14"/>
      <x:c r="M1361" s="14"/>
      <x:c r="N1361" s="14"/>
      <x:c r="O1361" s="14"/>
      <x:c r="P1361" s="14"/>
      <x:c r="Q1361" s="14" t="n">
        <x:v>71.16</x:v>
      </x:c>
      <x:c r="R1361" s="15" t="n">
        <x:v>448000</x:v>
      </x:c>
      <x:c r="S1361" s="15" t="n">
        <x:v>448000</x:v>
      </x:c>
      <x:c r="T1361" s="15"/>
      <x:c r="U1361" s="16"/>
      <x:c r="V1361" t="str">
        <x:v>INTRADE Group</x:v>
      </x:c>
      <x:c r="W1361" t="str">
        <x:v>Ružinov</x:v>
      </x:c>
      <x:c r="X1361" s="11" t="str">
        <x:v>Voľný</x:v>
      </x:c>
      <x:c r="Y1361" s="11" t="str">
        <x:v>https://milrose.sk/byt/byt-a9-03/</x:v>
      </x:c>
      <x:c r="Z1361" s="11" t="n">
        <x:v>46252.68496519676</x:v>
      </x:c>
      <x:c r="AA1361" s="11" t="n">
        <x:v>46254.51251577547</x:v>
      </x:c>
      <x:c r="AB1361" s="11" t="n">
        <x:v>46254.51251577547</x:v>
      </x:c>
      <x:c r="AC1361" t="str">
        <x:v>milrose</x:v>
      </x:c>
    </x:row>
    <x:row r="1362" ht="22" customHeight="1">
      <x:c r="A1362" t="str">
        <x:v>Milrose</x:v>
      </x:c>
      <x:c r="B1362" t="str">
        <x:v>A9.04</x:v>
      </x:c>
      <x:c r="C1362" t="str">
        <x:v>sold</x:v>
      </x:c>
      <x:c r="D1362" t="str">
        <x:v>present</x:v>
      </x:c>
      <x:c r="E1362" t="str">
        <x:v>baseline</x:v>
      </x:c>
      <x:c r="F1362" s="11" t="n">
        <x:v>46252.68496519676</x:v>
      </x:c>
      <x:c r="G1362" t="str">
        <x:v>byt</x:v>
      </x:c>
      <x:c r="H1362" s="12" t="n">
        <x:v>2</x:v>
      </x:c>
      <x:c r="I1362" s="13" t="n">
        <x:v>9</x:v>
      </x:c>
      <x:c r="J1362" t="str">
        <x:v>A</x:v>
      </x:c>
      <x:c r="K1362" s="14"/>
      <x:c r="L1362" s="14"/>
      <x:c r="M1362" s="14"/>
      <x:c r="N1362" s="14"/>
      <x:c r="O1362" s="14"/>
      <x:c r="P1362" s="14"/>
      <x:c r="Q1362" s="14" t="n">
        <x:v>48.71</x:v>
      </x:c>
      <x:c r="R1362" s="15" t="n">
        <x:v>314800</x:v>
      </x:c>
      <x:c r="S1362" s="15" t="n">
        <x:v>314800</x:v>
      </x:c>
      <x:c r="T1362" s="15"/>
      <x:c r="U1362" s="16"/>
      <x:c r="V1362" t="str">
        <x:v>INTRADE Group</x:v>
      </x:c>
      <x:c r="W1362" t="str">
        <x:v>Ružinov</x:v>
      </x:c>
      <x:c r="X1362" s="11" t="str">
        <x:v>Predaný</x:v>
      </x:c>
      <x:c r="Y1362" s="11" t="str">
        <x:v>https://milrose.sk/byt/byt-a9-04/</x:v>
      </x:c>
      <x:c r="Z1362" s="11" t="n">
        <x:v>46252.68496519676</x:v>
      </x:c>
      <x:c r="AA1362" s="11" t="n">
        <x:v>46254.51251577547</x:v>
      </x:c>
      <x:c r="AB1362" s="11" t="n">
        <x:v>46254.51251577547</x:v>
      </x:c>
      <x:c r="AC1362" t="str">
        <x:v>milrose</x:v>
      </x:c>
    </x:row>
    <x:row r="1363" ht="22" customHeight="1">
      <x:c r="A1363" t="str">
        <x:v>Milrose</x:v>
      </x:c>
      <x:c r="B1363" t="str">
        <x:v>A9.05</x:v>
      </x:c>
      <x:c r="C1363" t="str">
        <x:v>sold</x:v>
      </x:c>
      <x:c r="D1363" t="str">
        <x:v>present</x:v>
      </x:c>
      <x:c r="E1363" t="str">
        <x:v>baseline</x:v>
      </x:c>
      <x:c r="F1363" s="11" t="n">
        <x:v>46252.68496519676</x:v>
      </x:c>
      <x:c r="G1363" t="str">
        <x:v>byt</x:v>
      </x:c>
      <x:c r="H1363" s="12" t="n">
        <x:v>1.5</x:v>
      </x:c>
      <x:c r="I1363" s="13" t="n">
        <x:v>9</x:v>
      </x:c>
      <x:c r="J1363" t="str">
        <x:v>A</x:v>
      </x:c>
      <x:c r="K1363" s="14"/>
      <x:c r="L1363" s="14"/>
      <x:c r="M1363" s="14"/>
      <x:c r="N1363" s="14"/>
      <x:c r="O1363" s="14"/>
      <x:c r="P1363" s="14"/>
      <x:c r="Q1363" s="14" t="n">
        <x:v>38.26</x:v>
      </x:c>
      <x:c r="R1363" s="15" t="n">
        <x:v>249200</x:v>
      </x:c>
      <x:c r="S1363" s="15" t="n">
        <x:v>249200</x:v>
      </x:c>
      <x:c r="T1363" s="15"/>
      <x:c r="U1363" s="16"/>
      <x:c r="V1363" t="str">
        <x:v>INTRADE Group</x:v>
      </x:c>
      <x:c r="W1363" t="str">
        <x:v>Ružinov</x:v>
      </x:c>
      <x:c r="X1363" s="11" t="str">
        <x:v>Predaný</x:v>
      </x:c>
      <x:c r="Y1363" s="11" t="str">
        <x:v>https://milrose.sk/byt/byt-a9-05/</x:v>
      </x:c>
      <x:c r="Z1363" s="11" t="n">
        <x:v>46252.68496519676</x:v>
      </x:c>
      <x:c r="AA1363" s="11" t="n">
        <x:v>46254.51251577547</x:v>
      </x:c>
      <x:c r="AB1363" s="11" t="n">
        <x:v>46254.51251577547</x:v>
      </x:c>
      <x:c r="AC1363" t="str">
        <x:v>milrose</x:v>
      </x:c>
    </x:row>
    <x:row r="1364" ht="22" customHeight="1">
      <x:c r="A1364" t="str">
        <x:v>Milrose</x:v>
      </x:c>
      <x:c r="B1364" t="str">
        <x:v>A10.03</x:v>
      </x:c>
      <x:c r="C1364" t="str">
        <x:v>reserved</x:v>
      </x:c>
      <x:c r="D1364" t="str">
        <x:v>present</x:v>
      </x:c>
      <x:c r="E1364" t="str">
        <x:v>baseline</x:v>
      </x:c>
      <x:c r="F1364" s="11" t="n">
        <x:v>46252.68496519676</x:v>
      </x:c>
      <x:c r="G1364" t="str">
        <x:v>byt</x:v>
      </x:c>
      <x:c r="H1364" s="12" t="n">
        <x:v>3</x:v>
      </x:c>
      <x:c r="I1364" s="13" t="n">
        <x:v>10</x:v>
      </x:c>
      <x:c r="J1364" t="str">
        <x:v>A</x:v>
      </x:c>
      <x:c r="K1364" s="14"/>
      <x:c r="L1364" s="14"/>
      <x:c r="M1364" s="14"/>
      <x:c r="N1364" s="14"/>
      <x:c r="O1364" s="14"/>
      <x:c r="P1364" s="14"/>
      <x:c r="Q1364" s="14" t="n">
        <x:v>65.3</x:v>
      </x:c>
      <x:c r="R1364" s="15" t="n">
        <x:v>392400</x:v>
      </x:c>
      <x:c r="S1364" s="15" t="n">
        <x:v>392400</x:v>
      </x:c>
      <x:c r="T1364" s="15"/>
      <x:c r="U1364" s="16"/>
      <x:c r="V1364" t="str">
        <x:v>INTRADE Group</x:v>
      </x:c>
      <x:c r="W1364" t="str">
        <x:v>Ružinov</x:v>
      </x:c>
      <x:c r="X1364" s="11" t="str">
        <x:v>Rezervovaný</x:v>
      </x:c>
      <x:c r="Y1364" s="11" t="str">
        <x:v>https://milrose.sk/byt/byt-a10-03/</x:v>
      </x:c>
      <x:c r="Z1364" s="11" t="n">
        <x:v>46252.68496519676</x:v>
      </x:c>
      <x:c r="AA1364" s="11" t="n">
        <x:v>46254.51251577547</x:v>
      </x:c>
      <x:c r="AB1364" s="11" t="n">
        <x:v>46254.51251577547</x:v>
      </x:c>
      <x:c r="AC1364" t="str">
        <x:v>milrose</x:v>
      </x:c>
    </x:row>
    <x:row r="1365" ht="22" customHeight="1">
      <x:c r="A1365" t="str">
        <x:v>Milrose</x:v>
      </x:c>
      <x:c r="B1365" t="str">
        <x:v>A10.04</x:v>
      </x:c>
      <x:c r="C1365" t="str">
        <x:v>available</x:v>
      </x:c>
      <x:c r="D1365" t="str">
        <x:v>present</x:v>
      </x:c>
      <x:c r="E1365" t="str">
        <x:v>baseline</x:v>
      </x:c>
      <x:c r="F1365" s="11" t="n">
        <x:v>46252.68496519676</x:v>
      </x:c>
      <x:c r="G1365" t="str">
        <x:v>byt</x:v>
      </x:c>
      <x:c r="H1365" s="12" t="n">
        <x:v>4</x:v>
      </x:c>
      <x:c r="I1365" s="13" t="n">
        <x:v>10</x:v>
      </x:c>
      <x:c r="J1365" t="str">
        <x:v>A</x:v>
      </x:c>
      <x:c r="K1365" s="14"/>
      <x:c r="L1365" s="14"/>
      <x:c r="M1365" s="14"/>
      <x:c r="N1365" s="14"/>
      <x:c r="O1365" s="14"/>
      <x:c r="P1365" s="14"/>
      <x:c r="Q1365" s="14" t="n">
        <x:v>122.6</x:v>
      </x:c>
      <x:c r="R1365" s="15" t="n">
        <x:v>791000</x:v>
      </x:c>
      <x:c r="S1365" s="15" t="n">
        <x:v>791000</x:v>
      </x:c>
      <x:c r="T1365" s="15"/>
      <x:c r="U1365" s="16"/>
      <x:c r="V1365" t="str">
        <x:v>INTRADE Group</x:v>
      </x:c>
      <x:c r="W1365" t="str">
        <x:v>Ružinov</x:v>
      </x:c>
      <x:c r="X1365" s="11" t="str">
        <x:v>Voľný</x:v>
      </x:c>
      <x:c r="Y1365" s="11" t="str">
        <x:v>https://milrose.sk/byt/byt-a10-04/</x:v>
      </x:c>
      <x:c r="Z1365" s="11" t="n">
        <x:v>46252.68496519676</x:v>
      </x:c>
      <x:c r="AA1365" s="11" t="n">
        <x:v>46254.51251577547</x:v>
      </x:c>
      <x:c r="AB1365" s="11" t="n">
        <x:v>46254.51251577547</x:v>
      </x:c>
      <x:c r="AC1365" t="str">
        <x:v>milrose</x:v>
      </x:c>
    </x:row>
    <x:row r="1366" ht="22" customHeight="1">
      <x:c r="A1366" t="str">
        <x:v>Milrose</x:v>
      </x:c>
      <x:c r="B1366" t="str">
        <x:v>A10.05</x:v>
      </x:c>
      <x:c r="C1366" t="str">
        <x:v>available</x:v>
      </x:c>
      <x:c r="D1366" t="str">
        <x:v>present</x:v>
      </x:c>
      <x:c r="E1366" t="str">
        <x:v>baseline</x:v>
      </x:c>
      <x:c r="F1366" s="11" t="n">
        <x:v>46252.68496519676</x:v>
      </x:c>
      <x:c r="G1366" t="str">
        <x:v>byt</x:v>
      </x:c>
      <x:c r="H1366" s="12" t="n">
        <x:v>3</x:v>
      </x:c>
      <x:c r="I1366" s="13" t="n">
        <x:v>10</x:v>
      </x:c>
      <x:c r="J1366" t="str">
        <x:v>A</x:v>
      </x:c>
      <x:c r="K1366" s="14"/>
      <x:c r="L1366" s="14"/>
      <x:c r="M1366" s="14"/>
      <x:c r="N1366" s="14"/>
      <x:c r="O1366" s="14"/>
      <x:c r="P1366" s="14"/>
      <x:c r="Q1366" s="14" t="n">
        <x:v>78.23</x:v>
      </x:c>
      <x:c r="R1366" s="15" t="n">
        <x:v>455600</x:v>
      </x:c>
      <x:c r="S1366" s="15" t="n">
        <x:v>455600</x:v>
      </x:c>
      <x:c r="T1366" s="15"/>
      <x:c r="U1366" s="16"/>
      <x:c r="V1366" t="str">
        <x:v>INTRADE Group</x:v>
      </x:c>
      <x:c r="W1366" t="str">
        <x:v>Ružinov</x:v>
      </x:c>
      <x:c r="X1366" s="11" t="str">
        <x:v>Voľný</x:v>
      </x:c>
      <x:c r="Y1366" s="11" t="str">
        <x:v>https://milrose.sk/byt/byt-a10-05/</x:v>
      </x:c>
      <x:c r="Z1366" s="11" t="n">
        <x:v>46252.68496519676</x:v>
      </x:c>
      <x:c r="AA1366" s="11" t="n">
        <x:v>46254.51251577547</x:v>
      </x:c>
      <x:c r="AB1366" s="11" t="n">
        <x:v>46254.51251577547</x:v>
      </x:c>
      <x:c r="AC1366" t="str">
        <x:v>milrose</x:v>
      </x:c>
    </x:row>
    <x:row r="1367" ht="22" customHeight="1">
      <x:c r="A1367" t="str">
        <x:v>Milrose</x:v>
      </x:c>
      <x:c r="B1367" t="str">
        <x:v>A10.06</x:v>
      </x:c>
      <x:c r="C1367" t="str">
        <x:v>sold</x:v>
      </x:c>
      <x:c r="D1367" t="str">
        <x:v>present</x:v>
      </x:c>
      <x:c r="E1367" t="str">
        <x:v>baseline</x:v>
      </x:c>
      <x:c r="F1367" s="11" t="n">
        <x:v>46252.68496519676</x:v>
      </x:c>
      <x:c r="G1367" t="str">
        <x:v>byt</x:v>
      </x:c>
      <x:c r="H1367" s="12" t="n">
        <x:v>2</x:v>
      </x:c>
      <x:c r="I1367" s="13" t="n">
        <x:v>10</x:v>
      </x:c>
      <x:c r="J1367" t="str">
        <x:v>A</x:v>
      </x:c>
      <x:c r="K1367" s="14"/>
      <x:c r="L1367" s="14"/>
      <x:c r="M1367" s="14"/>
      <x:c r="N1367" s="14"/>
      <x:c r="O1367" s="14"/>
      <x:c r="P1367" s="14"/>
      <x:c r="Q1367" s="14" t="n">
        <x:v>48.34</x:v>
      </x:c>
      <x:c r="R1367" s="15" t="n">
        <x:v>293600</x:v>
      </x:c>
      <x:c r="S1367" s="15" t="n">
        <x:v>293600</x:v>
      </x:c>
      <x:c r="T1367" s="15"/>
      <x:c r="U1367" s="16"/>
      <x:c r="V1367" t="str">
        <x:v>INTRADE Group</x:v>
      </x:c>
      <x:c r="W1367" t="str">
        <x:v>Ružinov</x:v>
      </x:c>
      <x:c r="X1367" s="11" t="str">
        <x:v>Predaný</x:v>
      </x:c>
      <x:c r="Y1367" s="11" t="str">
        <x:v>https://milrose.sk/byt/byt-a10-06/</x:v>
      </x:c>
      <x:c r="Z1367" s="11" t="n">
        <x:v>46252.68496519676</x:v>
      </x:c>
      <x:c r="AA1367" s="11" t="n">
        <x:v>46254.51251577547</x:v>
      </x:c>
      <x:c r="AB1367" s="11" t="n">
        <x:v>46254.51251577547</x:v>
      </x:c>
      <x:c r="AC1367" t="str">
        <x:v>milrose</x:v>
      </x:c>
    </x:row>
    <x:row r="1368" ht="22" customHeight="1">
      <x:c r="A1368" t="str">
        <x:v>Milrose</x:v>
      </x:c>
      <x:c r="B1368" t="str">
        <x:v>A10.07</x:v>
      </x:c>
      <x:c r="C1368" t="str">
        <x:v>reserved</x:v>
      </x:c>
      <x:c r="D1368" t="str">
        <x:v>present</x:v>
      </x:c>
      <x:c r="E1368" t="str">
        <x:v>baseline</x:v>
      </x:c>
      <x:c r="F1368" s="11" t="n">
        <x:v>46252.68496519676</x:v>
      </x:c>
      <x:c r="G1368" t="str">
        <x:v>byt</x:v>
      </x:c>
      <x:c r="H1368" s="12" t="n">
        <x:v>1.5</x:v>
      </x:c>
      <x:c r="I1368" s="13" t="n">
        <x:v>10</x:v>
      </x:c>
      <x:c r="J1368" t="str">
        <x:v>A</x:v>
      </x:c>
      <x:c r="K1368" s="14"/>
      <x:c r="L1368" s="14"/>
      <x:c r="M1368" s="14"/>
      <x:c r="N1368" s="14"/>
      <x:c r="O1368" s="14"/>
      <x:c r="P1368" s="14"/>
      <x:c r="Q1368" s="14" t="n">
        <x:v>38.26</x:v>
      </x:c>
      <x:c r="R1368" s="15" t="n">
        <x:v>253200</x:v>
      </x:c>
      <x:c r="S1368" s="15" t="n">
        <x:v>253200</x:v>
      </x:c>
      <x:c r="T1368" s="15"/>
      <x:c r="U1368" s="16"/>
      <x:c r="V1368" t="str">
        <x:v>INTRADE Group</x:v>
      </x:c>
      <x:c r="W1368" t="str">
        <x:v>Ružinov</x:v>
      </x:c>
      <x:c r="X1368" s="11" t="str">
        <x:v>Rezervovaný</x:v>
      </x:c>
      <x:c r="Y1368" s="11" t="str">
        <x:v>https://milrose.sk/byt/byt-a10-07/</x:v>
      </x:c>
      <x:c r="Z1368" s="11" t="n">
        <x:v>46252.68496519676</x:v>
      </x:c>
      <x:c r="AA1368" s="11" t="n">
        <x:v>46254.51251577547</x:v>
      </x:c>
      <x:c r="AB1368" s="11" t="n">
        <x:v>46254.51251577547</x:v>
      </x:c>
      <x:c r="AC1368" t="str">
        <x:v>milrose</x:v>
      </x:c>
    </x:row>
    <x:row r="1369" ht="22" customHeight="1">
      <x:c r="A1369" t="str">
        <x:v>Milrose</x:v>
      </x:c>
      <x:c r="B1369" t="str">
        <x:v>A11.01</x:v>
      </x:c>
      <x:c r="C1369" t="str">
        <x:v>reserved</x:v>
      </x:c>
      <x:c r="D1369" t="str">
        <x:v>present</x:v>
      </x:c>
      <x:c r="E1369" t="str">
        <x:v>baseline</x:v>
      </x:c>
      <x:c r="F1369" s="11" t="n">
        <x:v>46252.68496519676</x:v>
      </x:c>
      <x:c r="G1369" t="str">
        <x:v>byt</x:v>
      </x:c>
      <x:c r="H1369" s="12" t="n">
        <x:v>3</x:v>
      </x:c>
      <x:c r="I1369" s="13" t="n">
        <x:v>11</x:v>
      </x:c>
      <x:c r="J1369" t="str">
        <x:v>A</x:v>
      </x:c>
      <x:c r="K1369" s="14"/>
      <x:c r="L1369" s="14"/>
      <x:c r="M1369" s="14"/>
      <x:c r="N1369" s="14"/>
      <x:c r="O1369" s="14"/>
      <x:c r="P1369" s="14"/>
      <x:c r="Q1369" s="14" t="n">
        <x:v>67.26</x:v>
      </x:c>
      <x:c r="R1369" s="15" t="n">
        <x:v>388500</x:v>
      </x:c>
      <x:c r="S1369" s="15" t="n">
        <x:v>388500</x:v>
      </x:c>
      <x:c r="T1369" s="15"/>
      <x:c r="U1369" s="16"/>
      <x:c r="V1369" t="str">
        <x:v>INTRADE Group</x:v>
      </x:c>
      <x:c r="W1369" t="str">
        <x:v>Ružinov</x:v>
      </x:c>
      <x:c r="X1369" s="11" t="str">
        <x:v>Rezervovaný</x:v>
      </x:c>
      <x:c r="Y1369" s="11" t="str">
        <x:v>https://milrose.sk/byt/byt-a11-01/</x:v>
      </x:c>
      <x:c r="Z1369" s="11" t="n">
        <x:v>46252.68496519676</x:v>
      </x:c>
      <x:c r="AA1369" s="11" t="n">
        <x:v>46254.51251577547</x:v>
      </x:c>
      <x:c r="AB1369" s="11" t="n">
        <x:v>46254.51251577547</x:v>
      </x:c>
      <x:c r="AC1369" t="str">
        <x:v>milrose</x:v>
      </x:c>
    </x:row>
    <x:row r="1370" ht="22" customHeight="1">
      <x:c r="A1370" t="str">
        <x:v>Milrose</x:v>
      </x:c>
      <x:c r="B1370" t="str">
        <x:v>A11.02</x:v>
      </x:c>
      <x:c r="C1370" t="str">
        <x:v>reserved</x:v>
      </x:c>
      <x:c r="D1370" t="str">
        <x:v>present</x:v>
      </x:c>
      <x:c r="E1370" t="str">
        <x:v>baseline</x:v>
      </x:c>
      <x:c r="F1370" s="11" t="n">
        <x:v>46252.68496519676</x:v>
      </x:c>
      <x:c r="G1370" t="str">
        <x:v>byt</x:v>
      </x:c>
      <x:c r="H1370" s="12" t="n">
        <x:v>3</x:v>
      </x:c>
      <x:c r="I1370" s="13" t="n">
        <x:v>11</x:v>
      </x:c>
      <x:c r="J1370" t="str">
        <x:v>A</x:v>
      </x:c>
      <x:c r="K1370" s="14"/>
      <x:c r="L1370" s="14"/>
      <x:c r="M1370" s="14"/>
      <x:c r="N1370" s="14"/>
      <x:c r="O1370" s="14"/>
      <x:c r="P1370" s="14"/>
      <x:c r="Q1370" s="14" t="n">
        <x:v>73.07</x:v>
      </x:c>
      <x:c r="R1370" s="15" t="n">
        <x:v>463100</x:v>
      </x:c>
      <x:c r="S1370" s="15" t="n">
        <x:v>463100</x:v>
      </x:c>
      <x:c r="T1370" s="15"/>
      <x:c r="U1370" s="16"/>
      <x:c r="V1370" t="str">
        <x:v>INTRADE Group</x:v>
      </x:c>
      <x:c r="W1370" t="str">
        <x:v>Ružinov</x:v>
      </x:c>
      <x:c r="X1370" s="11" t="str">
        <x:v>Rezervovaný</x:v>
      </x:c>
      <x:c r="Y1370" s="11" t="str">
        <x:v>https://milrose.sk/byt/byt-a11-02/</x:v>
      </x:c>
      <x:c r="Z1370" s="11" t="n">
        <x:v>46252.68496519676</x:v>
      </x:c>
      <x:c r="AA1370" s="11" t="n">
        <x:v>46254.51251577547</x:v>
      </x:c>
      <x:c r="AB1370" s="11" t="n">
        <x:v>46254.51251577547</x:v>
      </x:c>
      <x:c r="AC1370" t="str">
        <x:v>milrose</x:v>
      </x:c>
    </x:row>
    <x:row r="1371" ht="22" customHeight="1">
      <x:c r="A1371" t="str">
        <x:v>Milrose</x:v>
      </x:c>
      <x:c r="B1371" t="str">
        <x:v>A11.03</x:v>
      </x:c>
      <x:c r="C1371" t="str">
        <x:v>sold</x:v>
      </x:c>
      <x:c r="D1371" t="str">
        <x:v>present</x:v>
      </x:c>
      <x:c r="E1371" t="str">
        <x:v>baseline</x:v>
      </x:c>
      <x:c r="F1371" s="11" t="n">
        <x:v>46252.68496519676</x:v>
      </x:c>
      <x:c r="G1371" t="str">
        <x:v>byt</x:v>
      </x:c>
      <x:c r="H1371" s="12" t="n">
        <x:v>3</x:v>
      </x:c>
      <x:c r="I1371" s="13" t="n">
        <x:v>11</x:v>
      </x:c>
      <x:c r="J1371" t="str">
        <x:v>A</x:v>
      </x:c>
      <x:c r="K1371" s="14"/>
      <x:c r="L1371" s="14"/>
      <x:c r="M1371" s="14"/>
      <x:c r="N1371" s="14"/>
      <x:c r="O1371" s="14"/>
      <x:c r="P1371" s="14"/>
      <x:c r="Q1371" s="14" t="n">
        <x:v>65.34</x:v>
      </x:c>
      <x:c r="R1371" s="15" t="n">
        <x:v>397000</x:v>
      </x:c>
      <x:c r="S1371" s="15" t="n">
        <x:v>397000</x:v>
      </x:c>
      <x:c r="T1371" s="15"/>
      <x:c r="U1371" s="16"/>
      <x:c r="V1371" t="str">
        <x:v>INTRADE Group</x:v>
      </x:c>
      <x:c r="W1371" t="str">
        <x:v>Ružinov</x:v>
      </x:c>
      <x:c r="X1371" s="11" t="str">
        <x:v>Predaný</x:v>
      </x:c>
      <x:c r="Y1371" s="11" t="str">
        <x:v>https://milrose.sk/byt/byt-a11-03/</x:v>
      </x:c>
      <x:c r="Z1371" s="11" t="n">
        <x:v>46252.68496519676</x:v>
      </x:c>
      <x:c r="AA1371" s="11" t="n">
        <x:v>46254.51251577547</x:v>
      </x:c>
      <x:c r="AB1371" s="11" t="n">
        <x:v>46254.51251577547</x:v>
      </x:c>
      <x:c r="AC1371" t="str">
        <x:v>milrose</x:v>
      </x:c>
    </x:row>
    <x:row r="1372" ht="22" customHeight="1">
      <x:c r="A1372" t="str">
        <x:v>Milrose</x:v>
      </x:c>
      <x:c r="B1372" t="str">
        <x:v>A11.04</x:v>
      </x:c>
      <x:c r="C1372" t="str">
        <x:v>reserved</x:v>
      </x:c>
      <x:c r="D1372" t="str">
        <x:v>present</x:v>
      </x:c>
      <x:c r="E1372" t="str">
        <x:v>baseline</x:v>
      </x:c>
      <x:c r="F1372" s="11" t="n">
        <x:v>46252.68496519676</x:v>
      </x:c>
      <x:c r="G1372" t="str">
        <x:v>byt</x:v>
      </x:c>
      <x:c r="H1372" s="12" t="n">
        <x:v>4</x:v>
      </x:c>
      <x:c r="I1372" s="13" t="n">
        <x:v>11</x:v>
      </x:c>
      <x:c r="J1372" t="str">
        <x:v>A</x:v>
      </x:c>
      <x:c r="K1372" s="14"/>
      <x:c r="L1372" s="14"/>
      <x:c r="M1372" s="14"/>
      <x:c r="N1372" s="14"/>
      <x:c r="O1372" s="14"/>
      <x:c r="P1372" s="14"/>
      <x:c r="Q1372" s="14" t="n">
        <x:v>123.06</x:v>
      </x:c>
      <x:c r="R1372" s="15" t="n">
        <x:v>728200</x:v>
      </x:c>
      <x:c r="S1372" s="15" t="n">
        <x:v>728200</x:v>
      </x:c>
      <x:c r="T1372" s="15"/>
      <x:c r="U1372" s="16"/>
      <x:c r="V1372" t="str">
        <x:v>INTRADE Group</x:v>
      </x:c>
      <x:c r="W1372" t="str">
        <x:v>Ružinov</x:v>
      </x:c>
      <x:c r="X1372" s="11" t="str">
        <x:v>Rezervovaný</x:v>
      </x:c>
      <x:c r="Y1372" s="11" t="str">
        <x:v>https://milrose.sk/byt/byt-a11-04/</x:v>
      </x:c>
      <x:c r="Z1372" s="11" t="n">
        <x:v>46252.68496519676</x:v>
      </x:c>
      <x:c r="AA1372" s="11" t="n">
        <x:v>46254.51251577547</x:v>
      </x:c>
      <x:c r="AB1372" s="11" t="n">
        <x:v>46254.51251577547</x:v>
      </x:c>
      <x:c r="AC1372" t="str">
        <x:v>milrose</x:v>
      </x:c>
    </x:row>
    <x:row r="1373" ht="22" customHeight="1">
      <x:c r="A1373" t="str">
        <x:v>Milrose</x:v>
      </x:c>
      <x:c r="B1373" t="str">
        <x:v>A11.05</x:v>
      </x:c>
      <x:c r="C1373" t="str">
        <x:v>available</x:v>
      </x:c>
      <x:c r="D1373" t="str">
        <x:v>present</x:v>
      </x:c>
      <x:c r="E1373" t="str">
        <x:v>baseline</x:v>
      </x:c>
      <x:c r="F1373" s="11" t="n">
        <x:v>46252.68496519676</x:v>
      </x:c>
      <x:c r="G1373" t="str">
        <x:v>byt</x:v>
      </x:c>
      <x:c r="H1373" s="12" t="n">
        <x:v>3</x:v>
      </x:c>
      <x:c r="I1373" s="13" t="n">
        <x:v>11</x:v>
      </x:c>
      <x:c r="J1373" t="str">
        <x:v>A</x:v>
      </x:c>
      <x:c r="K1373" s="14"/>
      <x:c r="L1373" s="14"/>
      <x:c r="M1373" s="14"/>
      <x:c r="N1373" s="14"/>
      <x:c r="O1373" s="14"/>
      <x:c r="P1373" s="14"/>
      <x:c r="Q1373" s="14" t="n">
        <x:v>77.78</x:v>
      </x:c>
      <x:c r="R1373" s="15" t="n">
        <x:v>450500</x:v>
      </x:c>
      <x:c r="S1373" s="15" t="n">
        <x:v>450500</x:v>
      </x:c>
      <x:c r="T1373" s="15"/>
      <x:c r="U1373" s="16"/>
      <x:c r="V1373" t="str">
        <x:v>INTRADE Group</x:v>
      </x:c>
      <x:c r="W1373" t="str">
        <x:v>Ružinov</x:v>
      </x:c>
      <x:c r="X1373" s="11" t="str">
        <x:v>Voľný</x:v>
      </x:c>
      <x:c r="Y1373" s="11" t="str">
        <x:v>https://milrose.sk/byt/byt-a11-05/</x:v>
      </x:c>
      <x:c r="Z1373" s="11" t="n">
        <x:v>46252.68496519676</x:v>
      </x:c>
      <x:c r="AA1373" s="11" t="n">
        <x:v>46254.51251577547</x:v>
      </x:c>
      <x:c r="AB1373" s="11" t="n">
        <x:v>46254.51251577547</x:v>
      </x:c>
      <x:c r="AC1373" t="str">
        <x:v>milrose</x:v>
      </x:c>
    </x:row>
    <x:row r="1374" ht="22" customHeight="1">
      <x:c r="A1374" t="str">
        <x:v>Milrose</x:v>
      </x:c>
      <x:c r="B1374" t="str">
        <x:v>A11.06</x:v>
      </x:c>
      <x:c r="C1374" t="str">
        <x:v>sold</x:v>
      </x:c>
      <x:c r="D1374" t="str">
        <x:v>present</x:v>
      </x:c>
      <x:c r="E1374" t="str">
        <x:v>baseline</x:v>
      </x:c>
      <x:c r="F1374" s="11" t="n">
        <x:v>46252.68496519676</x:v>
      </x:c>
      <x:c r="G1374" t="str">
        <x:v>byt</x:v>
      </x:c>
      <x:c r="H1374" s="12" t="n">
        <x:v>2</x:v>
      </x:c>
      <x:c r="I1374" s="13" t="n">
        <x:v>11</x:v>
      </x:c>
      <x:c r="J1374" t="str">
        <x:v>A</x:v>
      </x:c>
      <x:c r="K1374" s="14"/>
      <x:c r="L1374" s="14"/>
      <x:c r="M1374" s="14"/>
      <x:c r="N1374" s="14"/>
      <x:c r="O1374" s="14"/>
      <x:c r="P1374" s="14"/>
      <x:c r="Q1374" s="14" t="n">
        <x:v>48.71</x:v>
      </x:c>
      <x:c r="R1374" s="15" t="n">
        <x:v>318800</x:v>
      </x:c>
      <x:c r="S1374" s="15" t="n">
        <x:v>318800</x:v>
      </x:c>
      <x:c r="T1374" s="15"/>
      <x:c r="U1374" s="16"/>
      <x:c r="V1374" t="str">
        <x:v>INTRADE Group</x:v>
      </x:c>
      <x:c r="W1374" t="str">
        <x:v>Ružinov</x:v>
      </x:c>
      <x:c r="X1374" s="11" t="str">
        <x:v>Predaný</x:v>
      </x:c>
      <x:c r="Y1374" s="11" t="str">
        <x:v>https://milrose.sk/byt/byt-a11-06/</x:v>
      </x:c>
      <x:c r="Z1374" s="11" t="n">
        <x:v>46252.68496519676</x:v>
      </x:c>
      <x:c r="AA1374" s="11" t="n">
        <x:v>46254.51251577547</x:v>
      </x:c>
      <x:c r="AB1374" s="11" t="n">
        <x:v>46254.51251577547</x:v>
      </x:c>
      <x:c r="AC1374" t="str">
        <x:v>milrose</x:v>
      </x:c>
    </x:row>
    <x:row r="1375" ht="22" customHeight="1">
      <x:c r="A1375" t="str">
        <x:v>Milrose</x:v>
      </x:c>
      <x:c r="B1375" t="str">
        <x:v>A12.01</x:v>
      </x:c>
      <x:c r="C1375" t="str">
        <x:v>sold</x:v>
      </x:c>
      <x:c r="D1375" t="str">
        <x:v>present</x:v>
      </x:c>
      <x:c r="E1375" t="str">
        <x:v>baseline</x:v>
      </x:c>
      <x:c r="F1375" s="11" t="n">
        <x:v>46252.68496519676</x:v>
      </x:c>
      <x:c r="G1375" t="str">
        <x:v>byt</x:v>
      </x:c>
      <x:c r="H1375" s="12" t="n">
        <x:v>3</x:v>
      </x:c>
      <x:c r="I1375" s="13" t="n">
        <x:v>12</x:v>
      </x:c>
      <x:c r="J1375" t="str">
        <x:v>A</x:v>
      </x:c>
      <x:c r="K1375" s="14"/>
      <x:c r="L1375" s="14"/>
      <x:c r="M1375" s="14"/>
      <x:c r="N1375" s="14"/>
      <x:c r="O1375" s="14"/>
      <x:c r="P1375" s="14"/>
      <x:c r="Q1375" s="14" t="n">
        <x:v>67.07</x:v>
      </x:c>
      <x:c r="R1375" s="15" t="n">
        <x:v>395800</x:v>
      </x:c>
      <x:c r="S1375" s="15" t="n">
        <x:v>395800</x:v>
      </x:c>
      <x:c r="T1375" s="15"/>
      <x:c r="U1375" s="16"/>
      <x:c r="V1375" t="str">
        <x:v>INTRADE Group</x:v>
      </x:c>
      <x:c r="W1375" t="str">
        <x:v>Ružinov</x:v>
      </x:c>
      <x:c r="X1375" s="11" t="str">
        <x:v>Predaný</x:v>
      </x:c>
      <x:c r="Y1375" s="11" t="str">
        <x:v>https://milrose.sk/byt/byt-a12-01/</x:v>
      </x:c>
      <x:c r="Z1375" s="11" t="n">
        <x:v>46252.68496519676</x:v>
      </x:c>
      <x:c r="AA1375" s="11" t="n">
        <x:v>46254.51251577547</x:v>
      </x:c>
      <x:c r="AB1375" s="11" t="n">
        <x:v>46254.51251577547</x:v>
      </x:c>
      <x:c r="AC1375" t="str">
        <x:v>milrose</x:v>
      </x:c>
    </x:row>
    <x:row r="1376" ht="22" customHeight="1">
      <x:c r="A1376" t="str">
        <x:v>Milrose</x:v>
      </x:c>
      <x:c r="B1376" t="str">
        <x:v>A12.02</x:v>
      </x:c>
      <x:c r="C1376" t="str">
        <x:v>available</x:v>
      </x:c>
      <x:c r="D1376" t="str">
        <x:v>present</x:v>
      </x:c>
      <x:c r="E1376" t="str">
        <x:v>baseline</x:v>
      </x:c>
      <x:c r="F1376" s="11" t="n">
        <x:v>46252.68496519676</x:v>
      </x:c>
      <x:c r="G1376" t="str">
        <x:v>byt</x:v>
      </x:c>
      <x:c r="H1376" s="12" t="n">
        <x:v>3</x:v>
      </x:c>
      <x:c r="I1376" s="13" t="n">
        <x:v>12</x:v>
      </x:c>
      <x:c r="J1376" t="str">
        <x:v>A</x:v>
      </x:c>
      <x:c r="K1376" s="14"/>
      <x:c r="L1376" s="14"/>
      <x:c r="M1376" s="14"/>
      <x:c r="N1376" s="14"/>
      <x:c r="O1376" s="14"/>
      <x:c r="P1376" s="14"/>
      <x:c r="Q1376" s="14" t="n">
        <x:v>72.35</x:v>
      </x:c>
      <x:c r="R1376" s="15" t="n">
        <x:v>464500</x:v>
      </x:c>
      <x:c r="S1376" s="15" t="n">
        <x:v>464500</x:v>
      </x:c>
      <x:c r="T1376" s="15"/>
      <x:c r="U1376" s="16"/>
      <x:c r="V1376" t="str">
        <x:v>INTRADE Group</x:v>
      </x:c>
      <x:c r="W1376" t="str">
        <x:v>Ružinov</x:v>
      </x:c>
      <x:c r="X1376" s="11" t="str">
        <x:v>Voľný</x:v>
      </x:c>
      <x:c r="Y1376" s="11" t="str">
        <x:v>https://milrose.sk/byt/byt-a12-02/</x:v>
      </x:c>
      <x:c r="Z1376" s="11" t="n">
        <x:v>46252.68496519676</x:v>
      </x:c>
      <x:c r="AA1376" s="11" t="n">
        <x:v>46254.51251577547</x:v>
      </x:c>
      <x:c r="AB1376" s="11" t="n">
        <x:v>46254.51251577547</x:v>
      </x:c>
      <x:c r="AC1376" t="str">
        <x:v>milrose</x:v>
      </x:c>
    </x:row>
    <x:row r="1377" ht="22" customHeight="1">
      <x:c r="A1377" t="str">
        <x:v>Milrose</x:v>
      </x:c>
      <x:c r="B1377" t="str">
        <x:v>A12.03</x:v>
      </x:c>
      <x:c r="C1377" t="str">
        <x:v>reserved</x:v>
      </x:c>
      <x:c r="D1377" t="str">
        <x:v>present</x:v>
      </x:c>
      <x:c r="E1377" t="str">
        <x:v>baseline</x:v>
      </x:c>
      <x:c r="F1377" s="11" t="n">
        <x:v>46252.68496519676</x:v>
      </x:c>
      <x:c r="G1377" t="str">
        <x:v>byt</x:v>
      </x:c>
      <x:c r="H1377" s="12" t="n">
        <x:v>3</x:v>
      </x:c>
      <x:c r="I1377" s="13" t="n">
        <x:v>12</x:v>
      </x:c>
      <x:c r="J1377" t="str">
        <x:v>A</x:v>
      </x:c>
      <x:c r="K1377" s="14"/>
      <x:c r="L1377" s="14"/>
      <x:c r="M1377" s="14"/>
      <x:c r="N1377" s="14"/>
      <x:c r="O1377" s="14"/>
      <x:c r="P1377" s="14"/>
      <x:c r="Q1377" s="14" t="n">
        <x:v>65.3</x:v>
      </x:c>
      <x:c r="R1377" s="15" t="n">
        <x:v>405600</x:v>
      </x:c>
      <x:c r="S1377" s="15" t="n">
        <x:v>405600</x:v>
      </x:c>
      <x:c r="T1377" s="15"/>
      <x:c r="U1377" s="16"/>
      <x:c r="V1377" t="str">
        <x:v>INTRADE Group</x:v>
      </x:c>
      <x:c r="W1377" t="str">
        <x:v>Ružinov</x:v>
      </x:c>
      <x:c r="X1377" s="11" t="str">
        <x:v>Rezervovaný</x:v>
      </x:c>
      <x:c r="Y1377" s="11" t="str">
        <x:v>https://milrose.sk/byt/byt-a12-03/</x:v>
      </x:c>
      <x:c r="Z1377" s="11" t="n">
        <x:v>46252.68496519676</x:v>
      </x:c>
      <x:c r="AA1377" s="11" t="n">
        <x:v>46254.51251577547</x:v>
      </x:c>
      <x:c r="AB1377" s="11" t="n">
        <x:v>46254.51251577547</x:v>
      </x:c>
      <x:c r="AC1377" t="str">
        <x:v>milrose</x:v>
      </x:c>
    </x:row>
    <x:row r="1378" ht="22" customHeight="1">
      <x:c r="A1378" t="str">
        <x:v>Milrose</x:v>
      </x:c>
      <x:c r="B1378" t="str">
        <x:v>A12.04</x:v>
      </x:c>
      <x:c r="C1378" t="str">
        <x:v>available</x:v>
      </x:c>
      <x:c r="D1378" t="str">
        <x:v>present</x:v>
      </x:c>
      <x:c r="E1378" t="str">
        <x:v>baseline</x:v>
      </x:c>
      <x:c r="F1378" s="11" t="n">
        <x:v>46252.68496519676</x:v>
      </x:c>
      <x:c r="G1378" t="str">
        <x:v>byt</x:v>
      </x:c>
      <x:c r="H1378" s="12" t="n">
        <x:v>4</x:v>
      </x:c>
      <x:c r="I1378" s="13" t="n">
        <x:v>12</x:v>
      </x:c>
      <x:c r="J1378" t="str">
        <x:v>A</x:v>
      </x:c>
      <x:c r="K1378" s="14"/>
      <x:c r="L1378" s="14"/>
      <x:c r="M1378" s="14"/>
      <x:c r="N1378" s="14"/>
      <x:c r="O1378" s="14"/>
      <x:c r="P1378" s="14"/>
      <x:c r="Q1378" s="14" t="n">
        <x:v>122.6</x:v>
      </x:c>
      <x:c r="R1378" s="15" t="n">
        <x:v>815600</x:v>
      </x:c>
      <x:c r="S1378" s="15" t="n">
        <x:v>815600</x:v>
      </x:c>
      <x:c r="T1378" s="15"/>
      <x:c r="U1378" s="16"/>
      <x:c r="V1378" t="str">
        <x:v>INTRADE Group</x:v>
      </x:c>
      <x:c r="W1378" t="str">
        <x:v>Ružinov</x:v>
      </x:c>
      <x:c r="X1378" s="11" t="str">
        <x:v>Voľný</x:v>
      </x:c>
      <x:c r="Y1378" s="11" t="str">
        <x:v>https://milrose.sk/byt/byt-a12-04/</x:v>
      </x:c>
      <x:c r="Z1378" s="11" t="n">
        <x:v>46252.68496519676</x:v>
      </x:c>
      <x:c r="AA1378" s="11" t="n">
        <x:v>46254.51251577547</x:v>
      </x:c>
      <x:c r="AB1378" s="11" t="n">
        <x:v>46254.51251577547</x:v>
      </x:c>
      <x:c r="AC1378" t="str">
        <x:v>milrose</x:v>
      </x:c>
    </x:row>
    <x:row r="1379" ht="22" customHeight="1">
      <x:c r="A1379" t="str">
        <x:v>Milrose</x:v>
      </x:c>
      <x:c r="B1379" t="str">
        <x:v>A12.05</x:v>
      </x:c>
      <x:c r="C1379" t="str">
        <x:v>available</x:v>
      </x:c>
      <x:c r="D1379" t="str">
        <x:v>present</x:v>
      </x:c>
      <x:c r="E1379" t="str">
        <x:v>baseline</x:v>
      </x:c>
      <x:c r="F1379" s="11" t="n">
        <x:v>46252.68496519676</x:v>
      </x:c>
      <x:c r="G1379" t="str">
        <x:v>byt</x:v>
      </x:c>
      <x:c r="H1379" s="12" t="n">
        <x:v>3</x:v>
      </x:c>
      <x:c r="I1379" s="13" t="n">
        <x:v>12</x:v>
      </x:c>
      <x:c r="J1379" t="str">
        <x:v>A</x:v>
      </x:c>
      <x:c r="K1379" s="14"/>
      <x:c r="L1379" s="14"/>
      <x:c r="M1379" s="14"/>
      <x:c r="N1379" s="14"/>
      <x:c r="O1379" s="14"/>
      <x:c r="P1379" s="14"/>
      <x:c r="Q1379" s="14" t="n">
        <x:v>77.78</x:v>
      </x:c>
      <x:c r="R1379" s="15" t="n">
        <x:v>456000</x:v>
      </x:c>
      <x:c r="S1379" s="15" t="n">
        <x:v>456000</x:v>
      </x:c>
      <x:c r="T1379" s="15"/>
      <x:c r="U1379" s="16"/>
      <x:c r="V1379" t="str">
        <x:v>INTRADE Group</x:v>
      </x:c>
      <x:c r="W1379" t="str">
        <x:v>Ružinov</x:v>
      </x:c>
      <x:c r="X1379" s="11" t="str">
        <x:v>Voľný</x:v>
      </x:c>
      <x:c r="Y1379" s="11" t="str">
        <x:v>https://milrose.sk/byt/byt-a12-05/</x:v>
      </x:c>
      <x:c r="Z1379" s="11" t="n">
        <x:v>46252.68496519676</x:v>
      </x:c>
      <x:c r="AA1379" s="11" t="n">
        <x:v>46254.51251577547</x:v>
      </x:c>
      <x:c r="AB1379" s="11" t="n">
        <x:v>46254.51251577547</x:v>
      </x:c>
      <x:c r="AC1379" t="str">
        <x:v>milrose</x:v>
      </x:c>
    </x:row>
    <x:row r="1380" ht="22" customHeight="1">
      <x:c r="A1380" t="str">
        <x:v>Milrose</x:v>
      </x:c>
      <x:c r="B1380" t="str">
        <x:v>A12.06</x:v>
      </x:c>
      <x:c r="C1380" t="str">
        <x:v>pre_reserved</x:v>
      </x:c>
      <x:c r="D1380" t="str">
        <x:v>present</x:v>
      </x:c>
      <x:c r="E1380" t="str">
        <x:v>baseline</x:v>
      </x:c>
      <x:c r="F1380" s="11" t="n">
        <x:v>46252.68496519676</x:v>
      </x:c>
      <x:c r="G1380" t="str">
        <x:v>byt</x:v>
      </x:c>
      <x:c r="H1380" s="12" t="n">
        <x:v>2</x:v>
      </x:c>
      <x:c r="I1380" s="13" t="n">
        <x:v>12</x:v>
      </x:c>
      <x:c r="J1380" t="str">
        <x:v>A</x:v>
      </x:c>
      <x:c r="K1380" s="14"/>
      <x:c r="L1380" s="14"/>
      <x:c r="M1380" s="14"/>
      <x:c r="N1380" s="14"/>
      <x:c r="O1380" s="14"/>
      <x:c r="P1380" s="14"/>
      <x:c r="Q1380" s="14" t="n">
        <x:v>48.71</x:v>
      </x:c>
      <x:c r="R1380" s="15" t="n">
        <x:v>324300</x:v>
      </x:c>
      <x:c r="S1380" s="15" t="n">
        <x:v>324300</x:v>
      </x:c>
      <x:c r="T1380" s="15"/>
      <x:c r="U1380" s="16"/>
      <x:c r="V1380" t="str">
        <x:v>INTRADE Group</x:v>
      </x:c>
      <x:c r="W1380" t="str">
        <x:v>Ružinov</x:v>
      </x:c>
      <x:c r="X1380" s="11" t="str">
        <x:v>Predbežne rezervovaný</x:v>
      </x:c>
      <x:c r="Y1380" s="11" t="str">
        <x:v>https://milrose.sk/byt/byt-a12-06/</x:v>
      </x:c>
      <x:c r="Z1380" s="11" t="n">
        <x:v>46252.68496519676</x:v>
      </x:c>
      <x:c r="AA1380" s="11" t="n">
        <x:v>46254.51251577547</x:v>
      </x:c>
      <x:c r="AB1380" s="11" t="n">
        <x:v>46254.51251577547</x:v>
      </x:c>
      <x:c r="AC1380" t="str">
        <x:v>milrose</x:v>
      </x:c>
    </x:row>
    <x:row r="1381" ht="22" customHeight="1">
      <x:c r="A1381" t="str">
        <x:v>Milrose</x:v>
      </x:c>
      <x:c r="B1381" t="str">
        <x:v>A13.01</x:v>
      </x:c>
      <x:c r="C1381" t="str">
        <x:v>pre_reserved</x:v>
      </x:c>
      <x:c r="D1381" t="str">
        <x:v>present</x:v>
      </x:c>
      <x:c r="E1381" t="str">
        <x:v>baseline</x:v>
      </x:c>
      <x:c r="F1381" s="11" t="n">
        <x:v>46252.68496519676</x:v>
      </x:c>
      <x:c r="G1381" t="str">
        <x:v>byt</x:v>
      </x:c>
      <x:c r="H1381" s="12" t="n">
        <x:v>3</x:v>
      </x:c>
      <x:c r="I1381" s="13" t="n">
        <x:v>13</x:v>
      </x:c>
      <x:c r="J1381" t="str">
        <x:v>A</x:v>
      </x:c>
      <x:c r="K1381" s="14"/>
      <x:c r="L1381" s="14"/>
      <x:c r="M1381" s="14"/>
      <x:c r="N1381" s="14"/>
      <x:c r="O1381" s="14"/>
      <x:c r="P1381" s="14"/>
      <x:c r="Q1381" s="14" t="n">
        <x:v>67.11</x:v>
      </x:c>
      <x:c r="R1381" s="15" t="n">
        <x:v>414100</x:v>
      </x:c>
      <x:c r="S1381" s="15" t="n">
        <x:v>414100</x:v>
      </x:c>
      <x:c r="T1381" s="15"/>
      <x:c r="U1381" s="16"/>
      <x:c r="V1381" t="str">
        <x:v>INTRADE Group</x:v>
      </x:c>
      <x:c r="W1381" t="str">
        <x:v>Ružinov</x:v>
      </x:c>
      <x:c r="X1381" s="11" t="str">
        <x:v>Predbežne rezervovaný</x:v>
      </x:c>
      <x:c r="Y1381" s="11" t="str">
        <x:v>https://milrose.sk/byt/byt-a13-01/</x:v>
      </x:c>
      <x:c r="Z1381" s="11" t="n">
        <x:v>46252.68496519676</x:v>
      </x:c>
      <x:c r="AA1381" s="11" t="n">
        <x:v>46254.51251577547</x:v>
      </x:c>
      <x:c r="AB1381" s="11" t="n">
        <x:v>46254.51251577547</x:v>
      </x:c>
      <x:c r="AC1381" t="str">
        <x:v>milrose</x:v>
      </x:c>
    </x:row>
    <x:row r="1382" ht="22" customHeight="1">
      <x:c r="A1382" t="str">
        <x:v>Milrose</x:v>
      </x:c>
      <x:c r="B1382" t="str">
        <x:v>A13.02</x:v>
      </x:c>
      <x:c r="C1382" t="str">
        <x:v>available</x:v>
      </x:c>
      <x:c r="D1382" t="str">
        <x:v>present</x:v>
      </x:c>
      <x:c r="E1382" t="str">
        <x:v>baseline</x:v>
      </x:c>
      <x:c r="F1382" s="11" t="n">
        <x:v>46252.68496519676</x:v>
      </x:c>
      <x:c r="G1382" t="str">
        <x:v>byt</x:v>
      </x:c>
      <x:c r="H1382" s="12" t="n">
        <x:v>3</x:v>
      </x:c>
      <x:c r="I1382" s="13" t="n">
        <x:v>13</x:v>
      </x:c>
      <x:c r="J1382" t="str">
        <x:v>A</x:v>
      </x:c>
      <x:c r="K1382" s="14"/>
      <x:c r="L1382" s="14"/>
      <x:c r="M1382" s="14"/>
      <x:c r="N1382" s="14"/>
      <x:c r="O1382" s="14"/>
      <x:c r="P1382" s="14"/>
      <x:c r="Q1382" s="14" t="n">
        <x:v>73.07</x:v>
      </x:c>
      <x:c r="R1382" s="15" t="n">
        <x:v>471800</x:v>
      </x:c>
      <x:c r="S1382" s="15" t="n">
        <x:v>471800</x:v>
      </x:c>
      <x:c r="T1382" s="15"/>
      <x:c r="U1382" s="16"/>
      <x:c r="V1382" t="str">
        <x:v>INTRADE Group</x:v>
      </x:c>
      <x:c r="W1382" t="str">
        <x:v>Ružinov</x:v>
      </x:c>
      <x:c r="X1382" s="11" t="str">
        <x:v>Voľný</x:v>
      </x:c>
      <x:c r="Y1382" s="11" t="str">
        <x:v>https://milrose.sk/byt/byt-a13-02/</x:v>
      </x:c>
      <x:c r="Z1382" s="11" t="n">
        <x:v>46252.68496519676</x:v>
      </x:c>
      <x:c r="AA1382" s="11" t="n">
        <x:v>46254.51251577547</x:v>
      </x:c>
      <x:c r="AB1382" s="11" t="n">
        <x:v>46254.51251577547</x:v>
      </x:c>
      <x:c r="AC1382" t="str">
        <x:v>milrose</x:v>
      </x:c>
    </x:row>
    <x:row r="1383" ht="22" customHeight="1">
      <x:c r="A1383" t="str">
        <x:v>Milrose</x:v>
      </x:c>
      <x:c r="B1383" t="str">
        <x:v>A13.03</x:v>
      </x:c>
      <x:c r="C1383" t="str">
        <x:v>pre_reserved</x:v>
      </x:c>
      <x:c r="D1383" t="str">
        <x:v>present</x:v>
      </x:c>
      <x:c r="E1383" t="str">
        <x:v>baseline</x:v>
      </x:c>
      <x:c r="F1383" s="11" t="n">
        <x:v>46252.68496519676</x:v>
      </x:c>
      <x:c r="G1383" t="str">
        <x:v>byt</x:v>
      </x:c>
      <x:c r="H1383" s="12" t="n">
        <x:v>3</x:v>
      </x:c>
      <x:c r="I1383" s="13" t="n">
        <x:v>13</x:v>
      </x:c>
      <x:c r="J1383" t="str">
        <x:v>A</x:v>
      </x:c>
      <x:c r="K1383" s="14"/>
      <x:c r="L1383" s="14"/>
      <x:c r="M1383" s="14"/>
      <x:c r="N1383" s="14"/>
      <x:c r="O1383" s="14"/>
      <x:c r="P1383" s="14"/>
      <x:c r="Q1383" s="14" t="n">
        <x:v>65.34</x:v>
      </x:c>
      <x:c r="R1383" s="15" t="n">
        <x:v>425000</x:v>
      </x:c>
      <x:c r="S1383" s="15" t="n">
        <x:v>425000</x:v>
      </x:c>
      <x:c r="T1383" s="15"/>
      <x:c r="U1383" s="16"/>
      <x:c r="V1383" t="str">
        <x:v>INTRADE Group</x:v>
      </x:c>
      <x:c r="W1383" t="str">
        <x:v>Ružinov</x:v>
      </x:c>
      <x:c r="X1383" s="11" t="str">
        <x:v>Predbežne rezervovaný</x:v>
      </x:c>
      <x:c r="Y1383" s="11" t="str">
        <x:v>https://milrose.sk/byt/byt-a13-03/</x:v>
      </x:c>
      <x:c r="Z1383" s="11" t="n">
        <x:v>46252.68496519676</x:v>
      </x:c>
      <x:c r="AA1383" s="11" t="n">
        <x:v>46254.51251577547</x:v>
      </x:c>
      <x:c r="AB1383" s="11" t="n">
        <x:v>46254.51251577547</x:v>
      </x:c>
      <x:c r="AC1383" t="str">
        <x:v>milrose</x:v>
      </x:c>
    </x:row>
    <x:row r="1384" ht="22" customHeight="1">
      <x:c r="A1384" t="str">
        <x:v>Milrose</x:v>
      </x:c>
      <x:c r="B1384" t="str">
        <x:v>A13.04</x:v>
      </x:c>
      <x:c r="C1384" t="str">
        <x:v>pre_reserved</x:v>
      </x:c>
      <x:c r="D1384" t="str">
        <x:v>present</x:v>
      </x:c>
      <x:c r="E1384" t="str">
        <x:v>baseline</x:v>
      </x:c>
      <x:c r="F1384" s="11" t="n">
        <x:v>46252.68496519676</x:v>
      </x:c>
      <x:c r="G1384" t="str">
        <x:v>byt</x:v>
      </x:c>
      <x:c r="H1384" s="12" t="n">
        <x:v>4</x:v>
      </x:c>
      <x:c r="I1384" s="13" t="n">
        <x:v>13</x:v>
      </x:c>
      <x:c r="J1384" t="str">
        <x:v>A</x:v>
      </x:c>
      <x:c r="K1384" s="14"/>
      <x:c r="L1384" s="14"/>
      <x:c r="M1384" s="14"/>
      <x:c r="N1384" s="14"/>
      <x:c r="O1384" s="14"/>
      <x:c r="P1384" s="14"/>
      <x:c r="Q1384" s="14" t="n">
        <x:v>123.06</x:v>
      </x:c>
      <x:c r="R1384" s="15" t="n">
        <x:v>781600</x:v>
      </x:c>
      <x:c r="S1384" s="15" t="n">
        <x:v>781600</x:v>
      </x:c>
      <x:c r="T1384" s="15"/>
      <x:c r="U1384" s="16"/>
      <x:c r="V1384" t="str">
        <x:v>INTRADE Group</x:v>
      </x:c>
      <x:c r="W1384" t="str">
        <x:v>Ružinov</x:v>
      </x:c>
      <x:c r="X1384" s="11" t="str">
        <x:v>Predbežne rezervovaný</x:v>
      </x:c>
      <x:c r="Y1384" s="11" t="str">
        <x:v>https://milrose.sk/byt/byt-a13-04/</x:v>
      </x:c>
      <x:c r="Z1384" s="11" t="n">
        <x:v>46252.68496519676</x:v>
      </x:c>
      <x:c r="AA1384" s="11" t="n">
        <x:v>46254.51251577547</x:v>
      </x:c>
      <x:c r="AB1384" s="11" t="n">
        <x:v>46254.51251577547</x:v>
      </x:c>
      <x:c r="AC1384" t="str">
        <x:v>milrose</x:v>
      </x:c>
    </x:row>
    <x:row r="1385" ht="22" customHeight="1">
      <x:c r="A1385" t="str">
        <x:v>Milrose</x:v>
      </x:c>
      <x:c r="B1385" t="str">
        <x:v>A13.05</x:v>
      </x:c>
      <x:c r="C1385" t="str">
        <x:v>available</x:v>
      </x:c>
      <x:c r="D1385" t="str">
        <x:v>present</x:v>
      </x:c>
      <x:c r="E1385" t="str">
        <x:v>baseline</x:v>
      </x:c>
      <x:c r="F1385" s="11" t="n">
        <x:v>46252.68496519676</x:v>
      </x:c>
      <x:c r="G1385" t="str">
        <x:v>byt</x:v>
      </x:c>
      <x:c r="H1385" s="12" t="n">
        <x:v>3</x:v>
      </x:c>
      <x:c r="I1385" s="13" t="n">
        <x:v>13</x:v>
      </x:c>
      <x:c r="J1385" t="str">
        <x:v>A</x:v>
      </x:c>
      <x:c r="K1385" s="14"/>
      <x:c r="L1385" s="14"/>
      <x:c r="M1385" s="14"/>
      <x:c r="N1385" s="14"/>
      <x:c r="O1385" s="14"/>
      <x:c r="P1385" s="14"/>
      <x:c r="Q1385" s="14" t="n">
        <x:v>77.78</x:v>
      </x:c>
      <x:c r="R1385" s="15" t="n">
        <x:v>463600</x:v>
      </x:c>
      <x:c r="S1385" s="15" t="n">
        <x:v>463600</x:v>
      </x:c>
      <x:c r="T1385" s="15"/>
      <x:c r="U1385" s="16"/>
      <x:c r="V1385" t="str">
        <x:v>INTRADE Group</x:v>
      </x:c>
      <x:c r="W1385" t="str">
        <x:v>Ružinov</x:v>
      </x:c>
      <x:c r="X1385" s="11" t="str">
        <x:v>Voľný</x:v>
      </x:c>
      <x:c r="Y1385" s="11" t="str">
        <x:v>https://milrose.sk/byt/byt-a13-05/</x:v>
      </x:c>
      <x:c r="Z1385" s="11" t="n">
        <x:v>46252.68496519676</x:v>
      </x:c>
      <x:c r="AA1385" s="11" t="n">
        <x:v>46254.51251577547</x:v>
      </x:c>
      <x:c r="AB1385" s="11" t="n">
        <x:v>46254.51251577547</x:v>
      </x:c>
      <x:c r="AC1385" t="str">
        <x:v>milrose</x:v>
      </x:c>
    </x:row>
    <x:row r="1386" ht="22" customHeight="1">
      <x:c r="A1386" t="str">
        <x:v>Milrose</x:v>
      </x:c>
      <x:c r="B1386" t="str">
        <x:v>A13.06</x:v>
      </x:c>
      <x:c r="C1386" t="str">
        <x:v>available</x:v>
      </x:c>
      <x:c r="D1386" t="str">
        <x:v>present</x:v>
      </x:c>
      <x:c r="E1386" t="str">
        <x:v>baseline</x:v>
      </x:c>
      <x:c r="F1386" s="11" t="n">
        <x:v>46252.68496519676</x:v>
      </x:c>
      <x:c r="G1386" t="str">
        <x:v>byt</x:v>
      </x:c>
      <x:c r="H1386" s="12" t="n">
        <x:v>2</x:v>
      </x:c>
      <x:c r="I1386" s="13" t="n">
        <x:v>13</x:v>
      </x:c>
      <x:c r="J1386" t="str">
        <x:v>A</x:v>
      </x:c>
      <x:c r="K1386" s="14"/>
      <x:c r="L1386" s="14"/>
      <x:c r="M1386" s="14"/>
      <x:c r="N1386" s="14"/>
      <x:c r="O1386" s="14"/>
      <x:c r="P1386" s="14"/>
      <x:c r="Q1386" s="14" t="n">
        <x:v>48.71</x:v>
      </x:c>
      <x:c r="R1386" s="15" t="n">
        <x:v>338200</x:v>
      </x:c>
      <x:c r="S1386" s="15" t="n">
        <x:v>338200</x:v>
      </x:c>
      <x:c r="T1386" s="15"/>
      <x:c r="U1386" s="16"/>
      <x:c r="V1386" t="str">
        <x:v>INTRADE Group</x:v>
      </x:c>
      <x:c r="W1386" t="str">
        <x:v>Ružinov</x:v>
      </x:c>
      <x:c r="X1386" s="11" t="str">
        <x:v>Voľný</x:v>
      </x:c>
      <x:c r="Y1386" s="11" t="str">
        <x:v>https://milrose.sk/byt/byt-a13-06/</x:v>
      </x:c>
      <x:c r="Z1386" s="11" t="n">
        <x:v>46252.68496519676</x:v>
      </x:c>
      <x:c r="AA1386" s="11" t="n">
        <x:v>46254.51251577547</x:v>
      </x:c>
      <x:c r="AB1386" s="11" t="n">
        <x:v>46254.51251577547</x:v>
      </x:c>
      <x:c r="AC1386" t="str">
        <x:v>milrose</x:v>
      </x:c>
    </x:row>
    <x:row r="1387" ht="22" customHeight="1">
      <x:c r="A1387" t="str">
        <x:v>Milrose</x:v>
      </x:c>
      <x:c r="B1387" t="str">
        <x:v>B10.01</x:v>
      </x:c>
      <x:c r="C1387" t="str">
        <x:v>sold</x:v>
      </x:c>
      <x:c r="D1387" t="str">
        <x:v>present</x:v>
      </x:c>
      <x:c r="E1387" t="str">
        <x:v>baseline</x:v>
      </x:c>
      <x:c r="F1387" s="11" t="n">
        <x:v>46252.68496519676</x:v>
      </x:c>
      <x:c r="G1387" t="str">
        <x:v>byt</x:v>
      </x:c>
      <x:c r="H1387" s="12" t="n">
        <x:v>1.5</x:v>
      </x:c>
      <x:c r="I1387" s="13" t="n">
        <x:v>10</x:v>
      </x:c>
      <x:c r="J1387" t="str">
        <x:v>B</x:v>
      </x:c>
      <x:c r="K1387" s="14"/>
      <x:c r="L1387" s="14"/>
      <x:c r="M1387" s="14"/>
      <x:c r="N1387" s="14"/>
      <x:c r="O1387" s="14"/>
      <x:c r="P1387" s="14"/>
      <x:c r="Q1387" s="14" t="n">
        <x:v>38.26</x:v>
      </x:c>
      <x:c r="R1387" s="15" t="n">
        <x:v>249600</x:v>
      </x:c>
      <x:c r="S1387" s="15" t="n">
        <x:v>249600</x:v>
      </x:c>
      <x:c r="T1387" s="15"/>
      <x:c r="U1387" s="16"/>
      <x:c r="V1387" t="str">
        <x:v>INTRADE Group</x:v>
      </x:c>
      <x:c r="W1387" t="str">
        <x:v>Ružinov</x:v>
      </x:c>
      <x:c r="X1387" s="11" t="str">
        <x:v>Predaný</x:v>
      </x:c>
      <x:c r="Y1387" s="11" t="str">
        <x:v>https://milrose.sk/byt/byt-b10-01/</x:v>
      </x:c>
      <x:c r="Z1387" s="11" t="n">
        <x:v>46252.68496519676</x:v>
      </x:c>
      <x:c r="AA1387" s="11" t="n">
        <x:v>46254.51251577547</x:v>
      </x:c>
      <x:c r="AB1387" s="11" t="n">
        <x:v>46254.51251577547</x:v>
      </x:c>
      <x:c r="AC1387" t="str">
        <x:v>milrose</x:v>
      </x:c>
    </x:row>
    <x:row r="1388" ht="22" customHeight="1">
      <x:c r="A1388" t="str">
        <x:v>Milrose</x:v>
      </x:c>
      <x:c r="B1388" t="str">
        <x:v>B10.02</x:v>
      </x:c>
      <x:c r="C1388" t="str">
        <x:v>reserved</x:v>
      </x:c>
      <x:c r="D1388" t="str">
        <x:v>present</x:v>
      </x:c>
      <x:c r="E1388" t="str">
        <x:v>baseline</x:v>
      </x:c>
      <x:c r="F1388" s="11" t="n">
        <x:v>46252.68496519676</x:v>
      </x:c>
      <x:c r="G1388" t="str">
        <x:v>byt</x:v>
      </x:c>
      <x:c r="H1388" s="12" t="n">
        <x:v>2</x:v>
      </x:c>
      <x:c r="I1388" s="13" t="n">
        <x:v>10</x:v>
      </x:c>
      <x:c r="J1388" t="str">
        <x:v>B</x:v>
      </x:c>
      <x:c r="K1388" s="14"/>
      <x:c r="L1388" s="14"/>
      <x:c r="M1388" s="14"/>
      <x:c r="N1388" s="14"/>
      <x:c r="O1388" s="14"/>
      <x:c r="P1388" s="14"/>
      <x:c r="Q1388" s="14" t="n">
        <x:v>47.74</x:v>
      </x:c>
      <x:c r="R1388" s="15" t="n">
        <x:v>315400</x:v>
      </x:c>
      <x:c r="S1388" s="15" t="n">
        <x:v>315400</x:v>
      </x:c>
      <x:c r="T1388" s="15"/>
      <x:c r="U1388" s="16"/>
      <x:c r="V1388" t="str">
        <x:v>INTRADE Group</x:v>
      </x:c>
      <x:c r="W1388" t="str">
        <x:v>Ružinov</x:v>
      </x:c>
      <x:c r="X1388" s="11" t="str">
        <x:v>Rezervovaný</x:v>
      </x:c>
      <x:c r="Y1388" s="11" t="str">
        <x:v>https://milrose.sk/byt/byt-b10-02/</x:v>
      </x:c>
      <x:c r="Z1388" s="11" t="n">
        <x:v>46252.68496519676</x:v>
      </x:c>
      <x:c r="AA1388" s="11" t="n">
        <x:v>46254.51251577547</x:v>
      </x:c>
      <x:c r="AB1388" s="11" t="n">
        <x:v>46254.51251577547</x:v>
      </x:c>
      <x:c r="AC1388" t="str">
        <x:v>milrose</x:v>
      </x:c>
    </x:row>
    <x:row r="1389" ht="22" customHeight="1">
      <x:c r="A1389" t="str">
        <x:v>Milrose</x:v>
      </x:c>
      <x:c r="B1389" t="str">
        <x:v>B10.03</x:v>
      </x:c>
      <x:c r="C1389" t="str">
        <x:v>available</x:v>
      </x:c>
      <x:c r="D1389" t="str">
        <x:v>present</x:v>
      </x:c>
      <x:c r="E1389" t="str">
        <x:v>baseline</x:v>
      </x:c>
      <x:c r="F1389" s="11" t="n">
        <x:v>46252.68496519676</x:v>
      </x:c>
      <x:c r="G1389" t="str">
        <x:v>byt</x:v>
      </x:c>
      <x:c r="H1389" s="12" t="n">
        <x:v>1</x:v>
      </x:c>
      <x:c r="I1389" s="13" t="n">
        <x:v>10</x:v>
      </x:c>
      <x:c r="J1389" t="str">
        <x:v>B</x:v>
      </x:c>
      <x:c r="K1389" s="14"/>
      <x:c r="L1389" s="14"/>
      <x:c r="M1389" s="14"/>
      <x:c r="N1389" s="14"/>
      <x:c r="O1389" s="14"/>
      <x:c r="P1389" s="14"/>
      <x:c r="Q1389" s="14" t="n">
        <x:v>35.55</x:v>
      </x:c>
      <x:c r="R1389" s="15" t="n">
        <x:v>236900</x:v>
      </x:c>
      <x:c r="S1389" s="15" t="n">
        <x:v>236900</x:v>
      </x:c>
      <x:c r="T1389" s="15"/>
      <x:c r="U1389" s="16"/>
      <x:c r="V1389" t="str">
        <x:v>INTRADE Group</x:v>
      </x:c>
      <x:c r="W1389" t="str">
        <x:v>Ružinov</x:v>
      </x:c>
      <x:c r="X1389" s="11" t="str">
        <x:v>Voľný</x:v>
      </x:c>
      <x:c r="Y1389" s="11" t="str">
        <x:v>https://milrose.sk/byt/byt-b10-03/</x:v>
      </x:c>
      <x:c r="Z1389" s="11" t="n">
        <x:v>46252.68496519676</x:v>
      </x:c>
      <x:c r="AA1389" s="11" t="n">
        <x:v>46254.51251577547</x:v>
      </x:c>
      <x:c r="AB1389" s="11" t="n">
        <x:v>46254.51251577547</x:v>
      </x:c>
      <x:c r="AC1389" t="str">
        <x:v>milrose</x:v>
      </x:c>
    </x:row>
    <x:row r="1390" ht="22" customHeight="1">
      <x:c r="A1390" t="str">
        <x:v>Milrose</x:v>
      </x:c>
      <x:c r="B1390" t="str">
        <x:v>B10.04</x:v>
      </x:c>
      <x:c r="C1390" t="str">
        <x:v>available</x:v>
      </x:c>
      <x:c r="D1390" t="str">
        <x:v>present</x:v>
      </x:c>
      <x:c r="E1390" t="str">
        <x:v>baseline</x:v>
      </x:c>
      <x:c r="F1390" s="11" t="n">
        <x:v>46252.68496519676</x:v>
      </x:c>
      <x:c r="G1390" t="str">
        <x:v>byt</x:v>
      </x:c>
      <x:c r="H1390" s="12" t="n">
        <x:v>1</x:v>
      </x:c>
      <x:c r="I1390" s="13" t="n">
        <x:v>10</x:v>
      </x:c>
      <x:c r="J1390" t="str">
        <x:v>B</x:v>
      </x:c>
      <x:c r="K1390" s="14"/>
      <x:c r="L1390" s="14"/>
      <x:c r="M1390" s="14"/>
      <x:c r="N1390" s="14"/>
      <x:c r="O1390" s="14"/>
      <x:c r="P1390" s="14"/>
      <x:c r="Q1390" s="14" t="n">
        <x:v>33.31</x:v>
      </x:c>
      <x:c r="R1390" s="15" t="n">
        <x:v>229700</x:v>
      </x:c>
      <x:c r="S1390" s="15" t="n">
        <x:v>229700</x:v>
      </x:c>
      <x:c r="T1390" s="15"/>
      <x:c r="U1390" s="16"/>
      <x:c r="V1390" t="str">
        <x:v>INTRADE Group</x:v>
      </x:c>
      <x:c r="W1390" t="str">
        <x:v>Ružinov</x:v>
      </x:c>
      <x:c r="X1390" s="11" t="str">
        <x:v>Voľný</x:v>
      </x:c>
      <x:c r="Y1390" s="11" t="str">
        <x:v>https://milrose.sk/byt/byt-b10-04/</x:v>
      </x:c>
      <x:c r="Z1390" s="11" t="n">
        <x:v>46252.68496519676</x:v>
      </x:c>
      <x:c r="AA1390" s="11" t="n">
        <x:v>46254.51251577547</x:v>
      </x:c>
      <x:c r="AB1390" s="11" t="n">
        <x:v>46254.51251577547</x:v>
      </x:c>
      <x:c r="AC1390" t="str">
        <x:v>milrose</x:v>
      </x:c>
    </x:row>
    <x:row r="1391" ht="22" customHeight="1">
      <x:c r="A1391" t="str">
        <x:v>Milrose</x:v>
      </x:c>
      <x:c r="B1391" t="str">
        <x:v>B10.07</x:v>
      </x:c>
      <x:c r="C1391" t="str">
        <x:v>reserved</x:v>
      </x:c>
      <x:c r="D1391" t="str">
        <x:v>present</x:v>
      </x:c>
      <x:c r="E1391" t="str">
        <x:v>baseline</x:v>
      </x:c>
      <x:c r="F1391" s="11" t="n">
        <x:v>46252.68496519676</x:v>
      </x:c>
      <x:c r="G1391" t="str">
        <x:v>byt</x:v>
      </x:c>
      <x:c r="H1391" s="12" t="n">
        <x:v>3</x:v>
      </x:c>
      <x:c r="I1391" s="13" t="n">
        <x:v>10</x:v>
      </x:c>
      <x:c r="J1391" t="str">
        <x:v>B</x:v>
      </x:c>
      <x:c r="K1391" s="14"/>
      <x:c r="L1391" s="14"/>
      <x:c r="M1391" s="14"/>
      <x:c r="N1391" s="14"/>
      <x:c r="O1391" s="14"/>
      <x:c r="P1391" s="14"/>
      <x:c r="Q1391" s="14" t="n">
        <x:v>64.01</x:v>
      </x:c>
      <x:c r="R1391" s="15" t="n">
        <x:v>375800</x:v>
      </x:c>
      <x:c r="S1391" s="15" t="n">
        <x:v>375800</x:v>
      </x:c>
      <x:c r="T1391" s="15"/>
      <x:c r="U1391" s="16"/>
      <x:c r="V1391" t="str">
        <x:v>INTRADE Group</x:v>
      </x:c>
      <x:c r="W1391" t="str">
        <x:v>Ružinov</x:v>
      </x:c>
      <x:c r="X1391" s="11" t="str">
        <x:v>Rezervovaný</x:v>
      </x:c>
      <x:c r="Y1391" s="11" t="str">
        <x:v>https://milrose.sk/byt/byt-b10-07/</x:v>
      </x:c>
      <x:c r="Z1391" s="11" t="n">
        <x:v>46252.68496519676</x:v>
      </x:c>
      <x:c r="AA1391" s="11" t="n">
        <x:v>46254.51251577547</x:v>
      </x:c>
      <x:c r="AB1391" s="11" t="n">
        <x:v>46254.51251577547</x:v>
      </x:c>
      <x:c r="AC1391" t="str">
        <x:v>milrose</x:v>
      </x:c>
    </x:row>
    <x:row r="1392" ht="22" customHeight="1">
      <x:c r="A1392" t="str">
        <x:v>Milrose</x:v>
      </x:c>
      <x:c r="B1392" t="str">
        <x:v>B11.01</x:v>
      </x:c>
      <x:c r="C1392" t="str">
        <x:v>sold</x:v>
      </x:c>
      <x:c r="D1392" t="str">
        <x:v>present</x:v>
      </x:c>
      <x:c r="E1392" t="str">
        <x:v>baseline</x:v>
      </x:c>
      <x:c r="F1392" s="11" t="n">
        <x:v>46252.68496519676</x:v>
      </x:c>
      <x:c r="G1392" t="str">
        <x:v>byt</x:v>
      </x:c>
      <x:c r="H1392" s="12" t="n">
        <x:v>1.5</x:v>
      </x:c>
      <x:c r="I1392" s="13" t="n">
        <x:v>11</x:v>
      </x:c>
      <x:c r="J1392" t="str">
        <x:v>B</x:v>
      </x:c>
      <x:c r="K1392" s="14"/>
      <x:c r="L1392" s="14"/>
      <x:c r="M1392" s="14"/>
      <x:c r="N1392" s="14"/>
      <x:c r="O1392" s="14"/>
      <x:c r="P1392" s="14"/>
      <x:c r="Q1392" s="14" t="n">
        <x:v>38.27</x:v>
      </x:c>
      <x:c r="R1392" s="15" t="n">
        <x:v>260400</x:v>
      </x:c>
      <x:c r="S1392" s="15" t="n">
        <x:v>260400</x:v>
      </x:c>
      <x:c r="T1392" s="15"/>
      <x:c r="U1392" s="16"/>
      <x:c r="V1392" t="str">
        <x:v>INTRADE Group</x:v>
      </x:c>
      <x:c r="W1392" t="str">
        <x:v>Ružinov</x:v>
      </x:c>
      <x:c r="X1392" s="11" t="str">
        <x:v>Predaný</x:v>
      </x:c>
      <x:c r="Y1392" s="11" t="str">
        <x:v>https://milrose.sk/byt/byt-b11-01/</x:v>
      </x:c>
      <x:c r="Z1392" s="11" t="n">
        <x:v>46252.68496519676</x:v>
      </x:c>
      <x:c r="AA1392" s="11" t="n">
        <x:v>46254.51251577547</x:v>
      </x:c>
      <x:c r="AB1392" s="11" t="n">
        <x:v>46254.51251577547</x:v>
      </x:c>
      <x:c r="AC1392" t="str">
        <x:v>milrose</x:v>
      </x:c>
    </x:row>
    <x:row r="1393" ht="22" customHeight="1">
      <x:c r="A1393" t="str">
        <x:v>Milrose</x:v>
      </x:c>
      <x:c r="B1393" t="str">
        <x:v>B11.02</x:v>
      </x:c>
      <x:c r="C1393" t="str">
        <x:v>reserved</x:v>
      </x:c>
      <x:c r="D1393" t="str">
        <x:v>present</x:v>
      </x:c>
      <x:c r="E1393" t="str">
        <x:v>baseline</x:v>
      </x:c>
      <x:c r="F1393" s="11" t="n">
        <x:v>46252.68496519676</x:v>
      </x:c>
      <x:c r="G1393" t="str">
        <x:v>byt</x:v>
      </x:c>
      <x:c r="H1393" s="12" t="n">
        <x:v>2</x:v>
      </x:c>
      <x:c r="I1393" s="13" t="n">
        <x:v>11</x:v>
      </x:c>
      <x:c r="J1393" t="str">
        <x:v>B</x:v>
      </x:c>
      <x:c r="K1393" s="14"/>
      <x:c r="L1393" s="14"/>
      <x:c r="M1393" s="14"/>
      <x:c r="N1393" s="14"/>
      <x:c r="O1393" s="14"/>
      <x:c r="P1393" s="14"/>
      <x:c r="Q1393" s="14" t="n">
        <x:v>47.74</x:v>
      </x:c>
      <x:c r="R1393" s="15" t="n">
        <x:v>293700</x:v>
      </x:c>
      <x:c r="S1393" s="15" t="n">
        <x:v>293700</x:v>
      </x:c>
      <x:c r="T1393" s="15"/>
      <x:c r="U1393" s="16"/>
      <x:c r="V1393" t="str">
        <x:v>INTRADE Group</x:v>
      </x:c>
      <x:c r="W1393" t="str">
        <x:v>Ružinov</x:v>
      </x:c>
      <x:c r="X1393" s="11" t="str">
        <x:v>Rezervovaný</x:v>
      </x:c>
      <x:c r="Y1393" s="11" t="str">
        <x:v>https://milrose.sk/byt/byt-b11-02/</x:v>
      </x:c>
      <x:c r="Z1393" s="11" t="n">
        <x:v>46252.68496519676</x:v>
      </x:c>
      <x:c r="AA1393" s="11" t="n">
        <x:v>46254.51251577547</x:v>
      </x:c>
      <x:c r="AB1393" s="11" t="n">
        <x:v>46254.51251577547</x:v>
      </x:c>
      <x:c r="AC1393" t="str">
        <x:v>milrose</x:v>
      </x:c>
    </x:row>
    <x:row r="1394" ht="22" customHeight="1">
      <x:c r="A1394" t="str">
        <x:v>Milrose</x:v>
      </x:c>
      <x:c r="B1394" t="str">
        <x:v>B11.03</x:v>
      </x:c>
      <x:c r="C1394" t="str">
        <x:v>sold</x:v>
      </x:c>
      <x:c r="D1394" t="str">
        <x:v>present</x:v>
      </x:c>
      <x:c r="E1394" t="str">
        <x:v>baseline</x:v>
      </x:c>
      <x:c r="F1394" s="11" t="n">
        <x:v>46252.68496519676</x:v>
      </x:c>
      <x:c r="G1394" t="str">
        <x:v>byt</x:v>
      </x:c>
      <x:c r="H1394" s="12" t="n">
        <x:v>1</x:v>
      </x:c>
      <x:c r="I1394" s="13" t="n">
        <x:v>11</x:v>
      </x:c>
      <x:c r="J1394" t="str">
        <x:v>B</x:v>
      </x:c>
      <x:c r="K1394" s="14"/>
      <x:c r="L1394" s="14"/>
      <x:c r="M1394" s="14"/>
      <x:c r="N1394" s="14"/>
      <x:c r="O1394" s="14"/>
      <x:c r="P1394" s="14"/>
      <x:c r="Q1394" s="14" t="n">
        <x:v>35.55</x:v>
      </x:c>
      <x:c r="R1394" s="15" t="n">
        <x:v>230000</x:v>
      </x:c>
      <x:c r="S1394" s="15" t="n">
        <x:v>230000</x:v>
      </x:c>
      <x:c r="T1394" s="15"/>
      <x:c r="U1394" s="16"/>
      <x:c r="V1394" t="str">
        <x:v>INTRADE Group</x:v>
      </x:c>
      <x:c r="W1394" t="str">
        <x:v>Ružinov</x:v>
      </x:c>
      <x:c r="X1394" s="11" t="str">
        <x:v>Predaný</x:v>
      </x:c>
      <x:c r="Y1394" s="11" t="str">
        <x:v>https://milrose.sk/byt/byt-b11-03/</x:v>
      </x:c>
      <x:c r="Z1394" s="11" t="n">
        <x:v>46252.68496519676</x:v>
      </x:c>
      <x:c r="AA1394" s="11" t="n">
        <x:v>46254.51251577547</x:v>
      </x:c>
      <x:c r="AB1394" s="11" t="n">
        <x:v>46254.51251577547</x:v>
      </x:c>
      <x:c r="AC1394" t="str">
        <x:v>milrose</x:v>
      </x:c>
    </x:row>
    <x:row r="1395" ht="22" customHeight="1">
      <x:c r="A1395" t="str">
        <x:v>Milrose</x:v>
      </x:c>
      <x:c r="B1395" t="str">
        <x:v>B11.04</x:v>
      </x:c>
      <x:c r="C1395" t="str">
        <x:v>available</x:v>
      </x:c>
      <x:c r="D1395" t="str">
        <x:v>present</x:v>
      </x:c>
      <x:c r="E1395" t="str">
        <x:v>baseline</x:v>
      </x:c>
      <x:c r="F1395" s="11" t="n">
        <x:v>46252.68496519676</x:v>
      </x:c>
      <x:c r="G1395" t="str">
        <x:v>byt</x:v>
      </x:c>
      <x:c r="H1395" s="12" t="n">
        <x:v>1</x:v>
      </x:c>
      <x:c r="I1395" s="13" t="n">
        <x:v>11</x:v>
      </x:c>
      <x:c r="J1395" t="str">
        <x:v>B</x:v>
      </x:c>
      <x:c r="K1395" s="14"/>
      <x:c r="L1395" s="14"/>
      <x:c r="M1395" s="14"/>
      <x:c r="N1395" s="14"/>
      <x:c r="O1395" s="14"/>
      <x:c r="P1395" s="14"/>
      <x:c r="Q1395" s="14" t="n">
        <x:v>33.31</x:v>
      </x:c>
      <x:c r="R1395" s="15" t="n">
        <x:v>234700</x:v>
      </x:c>
      <x:c r="S1395" s="15" t="n">
        <x:v>234700</x:v>
      </x:c>
      <x:c r="T1395" s="15"/>
      <x:c r="U1395" s="16"/>
      <x:c r="V1395" t="str">
        <x:v>INTRADE Group</x:v>
      </x:c>
      <x:c r="W1395" t="str">
        <x:v>Ružinov</x:v>
      </x:c>
      <x:c r="X1395" s="11" t="str">
        <x:v>Voľný</x:v>
      </x:c>
      <x:c r="Y1395" s="11" t="str">
        <x:v>https://milrose.sk/byt/byt-b11-04/</x:v>
      </x:c>
      <x:c r="Z1395" s="11" t="n">
        <x:v>46252.68496519676</x:v>
      </x:c>
      <x:c r="AA1395" s="11" t="n">
        <x:v>46254.51251577547</x:v>
      </x:c>
      <x:c r="AB1395" s="11" t="n">
        <x:v>46254.51251577547</x:v>
      </x:c>
      <x:c r="AC1395" t="str">
        <x:v>milrose</x:v>
      </x:c>
    </x:row>
    <x:row r="1396" ht="22" customHeight="1">
      <x:c r="A1396" t="str">
        <x:v>Milrose</x:v>
      </x:c>
      <x:c r="B1396" t="str">
        <x:v>B11.05</x:v>
      </x:c>
      <x:c r="C1396" t="str">
        <x:v>sold</x:v>
      </x:c>
      <x:c r="D1396" t="str">
        <x:v>present</x:v>
      </x:c>
      <x:c r="E1396" t="str">
        <x:v>baseline</x:v>
      </x:c>
      <x:c r="F1396" s="11" t="n">
        <x:v>46252.68496519676</x:v>
      </x:c>
      <x:c r="G1396" t="str">
        <x:v>byt</x:v>
      </x:c>
      <x:c r="H1396" s="12" t="n">
        <x:v>3</x:v>
      </x:c>
      <x:c r="I1396" s="13" t="n">
        <x:v>11</x:v>
      </x:c>
      <x:c r="J1396" t="str">
        <x:v>B</x:v>
      </x:c>
      <x:c r="K1396" s="14"/>
      <x:c r="L1396" s="14"/>
      <x:c r="M1396" s="14"/>
      <x:c r="N1396" s="14"/>
      <x:c r="O1396" s="14"/>
      <x:c r="P1396" s="14"/>
      <x:c r="Q1396" s="14" t="n">
        <x:v>65.11</x:v>
      </x:c>
      <x:c r="R1396" s="15" t="n">
        <x:v>393900</x:v>
      </x:c>
      <x:c r="S1396" s="15" t="n">
        <x:v>393900</x:v>
      </x:c>
      <x:c r="T1396" s="15"/>
      <x:c r="U1396" s="16"/>
      <x:c r="V1396" t="str">
        <x:v>INTRADE Group</x:v>
      </x:c>
      <x:c r="W1396" t="str">
        <x:v>Ružinov</x:v>
      </x:c>
      <x:c r="X1396" s="11" t="str">
        <x:v>Predaný</x:v>
      </x:c>
      <x:c r="Y1396" s="11" t="str">
        <x:v>https://milrose.sk/byt/byt-b11-05/</x:v>
      </x:c>
      <x:c r="Z1396" s="11" t="n">
        <x:v>46252.68496519676</x:v>
      </x:c>
      <x:c r="AA1396" s="11" t="n">
        <x:v>46254.51251577547</x:v>
      </x:c>
      <x:c r="AB1396" s="11" t="n">
        <x:v>46254.51251577547</x:v>
      </x:c>
      <x:c r="AC1396" t="str">
        <x:v>milrose</x:v>
      </x:c>
    </x:row>
    <x:row r="1397" ht="22" customHeight="1">
      <x:c r="A1397" t="str">
        <x:v>Milrose</x:v>
      </x:c>
      <x:c r="B1397" t="str">
        <x:v>B11.06</x:v>
      </x:c>
      <x:c r="C1397" t="str">
        <x:v>available</x:v>
      </x:c>
      <x:c r="D1397" t="str">
        <x:v>present</x:v>
      </x:c>
      <x:c r="E1397" t="str">
        <x:v>baseline</x:v>
      </x:c>
      <x:c r="F1397" s="11" t="n">
        <x:v>46252.68496519676</x:v>
      </x:c>
      <x:c r="G1397" t="str">
        <x:v>byt</x:v>
      </x:c>
      <x:c r="H1397" s="12" t="n">
        <x:v>3</x:v>
      </x:c>
      <x:c r="I1397" s="13" t="n">
        <x:v>11</x:v>
      </x:c>
      <x:c r="J1397" t="str">
        <x:v>B</x:v>
      </x:c>
      <x:c r="K1397" s="14"/>
      <x:c r="L1397" s="14"/>
      <x:c r="M1397" s="14"/>
      <x:c r="N1397" s="14"/>
      <x:c r="O1397" s="14"/>
      <x:c r="P1397" s="14"/>
      <x:c r="Q1397" s="14" t="n">
        <x:v>75.04</x:v>
      </x:c>
      <x:c r="R1397" s="15" t="n">
        <x:v>499400</x:v>
      </x:c>
      <x:c r="S1397" s="15" t="n">
        <x:v>499400</x:v>
      </x:c>
      <x:c r="T1397" s="15"/>
      <x:c r="U1397" s="16"/>
      <x:c r="V1397" t="str">
        <x:v>INTRADE Group</x:v>
      </x:c>
      <x:c r="W1397" t="str">
        <x:v>Ružinov</x:v>
      </x:c>
      <x:c r="X1397" s="11" t="str">
        <x:v>Voľný</x:v>
      </x:c>
      <x:c r="Y1397" s="11" t="str">
        <x:v>https://milrose.sk/byt/byt-b11-06/</x:v>
      </x:c>
      <x:c r="Z1397" s="11" t="n">
        <x:v>46252.68496519676</x:v>
      </x:c>
      <x:c r="AA1397" s="11" t="n">
        <x:v>46254.51251577547</x:v>
      </x:c>
      <x:c r="AB1397" s="11" t="n">
        <x:v>46254.51251577547</x:v>
      </x:c>
      <x:c r="AC1397" t="str">
        <x:v>milrose</x:v>
      </x:c>
    </x:row>
    <x:row r="1398" ht="22" customHeight="1">
      <x:c r="A1398" t="str">
        <x:v>Milrose</x:v>
      </x:c>
      <x:c r="B1398" t="str">
        <x:v>B11.07</x:v>
      </x:c>
      <x:c r="C1398" t="str">
        <x:v>sold</x:v>
      </x:c>
      <x:c r="D1398" t="str">
        <x:v>present</x:v>
      </x:c>
      <x:c r="E1398" t="str">
        <x:v>baseline</x:v>
      </x:c>
      <x:c r="F1398" s="11" t="n">
        <x:v>46252.68496519676</x:v>
      </x:c>
      <x:c r="G1398" t="str">
        <x:v>byt</x:v>
      </x:c>
      <x:c r="H1398" s="12" t="n">
        <x:v>3</x:v>
      </x:c>
      <x:c r="I1398" s="13" t="n">
        <x:v>11</x:v>
      </x:c>
      <x:c r="J1398" t="str">
        <x:v>B</x:v>
      </x:c>
      <x:c r="K1398" s="14"/>
      <x:c r="L1398" s="14"/>
      <x:c r="M1398" s="14"/>
      <x:c r="N1398" s="14"/>
      <x:c r="O1398" s="14"/>
      <x:c r="P1398" s="14"/>
      <x:c r="Q1398" s="14" t="n">
        <x:v>63.77</x:v>
      </x:c>
      <x:c r="R1398" s="15" t="n">
        <x:v>358100</x:v>
      </x:c>
      <x:c r="S1398" s="15" t="n">
        <x:v>358100</x:v>
      </x:c>
      <x:c r="T1398" s="15"/>
      <x:c r="U1398" s="16"/>
      <x:c r="V1398" t="str">
        <x:v>INTRADE Group</x:v>
      </x:c>
      <x:c r="W1398" t="str">
        <x:v>Ružinov</x:v>
      </x:c>
      <x:c r="X1398" s="11" t="str">
        <x:v>Predaný</x:v>
      </x:c>
      <x:c r="Y1398" s="11" t="str">
        <x:v>https://milrose.sk/byt/byt-b11-07/</x:v>
      </x:c>
      <x:c r="Z1398" s="11" t="n">
        <x:v>46252.68496519676</x:v>
      </x:c>
      <x:c r="AA1398" s="11" t="n">
        <x:v>46254.51251577547</x:v>
      </x:c>
      <x:c r="AB1398" s="11" t="n">
        <x:v>46254.51251577547</x:v>
      </x:c>
      <x:c r="AC1398" t="str">
        <x:v>milrose</x:v>
      </x:c>
    </x:row>
    <x:row r="1399" ht="22" customHeight="1">
      <x:c r="A1399" t="str">
        <x:v>Milrose</x:v>
      </x:c>
      <x:c r="B1399" t="str">
        <x:v>B12.01</x:v>
      </x:c>
      <x:c r="C1399" t="str">
        <x:v>reserved</x:v>
      </x:c>
      <x:c r="D1399" t="str">
        <x:v>present</x:v>
      </x:c>
      <x:c r="E1399" t="str">
        <x:v>baseline</x:v>
      </x:c>
      <x:c r="F1399" s="11" t="n">
        <x:v>46252.68496519676</x:v>
      </x:c>
      <x:c r="G1399" t="str">
        <x:v>byt</x:v>
      </x:c>
      <x:c r="H1399" s="12" t="n">
        <x:v>1.5</x:v>
      </x:c>
      <x:c r="I1399" s="13" t="n">
        <x:v>12</x:v>
      </x:c>
      <x:c r="J1399" t="str">
        <x:v>B</x:v>
      </x:c>
      <x:c r="K1399" s="14"/>
      <x:c r="L1399" s="14"/>
      <x:c r="M1399" s="14"/>
      <x:c r="N1399" s="14"/>
      <x:c r="O1399" s="14"/>
      <x:c r="P1399" s="14"/>
      <x:c r="Q1399" s="14" t="n">
        <x:v>38.26</x:v>
      </x:c>
      <x:c r="R1399" s="15" t="n">
        <x:v>263400</x:v>
      </x:c>
      <x:c r="S1399" s="15" t="n">
        <x:v>263400</x:v>
      </x:c>
      <x:c r="T1399" s="15"/>
      <x:c r="U1399" s="16"/>
      <x:c r="V1399" t="str">
        <x:v>INTRADE Group</x:v>
      </x:c>
      <x:c r="W1399" t="str">
        <x:v>Ružinov</x:v>
      </x:c>
      <x:c r="X1399" s="11" t="str">
        <x:v>Rezervovaný</x:v>
      </x:c>
      <x:c r="Y1399" s="11" t="str">
        <x:v>https://milrose.sk/byt/byt-b12-01/</x:v>
      </x:c>
      <x:c r="Z1399" s="11" t="n">
        <x:v>46252.68496519676</x:v>
      </x:c>
      <x:c r="AA1399" s="11" t="n">
        <x:v>46254.51251577547</x:v>
      </x:c>
      <x:c r="AB1399" s="11" t="n">
        <x:v>46254.51251577547</x:v>
      </x:c>
      <x:c r="AC1399" t="str">
        <x:v>milrose</x:v>
      </x:c>
    </x:row>
    <x:row r="1400" ht="22" customHeight="1">
      <x:c r="A1400" t="str">
        <x:v>Milrose</x:v>
      </x:c>
      <x:c r="B1400" t="str">
        <x:v>B12.02</x:v>
      </x:c>
      <x:c r="C1400" t="str">
        <x:v>reserved</x:v>
      </x:c>
      <x:c r="D1400" t="str">
        <x:v>present</x:v>
      </x:c>
      <x:c r="E1400" t="str">
        <x:v>baseline</x:v>
      </x:c>
      <x:c r="F1400" s="11" t="n">
        <x:v>46252.68496519676</x:v>
      </x:c>
      <x:c r="G1400" t="str">
        <x:v>byt</x:v>
      </x:c>
      <x:c r="H1400" s="12" t="n">
        <x:v>2</x:v>
      </x:c>
      <x:c r="I1400" s="13" t="n">
        <x:v>12</x:v>
      </x:c>
      <x:c r="J1400" t="str">
        <x:v>B</x:v>
      </x:c>
      <x:c r="K1400" s="14"/>
      <x:c r="L1400" s="14"/>
      <x:c r="M1400" s="14"/>
      <x:c r="N1400" s="14"/>
      <x:c r="O1400" s="14"/>
      <x:c r="P1400" s="14"/>
      <x:c r="Q1400" s="14" t="n">
        <x:v>47.86</x:v>
      </x:c>
      <x:c r="R1400" s="15" t="n">
        <x:v>309700</x:v>
      </x:c>
      <x:c r="S1400" s="15" t="n">
        <x:v>309700</x:v>
      </x:c>
      <x:c r="T1400" s="15"/>
      <x:c r="U1400" s="16"/>
      <x:c r="V1400" t="str">
        <x:v>INTRADE Group</x:v>
      </x:c>
      <x:c r="W1400" t="str">
        <x:v>Ružinov</x:v>
      </x:c>
      <x:c r="X1400" s="11" t="str">
        <x:v>Rezervovaný</x:v>
      </x:c>
      <x:c r="Y1400" s="11" t="str">
        <x:v>https://milrose.sk/byt/byt-b12-02/</x:v>
      </x:c>
      <x:c r="Z1400" s="11" t="n">
        <x:v>46252.68496519676</x:v>
      </x:c>
      <x:c r="AA1400" s="11" t="n">
        <x:v>46254.51251577547</x:v>
      </x:c>
      <x:c r="AB1400" s="11" t="n">
        <x:v>46254.51251577547</x:v>
      </x:c>
      <x:c r="AC1400" t="str">
        <x:v>milrose</x:v>
      </x:c>
    </x:row>
    <x:row r="1401" ht="22" customHeight="1">
      <x:c r="A1401" t="str">
        <x:v>Milrose</x:v>
      </x:c>
      <x:c r="B1401" t="str">
        <x:v>B12.03</x:v>
      </x:c>
      <x:c r="C1401" t="str">
        <x:v>available</x:v>
      </x:c>
      <x:c r="D1401" t="str">
        <x:v>present</x:v>
      </x:c>
      <x:c r="E1401" t="str">
        <x:v>baseline</x:v>
      </x:c>
      <x:c r="F1401" s="11" t="n">
        <x:v>46252.68496519676</x:v>
      </x:c>
      <x:c r="G1401" t="str">
        <x:v>byt</x:v>
      </x:c>
      <x:c r="H1401" s="12" t="n">
        <x:v>1</x:v>
      </x:c>
      <x:c r="I1401" s="13" t="n">
        <x:v>12</x:v>
      </x:c>
      <x:c r="J1401" t="str">
        <x:v>B</x:v>
      </x:c>
      <x:c r="K1401" s="14"/>
      <x:c r="L1401" s="14"/>
      <x:c r="M1401" s="14"/>
      <x:c r="N1401" s="14"/>
      <x:c r="O1401" s="14"/>
      <x:c r="P1401" s="14"/>
      <x:c r="Q1401" s="14" t="n">
        <x:v>35.55</x:v>
      </x:c>
      <x:c r="R1401" s="15" t="n">
        <x:v>242000</x:v>
      </x:c>
      <x:c r="S1401" s="15" t="n">
        <x:v>242000</x:v>
      </x:c>
      <x:c r="T1401" s="15"/>
      <x:c r="U1401" s="16"/>
      <x:c r="V1401" t="str">
        <x:v>INTRADE Group</x:v>
      </x:c>
      <x:c r="W1401" t="str">
        <x:v>Ružinov</x:v>
      </x:c>
      <x:c r="X1401" s="11" t="str">
        <x:v>Voľný</x:v>
      </x:c>
      <x:c r="Y1401" s="11" t="str">
        <x:v>https://milrose.sk/byt/byt-b12-03/</x:v>
      </x:c>
      <x:c r="Z1401" s="11" t="n">
        <x:v>46252.68496519676</x:v>
      </x:c>
      <x:c r="AA1401" s="11" t="n">
        <x:v>46254.51251577547</x:v>
      </x:c>
      <x:c r="AB1401" s="11" t="n">
        <x:v>46254.51251577547</x:v>
      </x:c>
      <x:c r="AC1401" t="str">
        <x:v>milrose</x:v>
      </x:c>
    </x:row>
    <x:row r="1402" ht="22" customHeight="1">
      <x:c r="A1402" t="str">
        <x:v>Milrose</x:v>
      </x:c>
      <x:c r="B1402" t="str">
        <x:v>B12.04</x:v>
      </x:c>
      <x:c r="C1402" t="str">
        <x:v>available</x:v>
      </x:c>
      <x:c r="D1402" t="str">
        <x:v>present</x:v>
      </x:c>
      <x:c r="E1402" t="str">
        <x:v>baseline</x:v>
      </x:c>
      <x:c r="F1402" s="11" t="n">
        <x:v>46252.68496519676</x:v>
      </x:c>
      <x:c r="G1402" t="str">
        <x:v>byt</x:v>
      </x:c>
      <x:c r="H1402" s="12" t="n">
        <x:v>1</x:v>
      </x:c>
      <x:c r="I1402" s="13" t="n">
        <x:v>12</x:v>
      </x:c>
      <x:c r="J1402" t="str">
        <x:v>B</x:v>
      </x:c>
      <x:c r="K1402" s="14"/>
      <x:c r="L1402" s="14"/>
      <x:c r="M1402" s="14"/>
      <x:c r="N1402" s="14"/>
      <x:c r="O1402" s="14"/>
      <x:c r="P1402" s="14"/>
      <x:c r="Q1402" s="14" t="n">
        <x:v>33.31</x:v>
      </x:c>
      <x:c r="R1402" s="15" t="n">
        <x:v>234200</x:v>
      </x:c>
      <x:c r="S1402" s="15" t="n">
        <x:v>234200</x:v>
      </x:c>
      <x:c r="T1402" s="15"/>
      <x:c r="U1402" s="16"/>
      <x:c r="V1402" t="str">
        <x:v>INTRADE Group</x:v>
      </x:c>
      <x:c r="W1402" t="str">
        <x:v>Ružinov</x:v>
      </x:c>
      <x:c r="X1402" s="11" t="str">
        <x:v>Voľný</x:v>
      </x:c>
      <x:c r="Y1402" s="11" t="str">
        <x:v>https://milrose.sk/byt/byt-b12-04/</x:v>
      </x:c>
      <x:c r="Z1402" s="11" t="n">
        <x:v>46252.68496519676</x:v>
      </x:c>
      <x:c r="AA1402" s="11" t="n">
        <x:v>46254.51251577547</x:v>
      </x:c>
      <x:c r="AB1402" s="11" t="n">
        <x:v>46254.51251577547</x:v>
      </x:c>
      <x:c r="AC1402" t="str">
        <x:v>milrose</x:v>
      </x:c>
    </x:row>
    <x:row r="1403" ht="22" customHeight="1">
      <x:c r="A1403" t="str">
        <x:v>Milrose</x:v>
      </x:c>
      <x:c r="B1403" t="str">
        <x:v>B12.05</x:v>
      </x:c>
      <x:c r="C1403" t="str">
        <x:v>sold</x:v>
      </x:c>
      <x:c r="D1403" t="str">
        <x:v>present</x:v>
      </x:c>
      <x:c r="E1403" t="str">
        <x:v>baseline</x:v>
      </x:c>
      <x:c r="F1403" s="11" t="n">
        <x:v>46252.68496519676</x:v>
      </x:c>
      <x:c r="G1403" t="str">
        <x:v>byt</x:v>
      </x:c>
      <x:c r="H1403" s="12" t="n">
        <x:v>3</x:v>
      </x:c>
      <x:c r="I1403" s="13" t="n">
        <x:v>12</x:v>
      </x:c>
      <x:c r="J1403" t="str">
        <x:v>B</x:v>
      </x:c>
      <x:c r="K1403" s="14"/>
      <x:c r="L1403" s="14"/>
      <x:c r="M1403" s="14"/>
      <x:c r="N1403" s="14"/>
      <x:c r="O1403" s="14"/>
      <x:c r="P1403" s="14"/>
      <x:c r="Q1403" s="14" t="n">
        <x:v>65.07</x:v>
      </x:c>
      <x:c r="R1403" s="15" t="n">
        <x:v>399100</x:v>
      </x:c>
      <x:c r="S1403" s="15" t="n">
        <x:v>399100</x:v>
      </x:c>
      <x:c r="T1403" s="15"/>
      <x:c r="U1403" s="16"/>
      <x:c r="V1403" t="str">
        <x:v>INTRADE Group</x:v>
      </x:c>
      <x:c r="W1403" t="str">
        <x:v>Ružinov</x:v>
      </x:c>
      <x:c r="X1403" s="11" t="str">
        <x:v>Predaný</x:v>
      </x:c>
      <x:c r="Y1403" s="11" t="str">
        <x:v>https://milrose.sk/byt/byt-b12-05/</x:v>
      </x:c>
      <x:c r="Z1403" s="11" t="n">
        <x:v>46252.68496519676</x:v>
      </x:c>
      <x:c r="AA1403" s="11" t="n">
        <x:v>46254.51251577547</x:v>
      </x:c>
      <x:c r="AB1403" s="11" t="n">
        <x:v>46254.51251577547</x:v>
      </x:c>
      <x:c r="AC1403" t="str">
        <x:v>milrose</x:v>
      </x:c>
    </x:row>
    <x:row r="1404" ht="22" customHeight="1">
      <x:c r="A1404" t="str">
        <x:v>Milrose</x:v>
      </x:c>
      <x:c r="B1404" t="str">
        <x:v>B12.06</x:v>
      </x:c>
      <x:c r="C1404" t="str">
        <x:v>available</x:v>
      </x:c>
      <x:c r="D1404" t="str">
        <x:v>present</x:v>
      </x:c>
      <x:c r="E1404" t="str">
        <x:v>baseline</x:v>
      </x:c>
      <x:c r="F1404" s="11" t="n">
        <x:v>46252.68496519676</x:v>
      </x:c>
      <x:c r="G1404" t="str">
        <x:v>byt</x:v>
      </x:c>
      <x:c r="H1404" s="12" t="n">
        <x:v>3</x:v>
      </x:c>
      <x:c r="I1404" s="13" t="n">
        <x:v>12</x:v>
      </x:c>
      <x:c r="J1404" t="str">
        <x:v>B</x:v>
      </x:c>
      <x:c r="K1404" s="14"/>
      <x:c r="L1404" s="14"/>
      <x:c r="M1404" s="14"/>
      <x:c r="N1404" s="14"/>
      <x:c r="O1404" s="14"/>
      <x:c r="P1404" s="14"/>
      <x:c r="Q1404" s="14" t="n">
        <x:v>75.03</x:v>
      </x:c>
      <x:c r="R1404" s="15" t="n">
        <x:v>497100</x:v>
      </x:c>
      <x:c r="S1404" s="15" t="n">
        <x:v>497100</x:v>
      </x:c>
      <x:c r="T1404" s="15"/>
      <x:c r="U1404" s="16"/>
      <x:c r="V1404" t="str">
        <x:v>INTRADE Group</x:v>
      </x:c>
      <x:c r="W1404" t="str">
        <x:v>Ružinov</x:v>
      </x:c>
      <x:c r="X1404" s="11" t="str">
        <x:v>Voľný</x:v>
      </x:c>
      <x:c r="Y1404" s="11" t="str">
        <x:v>https://milrose.sk/byt/byt-b12-06/</x:v>
      </x:c>
      <x:c r="Z1404" s="11" t="n">
        <x:v>46252.68496519676</x:v>
      </x:c>
      <x:c r="AA1404" s="11" t="n">
        <x:v>46254.51251577547</x:v>
      </x:c>
      <x:c r="AB1404" s="11" t="n">
        <x:v>46254.51251577547</x:v>
      </x:c>
      <x:c r="AC1404" t="str">
        <x:v>milrose</x:v>
      </x:c>
    </x:row>
    <x:row r="1405" ht="22" customHeight="1">
      <x:c r="A1405" t="str">
        <x:v>Milrose</x:v>
      </x:c>
      <x:c r="B1405" t="str">
        <x:v>B12.07</x:v>
      </x:c>
      <x:c r="C1405" t="str">
        <x:v>sold</x:v>
      </x:c>
      <x:c r="D1405" t="str">
        <x:v>present</x:v>
      </x:c>
      <x:c r="E1405" t="str">
        <x:v>baseline</x:v>
      </x:c>
      <x:c r="F1405" s="11" t="n">
        <x:v>46252.68496519676</x:v>
      </x:c>
      <x:c r="G1405" t="str">
        <x:v>byt</x:v>
      </x:c>
      <x:c r="H1405" s="12" t="n">
        <x:v>3</x:v>
      </x:c>
      <x:c r="I1405" s="13" t="n">
        <x:v>12</x:v>
      </x:c>
      <x:c r="J1405" t="str">
        <x:v>B</x:v>
      </x:c>
      <x:c r="K1405" s="14"/>
      <x:c r="L1405" s="14"/>
      <x:c r="M1405" s="14"/>
      <x:c r="N1405" s="14"/>
      <x:c r="O1405" s="14"/>
      <x:c r="P1405" s="14"/>
      <x:c r="Q1405" s="14" t="n">
        <x:v>64.01</x:v>
      </x:c>
      <x:c r="R1405" s="15" t="n">
        <x:v>399600</x:v>
      </x:c>
      <x:c r="S1405" s="15" t="n">
        <x:v>399600</x:v>
      </x:c>
      <x:c r="T1405" s="15"/>
      <x:c r="U1405" s="16"/>
      <x:c r="V1405" t="str">
        <x:v>INTRADE Group</x:v>
      </x:c>
      <x:c r="W1405" t="str">
        <x:v>Ružinov</x:v>
      </x:c>
      <x:c r="X1405" s="11" t="str">
        <x:v>Predaný</x:v>
      </x:c>
      <x:c r="Y1405" s="11" t="str">
        <x:v>https://milrose.sk/byt/byt-b12-07/</x:v>
      </x:c>
      <x:c r="Z1405" s="11" t="n">
        <x:v>46252.68496519676</x:v>
      </x:c>
      <x:c r="AA1405" s="11" t="n">
        <x:v>46254.51251577547</x:v>
      </x:c>
      <x:c r="AB1405" s="11" t="n">
        <x:v>46254.51251577547</x:v>
      </x:c>
      <x:c r="AC1405" t="str">
        <x:v>milrose</x:v>
      </x:c>
    </x:row>
    <x:row r="1406" ht="22" customHeight="1">
      <x:c r="A1406" t="str">
        <x:v>Milrose</x:v>
      </x:c>
      <x:c r="B1406" t="str">
        <x:v>B13.02</x:v>
      </x:c>
      <x:c r="C1406" t="str">
        <x:v>sold</x:v>
      </x:c>
      <x:c r="D1406" t="str">
        <x:v>present</x:v>
      </x:c>
      <x:c r="E1406" t="str">
        <x:v>baseline</x:v>
      </x:c>
      <x:c r="F1406" s="11" t="n">
        <x:v>46252.68496519676</x:v>
      </x:c>
      <x:c r="G1406" t="str">
        <x:v>byt</x:v>
      </x:c>
      <x:c r="H1406" s="12" t="n">
        <x:v>2</x:v>
      </x:c>
      <x:c r="I1406" s="13" t="n">
        <x:v>13</x:v>
      </x:c>
      <x:c r="J1406" t="str">
        <x:v>B</x:v>
      </x:c>
      <x:c r="K1406" s="14"/>
      <x:c r="L1406" s="14"/>
      <x:c r="M1406" s="14"/>
      <x:c r="N1406" s="14"/>
      <x:c r="O1406" s="14"/>
      <x:c r="P1406" s="14"/>
      <x:c r="Q1406" s="14" t="n">
        <x:v>47.49</x:v>
      </x:c>
      <x:c r="R1406" s="15" t="n">
        <x:v>308900</x:v>
      </x:c>
      <x:c r="S1406" s="15" t="n">
        <x:v>308900</x:v>
      </x:c>
      <x:c r="T1406" s="15"/>
      <x:c r="U1406" s="16"/>
      <x:c r="V1406" t="str">
        <x:v>INTRADE Group</x:v>
      </x:c>
      <x:c r="W1406" t="str">
        <x:v>Ružinov</x:v>
      </x:c>
      <x:c r="X1406" s="11" t="str">
        <x:v>Predaný</x:v>
      </x:c>
      <x:c r="Y1406" s="11" t="str">
        <x:v>https://milrose.sk/byt/byt-b13-02/</x:v>
      </x:c>
      <x:c r="Z1406" s="11" t="n">
        <x:v>46252.68496519676</x:v>
      </x:c>
      <x:c r="AA1406" s="11" t="n">
        <x:v>46254.51251577547</x:v>
      </x:c>
      <x:c r="AB1406" s="11" t="n">
        <x:v>46254.51251577547</x:v>
      </x:c>
      <x:c r="AC1406" t="str">
        <x:v>milrose</x:v>
      </x:c>
    </x:row>
    <x:row r="1407" ht="22" customHeight="1">
      <x:c r="A1407" t="str">
        <x:v>Milrose</x:v>
      </x:c>
      <x:c r="B1407" t="str">
        <x:v>B13.03</x:v>
      </x:c>
      <x:c r="C1407" t="str">
        <x:v>available</x:v>
      </x:c>
      <x:c r="D1407" t="str">
        <x:v>present</x:v>
      </x:c>
      <x:c r="E1407" t="str">
        <x:v>baseline</x:v>
      </x:c>
      <x:c r="F1407" s="11" t="n">
        <x:v>46252.68496519676</x:v>
      </x:c>
      <x:c r="G1407" t="str">
        <x:v>byt</x:v>
      </x:c>
      <x:c r="H1407" s="12" t="n">
        <x:v>1</x:v>
      </x:c>
      <x:c r="I1407" s="13" t="n">
        <x:v>13</x:v>
      </x:c>
      <x:c r="J1407" t="str">
        <x:v>B</x:v>
      </x:c>
      <x:c r="K1407" s="14"/>
      <x:c r="L1407" s="14"/>
      <x:c r="M1407" s="14"/>
      <x:c r="N1407" s="14"/>
      <x:c r="O1407" s="14"/>
      <x:c r="P1407" s="14"/>
      <x:c r="Q1407" s="14" t="n">
        <x:v>35.55</x:v>
      </x:c>
      <x:c r="R1407" s="15" t="n">
        <x:v>244600</x:v>
      </x:c>
      <x:c r="S1407" s="15" t="n">
        <x:v>244600</x:v>
      </x:c>
      <x:c r="T1407" s="15"/>
      <x:c r="U1407" s="16"/>
      <x:c r="V1407" t="str">
        <x:v>INTRADE Group</x:v>
      </x:c>
      <x:c r="W1407" t="str">
        <x:v>Ružinov</x:v>
      </x:c>
      <x:c r="X1407" s="11" t="str">
        <x:v>Voľný</x:v>
      </x:c>
      <x:c r="Y1407" s="11" t="str">
        <x:v>https://milrose.sk/byt/byt-b13-03/</x:v>
      </x:c>
      <x:c r="Z1407" s="11" t="n">
        <x:v>46252.68496519676</x:v>
      </x:c>
      <x:c r="AA1407" s="11" t="n">
        <x:v>46254.51251577547</x:v>
      </x:c>
      <x:c r="AB1407" s="11" t="n">
        <x:v>46254.51251577547</x:v>
      </x:c>
      <x:c r="AC1407" t="str">
        <x:v>milrose</x:v>
      </x:c>
    </x:row>
    <x:row r="1408" ht="22" customHeight="1">
      <x:c r="A1408" t="str">
        <x:v>Milrose</x:v>
      </x:c>
      <x:c r="B1408" t="str">
        <x:v>B13.04</x:v>
      </x:c>
      <x:c r="C1408" t="str">
        <x:v>reserved</x:v>
      </x:c>
      <x:c r="D1408" t="str">
        <x:v>present</x:v>
      </x:c>
      <x:c r="E1408" t="str">
        <x:v>baseline</x:v>
      </x:c>
      <x:c r="F1408" s="11" t="n">
        <x:v>46252.68496519676</x:v>
      </x:c>
      <x:c r="G1408" t="str">
        <x:v>byt</x:v>
      </x:c>
      <x:c r="H1408" s="12" t="n">
        <x:v>1</x:v>
      </x:c>
      <x:c r="I1408" s="13" t="n">
        <x:v>13</x:v>
      </x:c>
      <x:c r="J1408" t="str">
        <x:v>B</x:v>
      </x:c>
      <x:c r="K1408" s="14"/>
      <x:c r="L1408" s="14"/>
      <x:c r="M1408" s="14"/>
      <x:c r="N1408" s="14"/>
      <x:c r="O1408" s="14"/>
      <x:c r="P1408" s="14"/>
      <x:c r="Q1408" s="14" t="n">
        <x:v>33.31</x:v>
      </x:c>
      <x:c r="R1408" s="15" t="n">
        <x:v>231300</x:v>
      </x:c>
      <x:c r="S1408" s="15" t="n">
        <x:v>231300</x:v>
      </x:c>
      <x:c r="T1408" s="15"/>
      <x:c r="U1408" s="16"/>
      <x:c r="V1408" t="str">
        <x:v>INTRADE Group</x:v>
      </x:c>
      <x:c r="W1408" t="str">
        <x:v>Ružinov</x:v>
      </x:c>
      <x:c r="X1408" s="11" t="str">
        <x:v>Rezervovaný</x:v>
      </x:c>
      <x:c r="Y1408" s="11" t="str">
        <x:v>https://milrose.sk/byt/byt-b13-04/</x:v>
      </x:c>
      <x:c r="Z1408" s="11" t="n">
        <x:v>46252.68496519676</x:v>
      </x:c>
      <x:c r="AA1408" s="11" t="n">
        <x:v>46254.51251577547</x:v>
      </x:c>
      <x:c r="AB1408" s="11" t="n">
        <x:v>46254.51251577547</x:v>
      </x:c>
      <x:c r="AC1408" t="str">
        <x:v>milrose</x:v>
      </x:c>
    </x:row>
    <x:row r="1409" ht="22" customHeight="1">
      <x:c r="A1409" t="str">
        <x:v>Milrose</x:v>
      </x:c>
      <x:c r="B1409" t="str">
        <x:v>B13.05</x:v>
      </x:c>
      <x:c r="C1409" t="str">
        <x:v>sold</x:v>
      </x:c>
      <x:c r="D1409" t="str">
        <x:v>present</x:v>
      </x:c>
      <x:c r="E1409" t="str">
        <x:v>baseline</x:v>
      </x:c>
      <x:c r="F1409" s="11" t="n">
        <x:v>46252.68496519676</x:v>
      </x:c>
      <x:c r="G1409" t="str">
        <x:v>byt</x:v>
      </x:c>
      <x:c r="H1409" s="12" t="n">
        <x:v>3</x:v>
      </x:c>
      <x:c r="I1409" s="13" t="n">
        <x:v>13</x:v>
      </x:c>
      <x:c r="J1409" t="str">
        <x:v>B</x:v>
      </x:c>
      <x:c r="K1409" s="14"/>
      <x:c r="L1409" s="14"/>
      <x:c r="M1409" s="14"/>
      <x:c r="N1409" s="14"/>
      <x:c r="O1409" s="14"/>
      <x:c r="P1409" s="14"/>
      <x:c r="Q1409" s="14" t="n">
        <x:v>65.11</x:v>
      </x:c>
      <x:c r="R1409" s="15" t="n">
        <x:v>401300</x:v>
      </x:c>
      <x:c r="S1409" s="15" t="n">
        <x:v>401300</x:v>
      </x:c>
      <x:c r="T1409" s="15"/>
      <x:c r="U1409" s="16"/>
      <x:c r="V1409" t="str">
        <x:v>INTRADE Group</x:v>
      </x:c>
      <x:c r="W1409" t="str">
        <x:v>Ružinov</x:v>
      </x:c>
      <x:c r="X1409" s="11" t="str">
        <x:v>Predaný</x:v>
      </x:c>
      <x:c r="Y1409" s="11" t="str">
        <x:v>https://milrose.sk/byt/byt-b13-05/</x:v>
      </x:c>
      <x:c r="Z1409" s="11" t="n">
        <x:v>46252.68496519676</x:v>
      </x:c>
      <x:c r="AA1409" s="11" t="n">
        <x:v>46254.51251577547</x:v>
      </x:c>
      <x:c r="AB1409" s="11" t="n">
        <x:v>46254.51251577547</x:v>
      </x:c>
      <x:c r="AC1409" t="str">
        <x:v>milrose</x:v>
      </x:c>
    </x:row>
    <x:row r="1410" ht="22" customHeight="1">
      <x:c r="A1410" t="str">
        <x:v>Milrose</x:v>
      </x:c>
      <x:c r="B1410" t="str">
        <x:v>B13.06</x:v>
      </x:c>
      <x:c r="C1410" t="str">
        <x:v>available</x:v>
      </x:c>
      <x:c r="D1410" t="str">
        <x:v>present</x:v>
      </x:c>
      <x:c r="E1410" t="str">
        <x:v>baseline</x:v>
      </x:c>
      <x:c r="F1410" s="11" t="n">
        <x:v>46252.68496519676</x:v>
      </x:c>
      <x:c r="G1410" t="str">
        <x:v>byt</x:v>
      </x:c>
      <x:c r="H1410" s="12" t="n">
        <x:v>3</x:v>
      </x:c>
      <x:c r="I1410" s="13" t="n">
        <x:v>13</x:v>
      </x:c>
      <x:c r="J1410" t="str">
        <x:v>B</x:v>
      </x:c>
      <x:c r="K1410" s="14"/>
      <x:c r="L1410" s="14"/>
      <x:c r="M1410" s="14"/>
      <x:c r="N1410" s="14"/>
      <x:c r="O1410" s="14"/>
      <x:c r="P1410" s="14"/>
      <x:c r="Q1410" s="14" t="n">
        <x:v>74.84</x:v>
      </x:c>
      <x:c r="R1410" s="15" t="n">
        <x:v>503100</x:v>
      </x:c>
      <x:c r="S1410" s="15" t="n">
        <x:v>503100</x:v>
      </x:c>
      <x:c r="T1410" s="15"/>
      <x:c r="U1410" s="16"/>
      <x:c r="V1410" t="str">
        <x:v>INTRADE Group</x:v>
      </x:c>
      <x:c r="W1410" t="str">
        <x:v>Ružinov</x:v>
      </x:c>
      <x:c r="X1410" s="11" t="str">
        <x:v>Voľný</x:v>
      </x:c>
      <x:c r="Y1410" s="11" t="str">
        <x:v>https://milrose.sk/byt/byt-b13-06/</x:v>
      </x:c>
      <x:c r="Z1410" s="11" t="n">
        <x:v>46252.68496519676</x:v>
      </x:c>
      <x:c r="AA1410" s="11" t="n">
        <x:v>46254.51251577547</x:v>
      </x:c>
      <x:c r="AB1410" s="11" t="n">
        <x:v>46254.51251577547</x:v>
      </x:c>
      <x:c r="AC1410" t="str">
        <x:v>milrose</x:v>
      </x:c>
    </x:row>
    <x:row r="1411" ht="22" customHeight="1">
      <x:c r="A1411" t="str">
        <x:v>Milrose</x:v>
      </x:c>
      <x:c r="B1411" t="str">
        <x:v>B13.07</x:v>
      </x:c>
      <x:c r="C1411" t="str">
        <x:v>sold</x:v>
      </x:c>
      <x:c r="D1411" t="str">
        <x:v>present</x:v>
      </x:c>
      <x:c r="E1411" t="str">
        <x:v>baseline</x:v>
      </x:c>
      <x:c r="F1411" s="11" t="n">
        <x:v>46252.68496519676</x:v>
      </x:c>
      <x:c r="G1411" t="str">
        <x:v>byt</x:v>
      </x:c>
      <x:c r="H1411" s="12" t="n">
        <x:v>3</x:v>
      </x:c>
      <x:c r="I1411" s="13" t="n">
        <x:v>13</x:v>
      </x:c>
      <x:c r="J1411" t="str">
        <x:v>B</x:v>
      </x:c>
      <x:c r="K1411" s="14"/>
      <x:c r="L1411" s="14"/>
      <x:c r="M1411" s="14"/>
      <x:c r="N1411" s="14"/>
      <x:c r="O1411" s="14"/>
      <x:c r="P1411" s="14"/>
      <x:c r="Q1411" s="14" t="n">
        <x:v>63.77</x:v>
      </x:c>
      <x:c r="R1411" s="15" t="n">
        <x:v>366600</x:v>
      </x:c>
      <x:c r="S1411" s="15" t="n">
        <x:v>366600</x:v>
      </x:c>
      <x:c r="T1411" s="15"/>
      <x:c r="U1411" s="16"/>
      <x:c r="V1411" t="str">
        <x:v>INTRADE Group</x:v>
      </x:c>
      <x:c r="W1411" t="str">
        <x:v>Ružinov</x:v>
      </x:c>
      <x:c r="X1411" s="11" t="str">
        <x:v>Predaný</x:v>
      </x:c>
      <x:c r="Y1411" s="11" t="str">
        <x:v>https://milrose.sk/byt/byt-b13-07/</x:v>
      </x:c>
      <x:c r="Z1411" s="11" t="n">
        <x:v>46252.68496519676</x:v>
      </x:c>
      <x:c r="AA1411" s="11" t="n">
        <x:v>46254.51251577547</x:v>
      </x:c>
      <x:c r="AB1411" s="11" t="n">
        <x:v>46254.51251577547</x:v>
      </x:c>
      <x:c r="AC1411" t="str">
        <x:v>milrose</x:v>
      </x:c>
    </x:row>
    <x:row r="1412" ht="22" customHeight="1">
      <x:c r="A1412" t="str">
        <x:v>Milrose</x:v>
      </x:c>
      <x:c r="B1412" t="str">
        <x:v>C2.01</x:v>
      </x:c>
      <x:c r="C1412" t="str">
        <x:v>sold</x:v>
      </x:c>
      <x:c r="D1412" t="str">
        <x:v>present</x:v>
      </x:c>
      <x:c r="E1412" t="str">
        <x:v>baseline</x:v>
      </x:c>
      <x:c r="F1412" s="11" t="n">
        <x:v>46252.68496519676</x:v>
      </x:c>
      <x:c r="G1412" t="str">
        <x:v>byt</x:v>
      </x:c>
      <x:c r="H1412" s="12" t="n">
        <x:v>2</x:v>
      </x:c>
      <x:c r="I1412" s="13" t="n">
        <x:v>2</x:v>
      </x:c>
      <x:c r="J1412" t="str">
        <x:v>C</x:v>
      </x:c>
      <x:c r="K1412" s="14"/>
      <x:c r="L1412" s="14"/>
      <x:c r="M1412" s="14"/>
      <x:c r="N1412" s="14"/>
      <x:c r="O1412" s="14"/>
      <x:c r="P1412" s="14"/>
      <x:c r="Q1412" s="14" t="n">
        <x:v>43.38</x:v>
      </x:c>
      <x:c r="R1412" s="15" t="n">
        <x:v>255800</x:v>
      </x:c>
      <x:c r="S1412" s="15" t="n">
        <x:v>255800</x:v>
      </x:c>
      <x:c r="T1412" s="15"/>
      <x:c r="U1412" s="16"/>
      <x:c r="V1412" t="str">
        <x:v>INTRADE Group</x:v>
      </x:c>
      <x:c r="W1412" t="str">
        <x:v>Ružinov</x:v>
      </x:c>
      <x:c r="X1412" s="11" t="str">
        <x:v>Predaný</x:v>
      </x:c>
      <x:c r="Y1412" s="11" t="str">
        <x:v>https://milrose.sk/byt/byt-c2-01/</x:v>
      </x:c>
      <x:c r="Z1412" s="11" t="n">
        <x:v>46252.68496519676</x:v>
      </x:c>
      <x:c r="AA1412" s="11" t="n">
        <x:v>46254.51251577547</x:v>
      </x:c>
      <x:c r="AB1412" s="11" t="n">
        <x:v>46254.51251577547</x:v>
      </x:c>
      <x:c r="AC1412" t="str">
        <x:v>milrose</x:v>
      </x:c>
    </x:row>
    <x:row r="1413" ht="22" customHeight="1">
      <x:c r="A1413" t="str">
        <x:v>Milrose</x:v>
      </x:c>
      <x:c r="B1413" t="str">
        <x:v>C2.02</x:v>
      </x:c>
      <x:c r="C1413" t="str">
        <x:v>available</x:v>
      </x:c>
      <x:c r="D1413" t="str">
        <x:v>present</x:v>
      </x:c>
      <x:c r="E1413" t="str">
        <x:v>baseline</x:v>
      </x:c>
      <x:c r="F1413" s="11" t="n">
        <x:v>46252.68496519676</x:v>
      </x:c>
      <x:c r="G1413" t="str">
        <x:v>byt</x:v>
      </x:c>
      <x:c r="H1413" s="12" t="n">
        <x:v>2</x:v>
      </x:c>
      <x:c r="I1413" s="13" t="n">
        <x:v>2</x:v>
      </x:c>
      <x:c r="J1413" t="str">
        <x:v>C</x:v>
      </x:c>
      <x:c r="K1413" s="14"/>
      <x:c r="L1413" s="14"/>
      <x:c r="M1413" s="14"/>
      <x:c r="N1413" s="14"/>
      <x:c r="O1413" s="14"/>
      <x:c r="P1413" s="14"/>
      <x:c r="Q1413" s="14" t="n">
        <x:v>50.58</x:v>
      </x:c>
      <x:c r="R1413" s="15" t="n">
        <x:v>301100</x:v>
      </x:c>
      <x:c r="S1413" s="15" t="n">
        <x:v>301100</x:v>
      </x:c>
      <x:c r="T1413" s="15"/>
      <x:c r="U1413" s="16"/>
      <x:c r="V1413" t="str">
        <x:v>INTRADE Group</x:v>
      </x:c>
      <x:c r="W1413" t="str">
        <x:v>Ružinov</x:v>
      </x:c>
      <x:c r="X1413" s="11" t="str">
        <x:v>Voľný</x:v>
      </x:c>
      <x:c r="Y1413" s="11" t="str">
        <x:v>https://milrose.sk/byt/byt-c2-02/</x:v>
      </x:c>
      <x:c r="Z1413" s="11" t="n">
        <x:v>46252.68496519676</x:v>
      </x:c>
      <x:c r="AA1413" s="11" t="n">
        <x:v>46254.51251577547</x:v>
      </x:c>
      <x:c r="AB1413" s="11" t="n">
        <x:v>46254.51251577547</x:v>
      </x:c>
      <x:c r="AC1413" t="str">
        <x:v>milrose</x:v>
      </x:c>
    </x:row>
    <x:row r="1414" ht="22" customHeight="1">
      <x:c r="A1414" t="str">
        <x:v>Milrose</x:v>
      </x:c>
      <x:c r="B1414" t="str">
        <x:v>C2.03</x:v>
      </x:c>
      <x:c r="C1414" t="str">
        <x:v>available</x:v>
      </x:c>
      <x:c r="D1414" t="str">
        <x:v>present</x:v>
      </x:c>
      <x:c r="E1414" t="str">
        <x:v>baseline</x:v>
      </x:c>
      <x:c r="F1414" s="11" t="n">
        <x:v>46252.68496519676</x:v>
      </x:c>
      <x:c r="G1414" t="str">
        <x:v>byt</x:v>
      </x:c>
      <x:c r="H1414" s="12" t="n">
        <x:v>3</x:v>
      </x:c>
      <x:c r="I1414" s="13" t="n">
        <x:v>2</x:v>
      </x:c>
      <x:c r="J1414" t="str">
        <x:v>C</x:v>
      </x:c>
      <x:c r="K1414" s="14"/>
      <x:c r="L1414" s="14"/>
      <x:c r="M1414" s="14"/>
      <x:c r="N1414" s="14"/>
      <x:c r="O1414" s="14"/>
      <x:c r="P1414" s="14"/>
      <x:c r="Q1414" s="14" t="n">
        <x:v>71.55</x:v>
      </x:c>
      <x:c r="R1414" s="15" t="n">
        <x:v>413300</x:v>
      </x:c>
      <x:c r="S1414" s="15" t="n">
        <x:v>413300</x:v>
      </x:c>
      <x:c r="T1414" s="15"/>
      <x:c r="U1414" s="16"/>
      <x:c r="V1414" t="str">
        <x:v>INTRADE Group</x:v>
      </x:c>
      <x:c r="W1414" t="str">
        <x:v>Ružinov</x:v>
      </x:c>
      <x:c r="X1414" s="11" t="str">
        <x:v>Voľný</x:v>
      </x:c>
      <x:c r="Y1414" s="11" t="str">
        <x:v>https://milrose.sk/byt/byt-c2-03/</x:v>
      </x:c>
      <x:c r="Z1414" s="11" t="n">
        <x:v>46252.68496519676</x:v>
      </x:c>
      <x:c r="AA1414" s="11" t="n">
        <x:v>46254.51251577547</x:v>
      </x:c>
      <x:c r="AB1414" s="11" t="n">
        <x:v>46254.51251577547</x:v>
      </x:c>
      <x:c r="AC1414" t="str">
        <x:v>milrose</x:v>
      </x:c>
    </x:row>
    <x:row r="1415" ht="22" customHeight="1">
      <x:c r="A1415" t="str">
        <x:v>Milrose</x:v>
      </x:c>
      <x:c r="B1415" t="str">
        <x:v>C2.04</x:v>
      </x:c>
      <x:c r="C1415" t="str">
        <x:v>available</x:v>
      </x:c>
      <x:c r="D1415" t="str">
        <x:v>present</x:v>
      </x:c>
      <x:c r="E1415" t="str">
        <x:v>baseline</x:v>
      </x:c>
      <x:c r="F1415" s="11" t="n">
        <x:v>46252.68496519676</x:v>
      </x:c>
      <x:c r="G1415" t="str">
        <x:v>byt</x:v>
      </x:c>
      <x:c r="H1415" s="12" t="n">
        <x:v>2</x:v>
      </x:c>
      <x:c r="I1415" s="13" t="n">
        <x:v>2</x:v>
      </x:c>
      <x:c r="J1415" t="str">
        <x:v>C</x:v>
      </x:c>
      <x:c r="K1415" s="14"/>
      <x:c r="L1415" s="14"/>
      <x:c r="M1415" s="14"/>
      <x:c r="N1415" s="14"/>
      <x:c r="O1415" s="14"/>
      <x:c r="P1415" s="14"/>
      <x:c r="Q1415" s="14" t="n">
        <x:v>50.3</x:v>
      </x:c>
      <x:c r="R1415" s="15" t="n">
        <x:v>297500</x:v>
      </x:c>
      <x:c r="S1415" s="15" t="n">
        <x:v>297500</x:v>
      </x:c>
      <x:c r="T1415" s="15"/>
      <x:c r="U1415" s="16"/>
      <x:c r="V1415" t="str">
        <x:v>INTRADE Group</x:v>
      </x:c>
      <x:c r="W1415" t="str">
        <x:v>Ružinov</x:v>
      </x:c>
      <x:c r="X1415" s="11" t="str">
        <x:v>Voľný</x:v>
      </x:c>
      <x:c r="Y1415" s="11" t="str">
        <x:v>https://milrose.sk/byt/byt-c2-04/</x:v>
      </x:c>
      <x:c r="Z1415" s="11" t="n">
        <x:v>46252.68496519676</x:v>
      </x:c>
      <x:c r="AA1415" s="11" t="n">
        <x:v>46254.51251577547</x:v>
      </x:c>
      <x:c r="AB1415" s="11" t="n">
        <x:v>46254.51251577547</x:v>
      </x:c>
      <x:c r="AC1415" t="str">
        <x:v>milrose</x:v>
      </x:c>
    </x:row>
    <x:row r="1416" ht="22" customHeight="1">
      <x:c r="A1416" t="str">
        <x:v>Milrose</x:v>
      </x:c>
      <x:c r="B1416" t="str">
        <x:v>C2.05</x:v>
      </x:c>
      <x:c r="C1416" t="str">
        <x:v>available</x:v>
      </x:c>
      <x:c r="D1416" t="str">
        <x:v>present</x:v>
      </x:c>
      <x:c r="E1416" t="str">
        <x:v>baseline</x:v>
      </x:c>
      <x:c r="F1416" s="11" t="n">
        <x:v>46252.68496519676</x:v>
      </x:c>
      <x:c r="G1416" t="str">
        <x:v>byt</x:v>
      </x:c>
      <x:c r="H1416" s="12" t="n">
        <x:v>3</x:v>
      </x:c>
      <x:c r="I1416" s="13" t="n">
        <x:v>2</x:v>
      </x:c>
      <x:c r="J1416" t="str">
        <x:v>C</x:v>
      </x:c>
      <x:c r="K1416" s="14"/>
      <x:c r="L1416" s="14"/>
      <x:c r="M1416" s="14"/>
      <x:c r="N1416" s="14"/>
      <x:c r="O1416" s="14"/>
      <x:c r="P1416" s="14"/>
      <x:c r="Q1416" s="14" t="n">
        <x:v>65.45</x:v>
      </x:c>
      <x:c r="R1416" s="15" t="n">
        <x:v>383800</x:v>
      </x:c>
      <x:c r="S1416" s="15" t="n">
        <x:v>383800</x:v>
      </x:c>
      <x:c r="T1416" s="15"/>
      <x:c r="U1416" s="16"/>
      <x:c r="V1416" t="str">
        <x:v>INTRADE Group</x:v>
      </x:c>
      <x:c r="W1416" t="str">
        <x:v>Ružinov</x:v>
      </x:c>
      <x:c r="X1416" s="11" t="str">
        <x:v>Voľný</x:v>
      </x:c>
      <x:c r="Y1416" s="11" t="str">
        <x:v>https://milrose.sk/byt/byt-c2-05/</x:v>
      </x:c>
      <x:c r="Z1416" s="11" t="n">
        <x:v>46252.68496519676</x:v>
      </x:c>
      <x:c r="AA1416" s="11" t="n">
        <x:v>46254.51251577547</x:v>
      </x:c>
      <x:c r="AB1416" s="11" t="n">
        <x:v>46254.51251577547</x:v>
      </x:c>
      <x:c r="AC1416" t="str">
        <x:v>milrose</x:v>
      </x:c>
    </x:row>
    <x:row r="1417" ht="22" customHeight="1">
      <x:c r="A1417" t="str">
        <x:v>Milrose</x:v>
      </x:c>
      <x:c r="B1417" t="str">
        <x:v>C2.06</x:v>
      </x:c>
      <x:c r="C1417" t="str">
        <x:v>sold</x:v>
      </x:c>
      <x:c r="D1417" t="str">
        <x:v>present</x:v>
      </x:c>
      <x:c r="E1417" t="str">
        <x:v>baseline</x:v>
      </x:c>
      <x:c r="F1417" s="11" t="n">
        <x:v>46252.68496519676</x:v>
      </x:c>
      <x:c r="G1417" t="str">
        <x:v>byt</x:v>
      </x:c>
      <x:c r="H1417" s="12" t="n">
        <x:v>2</x:v>
      </x:c>
      <x:c r="I1417" s="13" t="n">
        <x:v>2</x:v>
      </x:c>
      <x:c r="J1417" t="str">
        <x:v>C</x:v>
      </x:c>
      <x:c r="K1417" s="14"/>
      <x:c r="L1417" s="14"/>
      <x:c r="M1417" s="14"/>
      <x:c r="N1417" s="14"/>
      <x:c r="O1417" s="14"/>
      <x:c r="P1417" s="14"/>
      <x:c r="Q1417" s="14" t="n">
        <x:v>49.27</x:v>
      </x:c>
      <x:c r="R1417" s="15" t="n">
        <x:v>298600</x:v>
      </x:c>
      <x:c r="S1417" s="15" t="n">
        <x:v>298600</x:v>
      </x:c>
      <x:c r="T1417" s="15"/>
      <x:c r="U1417" s="16"/>
      <x:c r="V1417" t="str">
        <x:v>INTRADE Group</x:v>
      </x:c>
      <x:c r="W1417" t="str">
        <x:v>Ružinov</x:v>
      </x:c>
      <x:c r="X1417" s="11" t="str">
        <x:v>Predaný</x:v>
      </x:c>
      <x:c r="Y1417" s="11" t="str">
        <x:v>https://milrose.sk/byt/byt-c2-06/</x:v>
      </x:c>
      <x:c r="Z1417" s="11" t="n">
        <x:v>46252.68496519676</x:v>
      </x:c>
      <x:c r="AA1417" s="11" t="n">
        <x:v>46254.51251577547</x:v>
      </x:c>
      <x:c r="AB1417" s="11" t="n">
        <x:v>46254.51251577547</x:v>
      </x:c>
      <x:c r="AC1417" t="str">
        <x:v>milrose</x:v>
      </x:c>
    </x:row>
    <x:row r="1418" ht="22" customHeight="1">
      <x:c r="A1418" t="str">
        <x:v>Milrose</x:v>
      </x:c>
      <x:c r="B1418" t="str">
        <x:v>C2.07</x:v>
      </x:c>
      <x:c r="C1418" t="str">
        <x:v>available</x:v>
      </x:c>
      <x:c r="D1418" t="str">
        <x:v>present</x:v>
      </x:c>
      <x:c r="E1418" t="str">
        <x:v>baseline</x:v>
      </x:c>
      <x:c r="F1418" s="11" t="n">
        <x:v>46252.68496519676</x:v>
      </x:c>
      <x:c r="G1418" t="str">
        <x:v>byt</x:v>
      </x:c>
      <x:c r="H1418" s="12" t="n">
        <x:v>1</x:v>
      </x:c>
      <x:c r="I1418" s="13" t="n">
        <x:v>2</x:v>
      </x:c>
      <x:c r="J1418" t="str">
        <x:v>C</x:v>
      </x:c>
      <x:c r="K1418" s="14"/>
      <x:c r="L1418" s="14"/>
      <x:c r="M1418" s="14"/>
      <x:c r="N1418" s="14"/>
      <x:c r="O1418" s="14"/>
      <x:c r="P1418" s="14"/>
      <x:c r="Q1418" s="14" t="n">
        <x:v>32.39</x:v>
      </x:c>
      <x:c r="R1418" s="15" t="n">
        <x:v>214300</x:v>
      </x:c>
      <x:c r="S1418" s="15" t="n">
        <x:v>214300</x:v>
      </x:c>
      <x:c r="T1418" s="15"/>
      <x:c r="U1418" s="16"/>
      <x:c r="V1418" t="str">
        <x:v>INTRADE Group</x:v>
      </x:c>
      <x:c r="W1418" t="str">
        <x:v>Ružinov</x:v>
      </x:c>
      <x:c r="X1418" s="11" t="str">
        <x:v>Voľný</x:v>
      </x:c>
      <x:c r="Y1418" s="11" t="str">
        <x:v>https://milrose.sk/byt/byt-c2-07/</x:v>
      </x:c>
      <x:c r="Z1418" s="11" t="n">
        <x:v>46252.68496519676</x:v>
      </x:c>
      <x:c r="AA1418" s="11" t="n">
        <x:v>46254.51251577547</x:v>
      </x:c>
      <x:c r="AB1418" s="11" t="n">
        <x:v>46254.51251577547</x:v>
      </x:c>
      <x:c r="AC1418" t="str">
        <x:v>milrose</x:v>
      </x:c>
    </x:row>
    <x:row r="1419" ht="22" customHeight="1">
      <x:c r="A1419" t="str">
        <x:v>Milrose</x:v>
      </x:c>
      <x:c r="B1419" t="str">
        <x:v>C3.01</x:v>
      </x:c>
      <x:c r="C1419" t="str">
        <x:v>reserved</x:v>
      </x:c>
      <x:c r="D1419" t="str">
        <x:v>present</x:v>
      </x:c>
      <x:c r="E1419" t="str">
        <x:v>baseline</x:v>
      </x:c>
      <x:c r="F1419" s="11" t="n">
        <x:v>46252.68496519676</x:v>
      </x:c>
      <x:c r="G1419" t="str">
        <x:v>byt</x:v>
      </x:c>
      <x:c r="H1419" s="12" t="n">
        <x:v>2</x:v>
      </x:c>
      <x:c r="I1419" s="13" t="n">
        <x:v>3</x:v>
      </x:c>
      <x:c r="J1419" t="str">
        <x:v>C</x:v>
      </x:c>
      <x:c r="K1419" s="14"/>
      <x:c r="L1419" s="14"/>
      <x:c r="M1419" s="14"/>
      <x:c r="N1419" s="14"/>
      <x:c r="O1419" s="14"/>
      <x:c r="P1419" s="14"/>
      <x:c r="Q1419" s="14" t="n">
        <x:v>44.13</x:v>
      </x:c>
      <x:c r="R1419" s="15" t="n">
        <x:v>267100</x:v>
      </x:c>
      <x:c r="S1419" s="15" t="n">
        <x:v>267100</x:v>
      </x:c>
      <x:c r="T1419" s="15"/>
      <x:c r="U1419" s="16"/>
      <x:c r="V1419" t="str">
        <x:v>INTRADE Group</x:v>
      </x:c>
      <x:c r="W1419" t="str">
        <x:v>Ružinov</x:v>
      </x:c>
      <x:c r="X1419" s="11" t="str">
        <x:v>Rezervovaný</x:v>
      </x:c>
      <x:c r="Y1419" s="11" t="str">
        <x:v>https://milrose.sk/byt/byt-c3-01/</x:v>
      </x:c>
      <x:c r="Z1419" s="11" t="n">
        <x:v>46252.68496519676</x:v>
      </x:c>
      <x:c r="AA1419" s="11" t="n">
        <x:v>46254.51251577547</x:v>
      </x:c>
      <x:c r="AB1419" s="11" t="n">
        <x:v>46254.51251577547</x:v>
      </x:c>
      <x:c r="AC1419" t="str">
        <x:v>milrose</x:v>
      </x:c>
    </x:row>
    <x:row r="1420" ht="22" customHeight="1">
      <x:c r="A1420" t="str">
        <x:v>Milrose</x:v>
      </x:c>
      <x:c r="B1420" t="str">
        <x:v>C3.02</x:v>
      </x:c>
      <x:c r="C1420" t="str">
        <x:v>sold</x:v>
      </x:c>
      <x:c r="D1420" t="str">
        <x:v>present</x:v>
      </x:c>
      <x:c r="E1420" t="str">
        <x:v>baseline</x:v>
      </x:c>
      <x:c r="F1420" s="11" t="n">
        <x:v>46252.68496519676</x:v>
      </x:c>
      <x:c r="G1420" t="str">
        <x:v>byt</x:v>
      </x:c>
      <x:c r="H1420" s="12" t="n">
        <x:v>2</x:v>
      </x:c>
      <x:c r="I1420" s="13" t="n">
        <x:v>3</x:v>
      </x:c>
      <x:c r="J1420" t="str">
        <x:v>C</x:v>
      </x:c>
      <x:c r="K1420" s="14"/>
      <x:c r="L1420" s="14"/>
      <x:c r="M1420" s="14"/>
      <x:c r="N1420" s="14"/>
      <x:c r="O1420" s="14"/>
      <x:c r="P1420" s="14"/>
      <x:c r="Q1420" s="14" t="n">
        <x:v>51.21</x:v>
      </x:c>
      <x:c r="R1420" s="15" t="n">
        <x:v>295600</x:v>
      </x:c>
      <x:c r="S1420" s="15" t="n">
        <x:v>295600</x:v>
      </x:c>
      <x:c r="T1420" s="15"/>
      <x:c r="U1420" s="16"/>
      <x:c r="V1420" t="str">
        <x:v>INTRADE Group</x:v>
      </x:c>
      <x:c r="W1420" t="str">
        <x:v>Ružinov</x:v>
      </x:c>
      <x:c r="X1420" s="11" t="str">
        <x:v>Predaný</x:v>
      </x:c>
      <x:c r="Y1420" s="11" t="str">
        <x:v>https://milrose.sk/byt/byt-c3-02/</x:v>
      </x:c>
      <x:c r="Z1420" s="11" t="n">
        <x:v>46252.68496519676</x:v>
      </x:c>
      <x:c r="AA1420" s="11" t="n">
        <x:v>46254.51251577547</x:v>
      </x:c>
      <x:c r="AB1420" s="11" t="n">
        <x:v>46254.51251577547</x:v>
      </x:c>
      <x:c r="AC1420" t="str">
        <x:v>milrose</x:v>
      </x:c>
    </x:row>
    <x:row r="1421" ht="22" customHeight="1">
      <x:c r="A1421" t="str">
        <x:v>Milrose</x:v>
      </x:c>
      <x:c r="B1421" t="str">
        <x:v>C3.03</x:v>
      </x:c>
      <x:c r="C1421" t="str">
        <x:v>available</x:v>
      </x:c>
      <x:c r="D1421" t="str">
        <x:v>present</x:v>
      </x:c>
      <x:c r="E1421" t="str">
        <x:v>baseline</x:v>
      </x:c>
      <x:c r="F1421" s="11" t="n">
        <x:v>46252.68496519676</x:v>
      </x:c>
      <x:c r="G1421" t="str">
        <x:v>byt</x:v>
      </x:c>
      <x:c r="H1421" s="12" t="n">
        <x:v>3</x:v>
      </x:c>
      <x:c r="I1421" s="13" t="n">
        <x:v>3</x:v>
      </x:c>
      <x:c r="J1421" t="str">
        <x:v>C</x:v>
      </x:c>
      <x:c r="K1421" s="14"/>
      <x:c r="L1421" s="14"/>
      <x:c r="M1421" s="14"/>
      <x:c r="N1421" s="14"/>
      <x:c r="O1421" s="14"/>
      <x:c r="P1421" s="14"/>
      <x:c r="Q1421" s="14" t="n">
        <x:v>72.99</x:v>
      </x:c>
      <x:c r="R1421" s="15" t="n">
        <x:v>423400</x:v>
      </x:c>
      <x:c r="S1421" s="15" t="n">
        <x:v>423400</x:v>
      </x:c>
      <x:c r="T1421" s="15"/>
      <x:c r="U1421" s="16"/>
      <x:c r="V1421" t="str">
        <x:v>INTRADE Group</x:v>
      </x:c>
      <x:c r="W1421" t="str">
        <x:v>Ružinov</x:v>
      </x:c>
      <x:c r="X1421" s="11" t="str">
        <x:v>Voľný</x:v>
      </x:c>
      <x:c r="Y1421" s="11" t="str">
        <x:v>https://milrose.sk/byt/byt-c3-03/</x:v>
      </x:c>
      <x:c r="Z1421" s="11" t="n">
        <x:v>46252.68496519676</x:v>
      </x:c>
      <x:c r="AA1421" s="11" t="n">
        <x:v>46254.51251577547</x:v>
      </x:c>
      <x:c r="AB1421" s="11" t="n">
        <x:v>46254.51251577547</x:v>
      </x:c>
      <x:c r="AC1421" t="str">
        <x:v>milrose</x:v>
      </x:c>
    </x:row>
    <x:row r="1422" ht="22" customHeight="1">
      <x:c r="A1422" t="str">
        <x:v>Milrose</x:v>
      </x:c>
      <x:c r="B1422" t="str">
        <x:v>C3.04</x:v>
      </x:c>
      <x:c r="C1422" t="str">
        <x:v>available</x:v>
      </x:c>
      <x:c r="D1422" t="str">
        <x:v>present</x:v>
      </x:c>
      <x:c r="E1422" t="str">
        <x:v>baseline</x:v>
      </x:c>
      <x:c r="F1422" s="11" t="n">
        <x:v>46252.68496519676</x:v>
      </x:c>
      <x:c r="G1422" t="str">
        <x:v>byt</x:v>
      </x:c>
      <x:c r="H1422" s="12" t="n">
        <x:v>2</x:v>
      </x:c>
      <x:c r="I1422" s="13" t="n">
        <x:v>3</x:v>
      </x:c>
      <x:c r="J1422" t="str">
        <x:v>C</x:v>
      </x:c>
      <x:c r="K1422" s="14"/>
      <x:c r="L1422" s="14"/>
      <x:c r="M1422" s="14"/>
      <x:c r="N1422" s="14"/>
      <x:c r="O1422" s="14"/>
      <x:c r="P1422" s="14"/>
      <x:c r="Q1422" s="14" t="n">
        <x:v>50.67</x:v>
      </x:c>
      <x:c r="R1422" s="15" t="n">
        <x:v>309900</x:v>
      </x:c>
      <x:c r="S1422" s="15" t="n">
        <x:v>309900</x:v>
      </x:c>
      <x:c r="T1422" s="15"/>
      <x:c r="U1422" s="16"/>
      <x:c r="V1422" t="str">
        <x:v>INTRADE Group</x:v>
      </x:c>
      <x:c r="W1422" t="str">
        <x:v>Ružinov</x:v>
      </x:c>
      <x:c r="X1422" s="11" t="str">
        <x:v>Voľný</x:v>
      </x:c>
      <x:c r="Y1422" s="11" t="str">
        <x:v>https://milrose.sk/byt/byt-c3-04/</x:v>
      </x:c>
      <x:c r="Z1422" s="11" t="n">
        <x:v>46252.68496519676</x:v>
      </x:c>
      <x:c r="AA1422" s="11" t="n">
        <x:v>46254.51251577547</x:v>
      </x:c>
      <x:c r="AB1422" s="11" t="n">
        <x:v>46254.51251577547</x:v>
      </x:c>
      <x:c r="AC1422" t="str">
        <x:v>milrose</x:v>
      </x:c>
    </x:row>
    <x:row r="1423" ht="22" customHeight="1">
      <x:c r="A1423" t="str">
        <x:v>Milrose</x:v>
      </x:c>
      <x:c r="B1423" t="str">
        <x:v>C3.05</x:v>
      </x:c>
      <x:c r="C1423" t="str">
        <x:v>sold</x:v>
      </x:c>
      <x:c r="D1423" t="str">
        <x:v>present</x:v>
      </x:c>
      <x:c r="E1423" t="str">
        <x:v>baseline</x:v>
      </x:c>
      <x:c r="F1423" s="11" t="n">
        <x:v>46252.68496519676</x:v>
      </x:c>
      <x:c r="G1423" t="str">
        <x:v>byt</x:v>
      </x:c>
      <x:c r="H1423" s="12" t="n">
        <x:v>3</x:v>
      </x:c>
      <x:c r="I1423" s="13" t="n">
        <x:v>3</x:v>
      </x:c>
      <x:c r="J1423" t="str">
        <x:v>C</x:v>
      </x:c>
      <x:c r="K1423" s="14"/>
      <x:c r="L1423" s="14"/>
      <x:c r="M1423" s="14"/>
      <x:c r="N1423" s="14"/>
      <x:c r="O1423" s="14"/>
      <x:c r="P1423" s="14"/>
      <x:c r="Q1423" s="14" t="n">
        <x:v>66.72</x:v>
      </x:c>
      <x:c r="R1423" s="15" t="n">
        <x:v>389700</x:v>
      </x:c>
      <x:c r="S1423" s="15" t="n">
        <x:v>389700</x:v>
      </x:c>
      <x:c r="T1423" s="15"/>
      <x:c r="U1423" s="16"/>
      <x:c r="V1423" t="str">
        <x:v>INTRADE Group</x:v>
      </x:c>
      <x:c r="W1423" t="str">
        <x:v>Ružinov</x:v>
      </x:c>
      <x:c r="X1423" s="11" t="str">
        <x:v>Predaný</x:v>
      </x:c>
      <x:c r="Y1423" s="11" t="str">
        <x:v>https://milrose.sk/byt/byt-c3-05/</x:v>
      </x:c>
      <x:c r="Z1423" s="11" t="n">
        <x:v>46252.68496519676</x:v>
      </x:c>
      <x:c r="AA1423" s="11" t="n">
        <x:v>46254.51251577547</x:v>
      </x:c>
      <x:c r="AB1423" s="11" t="n">
        <x:v>46254.51251577547</x:v>
      </x:c>
      <x:c r="AC1423" t="str">
        <x:v>milrose</x:v>
      </x:c>
    </x:row>
    <x:row r="1424" ht="22" customHeight="1">
      <x:c r="A1424" t="str">
        <x:v>Milrose</x:v>
      </x:c>
      <x:c r="B1424" t="str">
        <x:v>C3.06</x:v>
      </x:c>
      <x:c r="C1424" t="str">
        <x:v>sold</x:v>
      </x:c>
      <x:c r="D1424" t="str">
        <x:v>present</x:v>
      </x:c>
      <x:c r="E1424" t="str">
        <x:v>baseline</x:v>
      </x:c>
      <x:c r="F1424" s="11" t="n">
        <x:v>46252.68496519676</x:v>
      </x:c>
      <x:c r="G1424" t="str">
        <x:v>byt</x:v>
      </x:c>
      <x:c r="H1424" s="12" t="n">
        <x:v>2</x:v>
      </x:c>
      <x:c r="I1424" s="13" t="n">
        <x:v>3</x:v>
      </x:c>
      <x:c r="J1424" t="str">
        <x:v>C</x:v>
      </x:c>
      <x:c r="K1424" s="14"/>
      <x:c r="L1424" s="14"/>
      <x:c r="M1424" s="14"/>
      <x:c r="N1424" s="14"/>
      <x:c r="O1424" s="14"/>
      <x:c r="P1424" s="14"/>
      <x:c r="Q1424" s="14" t="n">
        <x:v>50</x:v>
      </x:c>
      <x:c r="R1424" s="15" t="n">
        <x:v>302600</x:v>
      </x:c>
      <x:c r="S1424" s="15" t="n">
        <x:v>302600</x:v>
      </x:c>
      <x:c r="T1424" s="15"/>
      <x:c r="U1424" s="16"/>
      <x:c r="V1424" t="str">
        <x:v>INTRADE Group</x:v>
      </x:c>
      <x:c r="W1424" t="str">
        <x:v>Ružinov</x:v>
      </x:c>
      <x:c r="X1424" s="11" t="str">
        <x:v>Predaný</x:v>
      </x:c>
      <x:c r="Y1424" s="11" t="str">
        <x:v>https://milrose.sk/byt/byt-c3-06/</x:v>
      </x:c>
      <x:c r="Z1424" s="11" t="n">
        <x:v>46252.68496519676</x:v>
      </x:c>
      <x:c r="AA1424" s="11" t="n">
        <x:v>46254.51251577547</x:v>
      </x:c>
      <x:c r="AB1424" s="11" t="n">
        <x:v>46254.51251577547</x:v>
      </x:c>
      <x:c r="AC1424" t="str">
        <x:v>milrose</x:v>
      </x:c>
    </x:row>
    <x:row r="1425" ht="22" customHeight="1">
      <x:c r="A1425" t="str">
        <x:v>Milrose</x:v>
      </x:c>
      <x:c r="B1425" t="str">
        <x:v>C3.07</x:v>
      </x:c>
      <x:c r="C1425" t="str">
        <x:v>sold</x:v>
      </x:c>
      <x:c r="D1425" t="str">
        <x:v>present</x:v>
      </x:c>
      <x:c r="E1425" t="str">
        <x:v>baseline</x:v>
      </x:c>
      <x:c r="F1425" s="11" t="n">
        <x:v>46252.68496519676</x:v>
      </x:c>
      <x:c r="G1425" t="str">
        <x:v>byt</x:v>
      </x:c>
      <x:c r="H1425" s="12" t="n">
        <x:v>1</x:v>
      </x:c>
      <x:c r="I1425" s="13" t="n">
        <x:v>3</x:v>
      </x:c>
      <x:c r="J1425" t="str">
        <x:v>C</x:v>
      </x:c>
      <x:c r="K1425" s="14"/>
      <x:c r="L1425" s="14"/>
      <x:c r="M1425" s="14"/>
      <x:c r="N1425" s="14"/>
      <x:c r="O1425" s="14"/>
      <x:c r="P1425" s="14"/>
      <x:c r="Q1425" s="14" t="n">
        <x:v>32.41</x:v>
      </x:c>
      <x:c r="R1425" s="15" t="n">
        <x:v>187800</x:v>
      </x:c>
      <x:c r="S1425" s="15" t="n">
        <x:v>187800</x:v>
      </x:c>
      <x:c r="T1425" s="15"/>
      <x:c r="U1425" s="16"/>
      <x:c r="V1425" t="str">
        <x:v>INTRADE Group</x:v>
      </x:c>
      <x:c r="W1425" t="str">
        <x:v>Ružinov</x:v>
      </x:c>
      <x:c r="X1425" s="11" t="str">
        <x:v>Predaný</x:v>
      </x:c>
      <x:c r="Y1425" s="11" t="str">
        <x:v>https://milrose.sk/byt/byt-c3-07/</x:v>
      </x:c>
      <x:c r="Z1425" s="11" t="n">
        <x:v>46252.68496519676</x:v>
      </x:c>
      <x:c r="AA1425" s="11" t="n">
        <x:v>46254.51251577547</x:v>
      </x:c>
      <x:c r="AB1425" s="11" t="n">
        <x:v>46254.51251577547</x:v>
      </x:c>
      <x:c r="AC1425" t="str">
        <x:v>milrose</x:v>
      </x:c>
    </x:row>
    <x:row r="1426" ht="22" customHeight="1">
      <x:c r="A1426" t="str">
        <x:v>Milrose</x:v>
      </x:c>
      <x:c r="B1426" t="str">
        <x:v>C4.01</x:v>
      </x:c>
      <x:c r="C1426" t="str">
        <x:v>sold</x:v>
      </x:c>
      <x:c r="D1426" t="str">
        <x:v>present</x:v>
      </x:c>
      <x:c r="E1426" t="str">
        <x:v>baseline</x:v>
      </x:c>
      <x:c r="F1426" s="11" t="n">
        <x:v>46252.68496519676</x:v>
      </x:c>
      <x:c r="G1426" t="str">
        <x:v>byt</x:v>
      </x:c>
      <x:c r="H1426" s="12" t="n">
        <x:v>2</x:v>
      </x:c>
      <x:c r="I1426" s="13" t="n">
        <x:v>4</x:v>
      </x:c>
      <x:c r="J1426" t="str">
        <x:v>C</x:v>
      </x:c>
      <x:c r="K1426" s="14"/>
      <x:c r="L1426" s="14"/>
      <x:c r="M1426" s="14"/>
      <x:c r="N1426" s="14"/>
      <x:c r="O1426" s="14"/>
      <x:c r="P1426" s="14"/>
      <x:c r="Q1426" s="14" t="n">
        <x:v>43.76</x:v>
      </x:c>
      <x:c r="R1426" s="15" t="n">
        <x:v>250100</x:v>
      </x:c>
      <x:c r="S1426" s="15" t="n">
        <x:v>250100</x:v>
      </x:c>
      <x:c r="T1426" s="15"/>
      <x:c r="U1426" s="16"/>
      <x:c r="V1426" t="str">
        <x:v>INTRADE Group</x:v>
      </x:c>
      <x:c r="W1426" t="str">
        <x:v>Ružinov</x:v>
      </x:c>
      <x:c r="X1426" s="11" t="str">
        <x:v>Predaný</x:v>
      </x:c>
      <x:c r="Y1426" s="11" t="str">
        <x:v>https://milrose.sk/byt/byt-c4-01/</x:v>
      </x:c>
      <x:c r="Z1426" s="11" t="n">
        <x:v>46252.68496519676</x:v>
      </x:c>
      <x:c r="AA1426" s="11" t="n">
        <x:v>46254.51251577547</x:v>
      </x:c>
      <x:c r="AB1426" s="11" t="n">
        <x:v>46254.51251577547</x:v>
      </x:c>
      <x:c r="AC1426" t="str">
        <x:v>milrose</x:v>
      </x:c>
    </x:row>
    <x:row r="1427" ht="22" customHeight="1">
      <x:c r="A1427" t="str">
        <x:v>Milrose</x:v>
      </x:c>
      <x:c r="B1427" t="str">
        <x:v>C4.02</x:v>
      </x:c>
      <x:c r="C1427" t="str">
        <x:v>pre_reserved</x:v>
      </x:c>
      <x:c r="D1427" t="str">
        <x:v>present</x:v>
      </x:c>
      <x:c r="E1427" t="str">
        <x:v>baseline</x:v>
      </x:c>
      <x:c r="F1427" s="11" t="n">
        <x:v>46252.68496519676</x:v>
      </x:c>
      <x:c r="G1427" t="str">
        <x:v>byt</x:v>
      </x:c>
      <x:c r="H1427" s="12" t="n">
        <x:v>2</x:v>
      </x:c>
      <x:c r="I1427" s="13" t="n">
        <x:v>4</x:v>
      </x:c>
      <x:c r="J1427" t="str">
        <x:v>C</x:v>
      </x:c>
      <x:c r="K1427" s="14"/>
      <x:c r="L1427" s="14"/>
      <x:c r="M1427" s="14"/>
      <x:c r="N1427" s="14"/>
      <x:c r="O1427" s="14"/>
      <x:c r="P1427" s="14"/>
      <x:c r="Q1427" s="14" t="n">
        <x:v>51.6</x:v>
      </x:c>
      <x:c r="R1427" s="15" t="n">
        <x:v>313900</x:v>
      </x:c>
      <x:c r="S1427" s="15" t="n">
        <x:v>313900</x:v>
      </x:c>
      <x:c r="T1427" s="15"/>
      <x:c r="U1427" s="16"/>
      <x:c r="V1427" t="str">
        <x:v>INTRADE Group</x:v>
      </x:c>
      <x:c r="W1427" t="str">
        <x:v>Ružinov</x:v>
      </x:c>
      <x:c r="X1427" s="11" t="str">
        <x:v>Predbežne rezervovaný</x:v>
      </x:c>
      <x:c r="Y1427" s="11" t="str">
        <x:v>https://milrose.sk/byt/byt-c4-02/</x:v>
      </x:c>
      <x:c r="Z1427" s="11" t="n">
        <x:v>46252.68496519676</x:v>
      </x:c>
      <x:c r="AA1427" s="11" t="n">
        <x:v>46254.51251577547</x:v>
      </x:c>
      <x:c r="AB1427" s="11" t="n">
        <x:v>46254.51251577547</x:v>
      </x:c>
      <x:c r="AC1427" t="str">
        <x:v>milrose</x:v>
      </x:c>
    </x:row>
    <x:row r="1428" ht="22" customHeight="1">
      <x:c r="A1428" t="str">
        <x:v>Milrose</x:v>
      </x:c>
      <x:c r="B1428" t="str">
        <x:v>C4.03</x:v>
      </x:c>
      <x:c r="C1428" t="str">
        <x:v>available</x:v>
      </x:c>
      <x:c r="D1428" t="str">
        <x:v>present</x:v>
      </x:c>
      <x:c r="E1428" t="str">
        <x:v>baseline</x:v>
      </x:c>
      <x:c r="F1428" s="11" t="n">
        <x:v>46252.68496519676</x:v>
      </x:c>
      <x:c r="G1428" t="str">
        <x:v>byt</x:v>
      </x:c>
      <x:c r="H1428" s="12" t="n">
        <x:v>3</x:v>
      </x:c>
      <x:c r="I1428" s="13" t="n">
        <x:v>4</x:v>
      </x:c>
      <x:c r="J1428" t="str">
        <x:v>C</x:v>
      </x:c>
      <x:c r="K1428" s="14"/>
      <x:c r="L1428" s="14"/>
      <x:c r="M1428" s="14"/>
      <x:c r="N1428" s="14"/>
      <x:c r="O1428" s="14"/>
      <x:c r="P1428" s="14"/>
      <x:c r="Q1428" s="14" t="n">
        <x:v>73.03</x:v>
      </x:c>
      <x:c r="R1428" s="15" t="n">
        <x:v>436100</x:v>
      </x:c>
      <x:c r="S1428" s="15" t="n">
        <x:v>436100</x:v>
      </x:c>
      <x:c r="T1428" s="15"/>
      <x:c r="U1428" s="16"/>
      <x:c r="V1428" t="str">
        <x:v>INTRADE Group</x:v>
      </x:c>
      <x:c r="W1428" t="str">
        <x:v>Ružinov</x:v>
      </x:c>
      <x:c r="X1428" s="11" t="str">
        <x:v>Voľný</x:v>
      </x:c>
      <x:c r="Y1428" s="11" t="str">
        <x:v>https://milrose.sk/byt/byt-c4-03/</x:v>
      </x:c>
      <x:c r="Z1428" s="11" t="n">
        <x:v>46252.68496519676</x:v>
      </x:c>
      <x:c r="AA1428" s="11" t="n">
        <x:v>46254.51251577547</x:v>
      </x:c>
      <x:c r="AB1428" s="11" t="n">
        <x:v>46254.51251577547</x:v>
      </x:c>
      <x:c r="AC1428" t="str">
        <x:v>milrose</x:v>
      </x:c>
    </x:row>
    <x:row r="1429" ht="22" customHeight="1">
      <x:c r="A1429" t="str">
        <x:v>Milrose</x:v>
      </x:c>
      <x:c r="B1429" t="str">
        <x:v>C4.04</x:v>
      </x:c>
      <x:c r="C1429" t="str">
        <x:v>available</x:v>
      </x:c>
      <x:c r="D1429" t="str">
        <x:v>present</x:v>
      </x:c>
      <x:c r="E1429" t="str">
        <x:v>baseline</x:v>
      </x:c>
      <x:c r="F1429" s="11" t="n">
        <x:v>46252.68496519676</x:v>
      </x:c>
      <x:c r="G1429" t="str">
        <x:v>byt</x:v>
      </x:c>
      <x:c r="H1429" s="12" t="n">
        <x:v>2</x:v>
      </x:c>
      <x:c r="I1429" s="13" t="n">
        <x:v>4</x:v>
      </x:c>
      <x:c r="J1429" t="str">
        <x:v>C</x:v>
      </x:c>
      <x:c r="K1429" s="14"/>
      <x:c r="L1429" s="14"/>
      <x:c r="M1429" s="14"/>
      <x:c r="N1429" s="14"/>
      <x:c r="O1429" s="14"/>
      <x:c r="P1429" s="14"/>
      <x:c r="Q1429" s="14" t="n">
        <x:v>50.8</x:v>
      </x:c>
      <x:c r="R1429" s="15" t="n">
        <x:v>311700</x:v>
      </x:c>
      <x:c r="S1429" s="15" t="n">
        <x:v>311700</x:v>
      </x:c>
      <x:c r="T1429" s="15"/>
      <x:c r="U1429" s="16"/>
      <x:c r="V1429" t="str">
        <x:v>INTRADE Group</x:v>
      </x:c>
      <x:c r="W1429" t="str">
        <x:v>Ružinov</x:v>
      </x:c>
      <x:c r="X1429" s="11" t="str">
        <x:v>Voľný</x:v>
      </x:c>
      <x:c r="Y1429" s="11" t="str">
        <x:v>https://milrose.sk/byt/byt-c4-04/</x:v>
      </x:c>
      <x:c r="Z1429" s="11" t="n">
        <x:v>46252.68496519676</x:v>
      </x:c>
      <x:c r="AA1429" s="11" t="n">
        <x:v>46254.51251577547</x:v>
      </x:c>
      <x:c r="AB1429" s="11" t="n">
        <x:v>46254.51251577547</x:v>
      </x:c>
      <x:c r="AC1429" t="str">
        <x:v>milrose</x:v>
      </x:c>
    </x:row>
    <x:row r="1430" ht="22" customHeight="1">
      <x:c r="A1430" t="str">
        <x:v>Milrose</x:v>
      </x:c>
      <x:c r="B1430" t="str">
        <x:v>C4.05</x:v>
      </x:c>
      <x:c r="C1430" t="str">
        <x:v>sold</x:v>
      </x:c>
      <x:c r="D1430" t="str">
        <x:v>present</x:v>
      </x:c>
      <x:c r="E1430" t="str">
        <x:v>baseline</x:v>
      </x:c>
      <x:c r="F1430" s="11" t="n">
        <x:v>46252.68496519676</x:v>
      </x:c>
      <x:c r="G1430" t="str">
        <x:v>byt</x:v>
      </x:c>
      <x:c r="H1430" s="12" t="n">
        <x:v>3</x:v>
      </x:c>
      <x:c r="I1430" s="13" t="n">
        <x:v>4</x:v>
      </x:c>
      <x:c r="J1430" t="str">
        <x:v>C</x:v>
      </x:c>
      <x:c r="K1430" s="14"/>
      <x:c r="L1430" s="14"/>
      <x:c r="M1430" s="14"/>
      <x:c r="N1430" s="14"/>
      <x:c r="O1430" s="14"/>
      <x:c r="P1430" s="14"/>
      <x:c r="Q1430" s="14" t="n">
        <x:v>66.57</x:v>
      </x:c>
      <x:c r="R1430" s="15" t="n">
        <x:v>402900</x:v>
      </x:c>
      <x:c r="S1430" s="15" t="n">
        <x:v>402900</x:v>
      </x:c>
      <x:c r="T1430" s="15"/>
      <x:c r="U1430" s="16"/>
      <x:c r="V1430" t="str">
        <x:v>INTRADE Group</x:v>
      </x:c>
      <x:c r="W1430" t="str">
        <x:v>Ružinov</x:v>
      </x:c>
      <x:c r="X1430" s="11" t="str">
        <x:v>Predaný</x:v>
      </x:c>
      <x:c r="Y1430" s="11" t="str">
        <x:v>https://milrose.sk/byt/byt-c4-05/</x:v>
      </x:c>
      <x:c r="Z1430" s="11" t="n">
        <x:v>46252.68496519676</x:v>
      </x:c>
      <x:c r="AA1430" s="11" t="n">
        <x:v>46254.51251577547</x:v>
      </x:c>
      <x:c r="AB1430" s="11" t="n">
        <x:v>46254.51251577547</x:v>
      </x:c>
      <x:c r="AC1430" t="str">
        <x:v>milrose</x:v>
      </x:c>
    </x:row>
    <x:row r="1431" ht="22" customHeight="1">
      <x:c r="A1431" t="str">
        <x:v>Milrose</x:v>
      </x:c>
      <x:c r="B1431" t="str">
        <x:v>C4.06</x:v>
      </x:c>
      <x:c r="C1431" t="str">
        <x:v>pre_reserved</x:v>
      </x:c>
      <x:c r="D1431" t="str">
        <x:v>present</x:v>
      </x:c>
      <x:c r="E1431" t="str">
        <x:v>baseline</x:v>
      </x:c>
      <x:c r="F1431" s="11" t="n">
        <x:v>46252.68496519676</x:v>
      </x:c>
      <x:c r="G1431" t="str">
        <x:v>byt</x:v>
      </x:c>
      <x:c r="H1431" s="12" t="n">
        <x:v>2</x:v>
      </x:c>
      <x:c r="I1431" s="13" t="n">
        <x:v>4</x:v>
      </x:c>
      <x:c r="J1431" t="str">
        <x:v>C</x:v>
      </x:c>
      <x:c r="K1431" s="14"/>
      <x:c r="L1431" s="14"/>
      <x:c r="M1431" s="14"/>
      <x:c r="N1431" s="14"/>
      <x:c r="O1431" s="14"/>
      <x:c r="P1431" s="14"/>
      <x:c r="Q1431" s="14" t="n">
        <x:v>50</x:v>
      </x:c>
      <x:c r="R1431" s="15" t="n">
        <x:v>311600</x:v>
      </x:c>
      <x:c r="S1431" s="15" t="n">
        <x:v>311600</x:v>
      </x:c>
      <x:c r="T1431" s="15"/>
      <x:c r="U1431" s="16"/>
      <x:c r="V1431" t="str">
        <x:v>INTRADE Group</x:v>
      </x:c>
      <x:c r="W1431" t="str">
        <x:v>Ružinov</x:v>
      </x:c>
      <x:c r="X1431" s="11" t="str">
        <x:v>Predbežne rezervovaný</x:v>
      </x:c>
      <x:c r="Y1431" s="11" t="str">
        <x:v>https://milrose.sk/byt/byt-c4-06/</x:v>
      </x:c>
      <x:c r="Z1431" s="11" t="n">
        <x:v>46252.68496519676</x:v>
      </x:c>
      <x:c r="AA1431" s="11" t="n">
        <x:v>46254.51251577547</x:v>
      </x:c>
      <x:c r="AB1431" s="11" t="n">
        <x:v>46254.51251577547</x:v>
      </x:c>
      <x:c r="AC1431" t="str">
        <x:v>milrose</x:v>
      </x:c>
    </x:row>
    <x:row r="1432" ht="22" customHeight="1">
      <x:c r="A1432" t="str">
        <x:v>Milrose</x:v>
      </x:c>
      <x:c r="B1432" t="str">
        <x:v>C4.07</x:v>
      </x:c>
      <x:c r="C1432" t="str">
        <x:v>sold</x:v>
      </x:c>
      <x:c r="D1432" t="str">
        <x:v>present</x:v>
      </x:c>
      <x:c r="E1432" t="str">
        <x:v>baseline</x:v>
      </x:c>
      <x:c r="F1432" s="11" t="n">
        <x:v>46252.68496519676</x:v>
      </x:c>
      <x:c r="G1432" t="str">
        <x:v>byt</x:v>
      </x:c>
      <x:c r="H1432" s="12" t="n">
        <x:v>1</x:v>
      </x:c>
      <x:c r="I1432" s="13" t="n">
        <x:v>4</x:v>
      </x:c>
      <x:c r="J1432" t="str">
        <x:v>C</x:v>
      </x:c>
      <x:c r="K1432" s="14"/>
      <x:c r="L1432" s="14"/>
      <x:c r="M1432" s="14"/>
      <x:c r="N1432" s="14"/>
      <x:c r="O1432" s="14"/>
      <x:c r="P1432" s="14"/>
      <x:c r="Q1432" s="14" t="n">
        <x:v>32.62</x:v>
      </x:c>
      <x:c r="R1432" s="15" t="n">
        <x:v>219500</x:v>
      </x:c>
      <x:c r="S1432" s="15" t="n">
        <x:v>219500</x:v>
      </x:c>
      <x:c r="T1432" s="15"/>
      <x:c r="U1432" s="16"/>
      <x:c r="V1432" t="str">
        <x:v>INTRADE Group</x:v>
      </x:c>
      <x:c r="W1432" t="str">
        <x:v>Ružinov</x:v>
      </x:c>
      <x:c r="X1432" s="11" t="str">
        <x:v>Predaný</x:v>
      </x:c>
      <x:c r="Y1432" s="11" t="str">
        <x:v>https://milrose.sk/byt/byt-c4-07/</x:v>
      </x:c>
      <x:c r="Z1432" s="11" t="n">
        <x:v>46252.68496519676</x:v>
      </x:c>
      <x:c r="AA1432" s="11" t="n">
        <x:v>46254.51251577547</x:v>
      </x:c>
      <x:c r="AB1432" s="11" t="n">
        <x:v>46254.51251577547</x:v>
      </x:c>
      <x:c r="AC1432" t="str">
        <x:v>milrose</x:v>
      </x:c>
    </x:row>
    <x:row r="1433" ht="22" customHeight="1">
      <x:c r="A1433" t="str">
        <x:v>Milrose</x:v>
      </x:c>
      <x:c r="B1433" t="str">
        <x:v>C5.01</x:v>
      </x:c>
      <x:c r="C1433" t="str">
        <x:v>sold</x:v>
      </x:c>
      <x:c r="D1433" t="str">
        <x:v>present</x:v>
      </x:c>
      <x:c r="E1433" t="str">
        <x:v>baseline</x:v>
      </x:c>
      <x:c r="F1433" s="11" t="n">
        <x:v>46252.68496519676</x:v>
      </x:c>
      <x:c r="G1433" t="str">
        <x:v>byt</x:v>
      </x:c>
      <x:c r="H1433" s="12" t="n">
        <x:v>2</x:v>
      </x:c>
      <x:c r="I1433" s="13" t="n">
        <x:v>5</x:v>
      </x:c>
      <x:c r="J1433" t="str">
        <x:v>C</x:v>
      </x:c>
      <x:c r="K1433" s="14"/>
      <x:c r="L1433" s="14"/>
      <x:c r="M1433" s="14"/>
      <x:c r="N1433" s="14"/>
      <x:c r="O1433" s="14"/>
      <x:c r="P1433" s="14"/>
      <x:c r="Q1433" s="14" t="n">
        <x:v>44.13</x:v>
      </x:c>
      <x:c r="R1433" s="15" t="n">
        <x:v>270000</x:v>
      </x:c>
      <x:c r="S1433" s="15" t="n">
        <x:v>270000</x:v>
      </x:c>
      <x:c r="T1433" s="15"/>
      <x:c r="U1433" s="16"/>
      <x:c r="V1433" t="str">
        <x:v>INTRADE Group</x:v>
      </x:c>
      <x:c r="W1433" t="str">
        <x:v>Ružinov</x:v>
      </x:c>
      <x:c r="X1433" s="11" t="str">
        <x:v>Predaný</x:v>
      </x:c>
      <x:c r="Y1433" s="11" t="str">
        <x:v>https://milrose.sk/byt/byt-c5-01/</x:v>
      </x:c>
      <x:c r="Z1433" s="11" t="n">
        <x:v>46252.68496519676</x:v>
      </x:c>
      <x:c r="AA1433" s="11" t="n">
        <x:v>46254.51251577547</x:v>
      </x:c>
      <x:c r="AB1433" s="11" t="n">
        <x:v>46254.51251577547</x:v>
      </x:c>
      <x:c r="AC1433" t="str">
        <x:v>milrose</x:v>
      </x:c>
    </x:row>
    <x:row r="1434" ht="22" customHeight="1">
      <x:c r="A1434" t="str">
        <x:v>Milrose</x:v>
      </x:c>
      <x:c r="B1434" t="str">
        <x:v>C5.02</x:v>
      </x:c>
      <x:c r="C1434" t="str">
        <x:v>sold</x:v>
      </x:c>
      <x:c r="D1434" t="str">
        <x:v>present</x:v>
      </x:c>
      <x:c r="E1434" t="str">
        <x:v>baseline</x:v>
      </x:c>
      <x:c r="F1434" s="11" t="n">
        <x:v>46252.68496519676</x:v>
      </x:c>
      <x:c r="G1434" t="str">
        <x:v>byt</x:v>
      </x:c>
      <x:c r="H1434" s="12" t="n">
        <x:v>2</x:v>
      </x:c>
      <x:c r="I1434" s="13" t="n">
        <x:v>5</x:v>
      </x:c>
      <x:c r="J1434" t="str">
        <x:v>C</x:v>
      </x:c>
      <x:c r="K1434" s="14"/>
      <x:c r="L1434" s="14"/>
      <x:c r="M1434" s="14"/>
      <x:c r="N1434" s="14"/>
      <x:c r="O1434" s="14"/>
      <x:c r="P1434" s="14"/>
      <x:c r="Q1434" s="14" t="n">
        <x:v>51.21</x:v>
      </x:c>
      <x:c r="R1434" s="15" t="n">
        <x:v>299700</x:v>
      </x:c>
      <x:c r="S1434" s="15" t="n">
        <x:v>299700</x:v>
      </x:c>
      <x:c r="T1434" s="15"/>
      <x:c r="U1434" s="16"/>
      <x:c r="V1434" t="str">
        <x:v>INTRADE Group</x:v>
      </x:c>
      <x:c r="W1434" t="str">
        <x:v>Ružinov</x:v>
      </x:c>
      <x:c r="X1434" s="11" t="str">
        <x:v>Predaný</x:v>
      </x:c>
      <x:c r="Y1434" s="11" t="str">
        <x:v>https://milrose.sk/byt/byt-c5-02/</x:v>
      </x:c>
      <x:c r="Z1434" s="11" t="n">
        <x:v>46252.68496519676</x:v>
      </x:c>
      <x:c r="AA1434" s="11" t="n">
        <x:v>46254.51251577547</x:v>
      </x:c>
      <x:c r="AB1434" s="11" t="n">
        <x:v>46254.51251577547</x:v>
      </x:c>
      <x:c r="AC1434" t="str">
        <x:v>milrose</x:v>
      </x:c>
    </x:row>
    <x:row r="1435" ht="22" customHeight="1">
      <x:c r="A1435" t="str">
        <x:v>Milrose</x:v>
      </x:c>
      <x:c r="B1435" t="str">
        <x:v>C5.03</x:v>
      </x:c>
      <x:c r="C1435" t="str">
        <x:v>available</x:v>
      </x:c>
      <x:c r="D1435" t="str">
        <x:v>present</x:v>
      </x:c>
      <x:c r="E1435" t="str">
        <x:v>baseline</x:v>
      </x:c>
      <x:c r="F1435" s="11" t="n">
        <x:v>46252.68496519676</x:v>
      </x:c>
      <x:c r="G1435" t="str">
        <x:v>byt</x:v>
      </x:c>
      <x:c r="H1435" s="12" t="n">
        <x:v>3</x:v>
      </x:c>
      <x:c r="I1435" s="13" t="n">
        <x:v>5</x:v>
      </x:c>
      <x:c r="J1435" t="str">
        <x:v>C</x:v>
      </x:c>
      <x:c r="K1435" s="14"/>
      <x:c r="L1435" s="14"/>
      <x:c r="M1435" s="14"/>
      <x:c r="N1435" s="14"/>
      <x:c r="O1435" s="14"/>
      <x:c r="P1435" s="14"/>
      <x:c r="Q1435" s="14" t="n">
        <x:v>73.07</x:v>
      </x:c>
      <x:c r="R1435" s="15" t="n">
        <x:v>436000</x:v>
      </x:c>
      <x:c r="S1435" s="15" t="n">
        <x:v>436000</x:v>
      </x:c>
      <x:c r="T1435" s="15"/>
      <x:c r="U1435" s="16"/>
      <x:c r="V1435" t="str">
        <x:v>INTRADE Group</x:v>
      </x:c>
      <x:c r="W1435" t="str">
        <x:v>Ružinov</x:v>
      </x:c>
      <x:c r="X1435" s="11" t="str">
        <x:v>Voľný</x:v>
      </x:c>
      <x:c r="Y1435" s="11" t="str">
        <x:v>https://milrose.sk/byt/byt-c5-03/</x:v>
      </x:c>
      <x:c r="Z1435" s="11" t="n">
        <x:v>46252.68496519676</x:v>
      </x:c>
      <x:c r="AA1435" s="11" t="n">
        <x:v>46254.51251577547</x:v>
      </x:c>
      <x:c r="AB1435" s="11" t="n">
        <x:v>46254.51251577547</x:v>
      </x:c>
      <x:c r="AC1435" t="str">
        <x:v>milrose</x:v>
      </x:c>
    </x:row>
    <x:row r="1436" ht="22" customHeight="1">
      <x:c r="A1436" t="str">
        <x:v>Milrose</x:v>
      </x:c>
      <x:c r="B1436" t="str">
        <x:v>C5.04</x:v>
      </x:c>
      <x:c r="C1436" t="str">
        <x:v>sold</x:v>
      </x:c>
      <x:c r="D1436" t="str">
        <x:v>present</x:v>
      </x:c>
      <x:c r="E1436" t="str">
        <x:v>baseline</x:v>
      </x:c>
      <x:c r="F1436" s="11" t="n">
        <x:v>46252.68496519676</x:v>
      </x:c>
      <x:c r="G1436" t="str">
        <x:v>byt</x:v>
      </x:c>
      <x:c r="H1436" s="12" t="n">
        <x:v>2</x:v>
      </x:c>
      <x:c r="I1436" s="13" t="n">
        <x:v>5</x:v>
      </x:c>
      <x:c r="J1436" t="str">
        <x:v>C</x:v>
      </x:c>
      <x:c r="K1436" s="14"/>
      <x:c r="L1436" s="14"/>
      <x:c r="M1436" s="14"/>
      <x:c r="N1436" s="14"/>
      <x:c r="O1436" s="14"/>
      <x:c r="P1436" s="14"/>
      <x:c r="Q1436" s="14" t="n">
        <x:v>50.67</x:v>
      </x:c>
      <x:c r="R1436" s="15" t="n">
        <x:v>318600</x:v>
      </x:c>
      <x:c r="S1436" s="15" t="n">
        <x:v>318600</x:v>
      </x:c>
      <x:c r="T1436" s="15"/>
      <x:c r="U1436" s="16"/>
      <x:c r="V1436" t="str">
        <x:v>INTRADE Group</x:v>
      </x:c>
      <x:c r="W1436" t="str">
        <x:v>Ružinov</x:v>
      </x:c>
      <x:c r="X1436" s="11" t="str">
        <x:v>Predaný</x:v>
      </x:c>
      <x:c r="Y1436" s="11" t="str">
        <x:v>https://milrose.sk/byt/byt-c5-04/</x:v>
      </x:c>
      <x:c r="Z1436" s="11" t="n">
        <x:v>46252.68496519676</x:v>
      </x:c>
      <x:c r="AA1436" s="11" t="n">
        <x:v>46254.51251577547</x:v>
      </x:c>
      <x:c r="AB1436" s="11" t="n">
        <x:v>46254.51251577547</x:v>
      </x:c>
      <x:c r="AC1436" t="str">
        <x:v>milrose</x:v>
      </x:c>
    </x:row>
    <x:row r="1437" ht="22" customHeight="1">
      <x:c r="A1437" t="str">
        <x:v>Milrose</x:v>
      </x:c>
      <x:c r="B1437" t="str">
        <x:v>C5.05</x:v>
      </x:c>
      <x:c r="C1437" t="str">
        <x:v>available</x:v>
      </x:c>
      <x:c r="D1437" t="str">
        <x:v>present</x:v>
      </x:c>
      <x:c r="E1437" t="str">
        <x:v>baseline</x:v>
      </x:c>
      <x:c r="F1437" s="11" t="n">
        <x:v>46252.68496519676</x:v>
      </x:c>
      <x:c r="G1437" t="str">
        <x:v>byt</x:v>
      </x:c>
      <x:c r="H1437" s="12" t="n">
        <x:v>3</x:v>
      </x:c>
      <x:c r="I1437" s="13" t="n">
        <x:v>5</x:v>
      </x:c>
      <x:c r="J1437" t="str">
        <x:v>C</x:v>
      </x:c>
      <x:c r="K1437" s="14"/>
      <x:c r="L1437" s="14"/>
      <x:c r="M1437" s="14"/>
      <x:c r="N1437" s="14"/>
      <x:c r="O1437" s="14"/>
      <x:c r="P1437" s="14"/>
      <x:c r="Q1437" s="14" t="n">
        <x:v>66.72</x:v>
      </x:c>
      <x:c r="R1437" s="15" t="n">
        <x:v>404300</x:v>
      </x:c>
      <x:c r="S1437" s="15" t="n">
        <x:v>404300</x:v>
      </x:c>
      <x:c r="T1437" s="15"/>
      <x:c r="U1437" s="16"/>
      <x:c r="V1437" t="str">
        <x:v>INTRADE Group</x:v>
      </x:c>
      <x:c r="W1437" t="str">
        <x:v>Ružinov</x:v>
      </x:c>
      <x:c r="X1437" s="11" t="str">
        <x:v>Voľný</x:v>
      </x:c>
      <x:c r="Y1437" s="11" t="str">
        <x:v>https://milrose.sk/byt/byt-c5-05/</x:v>
      </x:c>
      <x:c r="Z1437" s="11" t="n">
        <x:v>46252.68496519676</x:v>
      </x:c>
      <x:c r="AA1437" s="11" t="n">
        <x:v>46254.51251577547</x:v>
      </x:c>
      <x:c r="AB1437" s="11" t="n">
        <x:v>46254.51251577547</x:v>
      </x:c>
      <x:c r="AC1437" t="str">
        <x:v>milrose</x:v>
      </x:c>
    </x:row>
    <x:row r="1438" ht="22" customHeight="1">
      <x:c r="A1438" t="str">
        <x:v>Milrose</x:v>
      </x:c>
      <x:c r="B1438" t="str">
        <x:v>C5.06</x:v>
      </x:c>
      <x:c r="C1438" t="str">
        <x:v>sold</x:v>
      </x:c>
      <x:c r="D1438" t="str">
        <x:v>present</x:v>
      </x:c>
      <x:c r="E1438" t="str">
        <x:v>baseline</x:v>
      </x:c>
      <x:c r="F1438" s="11" t="n">
        <x:v>46252.68496519676</x:v>
      </x:c>
      <x:c r="G1438" t="str">
        <x:v>byt</x:v>
      </x:c>
      <x:c r="H1438" s="12" t="n">
        <x:v>2</x:v>
      </x:c>
      <x:c r="I1438" s="13" t="n">
        <x:v>5</x:v>
      </x:c>
      <x:c r="J1438" t="str">
        <x:v>C</x:v>
      </x:c>
      <x:c r="K1438" s="14"/>
      <x:c r="L1438" s="14"/>
      <x:c r="M1438" s="14"/>
      <x:c r="N1438" s="14"/>
      <x:c r="O1438" s="14"/>
      <x:c r="P1438" s="14"/>
      <x:c r="Q1438" s="14" t="n">
        <x:v>49.63</x:v>
      </x:c>
      <x:c r="R1438" s="15" t="n">
        <x:v>312200</x:v>
      </x:c>
      <x:c r="S1438" s="15" t="n">
        <x:v>312200</x:v>
      </x:c>
      <x:c r="T1438" s="15"/>
      <x:c r="U1438" s="16"/>
      <x:c r="V1438" t="str">
        <x:v>INTRADE Group</x:v>
      </x:c>
      <x:c r="W1438" t="str">
        <x:v>Ružinov</x:v>
      </x:c>
      <x:c r="X1438" s="11" t="str">
        <x:v>Predaný</x:v>
      </x:c>
      <x:c r="Y1438" s="11" t="str">
        <x:v>https://milrose.sk/byt/byt-c5-06/</x:v>
      </x:c>
      <x:c r="Z1438" s="11" t="n">
        <x:v>46252.68496519676</x:v>
      </x:c>
      <x:c r="AA1438" s="11" t="n">
        <x:v>46254.51251577547</x:v>
      </x:c>
      <x:c r="AB1438" s="11" t="n">
        <x:v>46254.51251577547</x:v>
      </x:c>
      <x:c r="AC1438" t="str">
        <x:v>milrose</x:v>
      </x:c>
    </x:row>
    <x:row r="1439" ht="22" customHeight="1">
      <x:c r="A1439" t="str">
        <x:v>Milrose</x:v>
      </x:c>
      <x:c r="B1439" t="str">
        <x:v>C5.07</x:v>
      </x:c>
      <x:c r="C1439" t="str">
        <x:v>reserved</x:v>
      </x:c>
      <x:c r="D1439" t="str">
        <x:v>present</x:v>
      </x:c>
      <x:c r="E1439" t="str">
        <x:v>baseline</x:v>
      </x:c>
      <x:c r="F1439" s="11" t="n">
        <x:v>46252.68496519676</x:v>
      </x:c>
      <x:c r="G1439" t="str">
        <x:v>byt</x:v>
      </x:c>
      <x:c r="H1439" s="12" t="n">
        <x:v>1</x:v>
      </x:c>
      <x:c r="I1439" s="13" t="n">
        <x:v>5</x:v>
      </x:c>
      <x:c r="J1439" t="str">
        <x:v>C</x:v>
      </x:c>
      <x:c r="K1439" s="14"/>
      <x:c r="L1439" s="14"/>
      <x:c r="M1439" s="14"/>
      <x:c r="N1439" s="14"/>
      <x:c r="O1439" s="14"/>
      <x:c r="P1439" s="14"/>
      <x:c r="Q1439" s="14" t="n">
        <x:v>32.41</x:v>
      </x:c>
      <x:c r="R1439" s="15" t="n">
        <x:v>191300</x:v>
      </x:c>
      <x:c r="S1439" s="15" t="n">
        <x:v>191300</x:v>
      </x:c>
      <x:c r="T1439" s="15"/>
      <x:c r="U1439" s="16"/>
      <x:c r="V1439" t="str">
        <x:v>INTRADE Group</x:v>
      </x:c>
      <x:c r="W1439" t="str">
        <x:v>Ružinov</x:v>
      </x:c>
      <x:c r="X1439" s="11" t="str">
        <x:v>Rezervovaný</x:v>
      </x:c>
      <x:c r="Y1439" s="11" t="str">
        <x:v>https://milrose.sk/byt/byt-c5-07/</x:v>
      </x:c>
      <x:c r="Z1439" s="11" t="n">
        <x:v>46252.68496519676</x:v>
      </x:c>
      <x:c r="AA1439" s="11" t="n">
        <x:v>46254.51251577547</x:v>
      </x:c>
      <x:c r="AB1439" s="11" t="n">
        <x:v>46254.51251577547</x:v>
      </x:c>
      <x:c r="AC1439" t="str">
        <x:v>milrose</x:v>
      </x:c>
    </x:row>
    <x:row r="1440" ht="22" customHeight="1">
      <x:c r="A1440" t="str">
        <x:v>Milrose</x:v>
      </x:c>
      <x:c r="B1440" t="str">
        <x:v>C6.03</x:v>
      </x:c>
      <x:c r="C1440" t="str">
        <x:v>available</x:v>
      </x:c>
      <x:c r="D1440" t="str">
        <x:v>present</x:v>
      </x:c>
      <x:c r="E1440" t="str">
        <x:v>baseline</x:v>
      </x:c>
      <x:c r="F1440" s="11" t="n">
        <x:v>46252.68496519676</x:v>
      </x:c>
      <x:c r="G1440" t="str">
        <x:v>byt</x:v>
      </x:c>
      <x:c r="H1440" s="12" t="n">
        <x:v>1.5</x:v>
      </x:c>
      <x:c r="I1440" s="13" t="n">
        <x:v>6</x:v>
      </x:c>
      <x:c r="J1440" t="str">
        <x:v>C</x:v>
      </x:c>
      <x:c r="K1440" s="14"/>
      <x:c r="L1440" s="14"/>
      <x:c r="M1440" s="14"/>
      <x:c r="N1440" s="14"/>
      <x:c r="O1440" s="14"/>
      <x:c r="P1440" s="14"/>
      <x:c r="Q1440" s="14" t="n">
        <x:v>36.38</x:v>
      </x:c>
      <x:c r="R1440" s="15" t="n">
        <x:v>244500</x:v>
      </x:c>
      <x:c r="S1440" s="15" t="n">
        <x:v>244500</x:v>
      </x:c>
      <x:c r="T1440" s="15"/>
      <x:c r="U1440" s="16"/>
      <x:c r="V1440" t="str">
        <x:v>INTRADE Group</x:v>
      </x:c>
      <x:c r="W1440" t="str">
        <x:v>Ružinov</x:v>
      </x:c>
      <x:c r="X1440" s="11" t="str">
        <x:v>Voľný</x:v>
      </x:c>
      <x:c r="Y1440" s="11" t="str">
        <x:v>https://milrose.sk/byt/byt-c6-03/</x:v>
      </x:c>
      <x:c r="Z1440" s="11" t="n">
        <x:v>46252.68496519676</x:v>
      </x:c>
      <x:c r="AA1440" s="11" t="n">
        <x:v>46254.51251577547</x:v>
      </x:c>
      <x:c r="AB1440" s="11" t="n">
        <x:v>46254.51251577547</x:v>
      </x:c>
      <x:c r="AC1440" t="str">
        <x:v>milrose</x:v>
      </x:c>
    </x:row>
    <x:row r="1441" ht="22" customHeight="1">
      <x:c r="A1441" t="str">
        <x:v>Milrose</x:v>
      </x:c>
      <x:c r="B1441" t="str">
        <x:v>C6.04</x:v>
      </x:c>
      <x:c r="C1441" t="str">
        <x:v>reserved</x:v>
      </x:c>
      <x:c r="D1441" t="str">
        <x:v>present</x:v>
      </x:c>
      <x:c r="E1441" t="str">
        <x:v>baseline</x:v>
      </x:c>
      <x:c r="F1441" s="11" t="n">
        <x:v>46252.68496519676</x:v>
      </x:c>
      <x:c r="G1441" t="str">
        <x:v>byt</x:v>
      </x:c>
      <x:c r="H1441" s="12" t="n">
        <x:v>3</x:v>
      </x:c>
      <x:c r="I1441" s="13" t="n">
        <x:v>6</x:v>
      </x:c>
      <x:c r="J1441" t="str">
        <x:v>C</x:v>
      </x:c>
      <x:c r="K1441" s="14"/>
      <x:c r="L1441" s="14"/>
      <x:c r="M1441" s="14"/>
      <x:c r="N1441" s="14"/>
      <x:c r="O1441" s="14"/>
      <x:c r="P1441" s="14"/>
      <x:c r="Q1441" s="14" t="n">
        <x:v>66.58</x:v>
      </x:c>
      <x:c r="R1441" s="15" t="n">
        <x:v>402500</x:v>
      </x:c>
      <x:c r="S1441" s="15" t="n">
        <x:v>402500</x:v>
      </x:c>
      <x:c r="T1441" s="15"/>
      <x:c r="U1441" s="16"/>
      <x:c r="V1441" t="str">
        <x:v>INTRADE Group</x:v>
      </x:c>
      <x:c r="W1441" t="str">
        <x:v>Ružinov</x:v>
      </x:c>
      <x:c r="X1441" s="11" t="str">
        <x:v>Rezervovaný</x:v>
      </x:c>
      <x:c r="Y1441" s="11" t="str">
        <x:v>https://milrose.sk/byt/byt-c6-04/</x:v>
      </x:c>
      <x:c r="Z1441" s="11" t="n">
        <x:v>46252.68496519676</x:v>
      </x:c>
      <x:c r="AA1441" s="11" t="n">
        <x:v>46254.51251577547</x:v>
      </x:c>
      <x:c r="AB1441" s="11" t="n">
        <x:v>46254.51251577547</x:v>
      </x:c>
      <x:c r="AC1441" t="str">
        <x:v>milrose</x:v>
      </x:c>
    </x:row>
    <x:row r="1442" ht="22" customHeight="1">
      <x:c r="A1442" t="str">
        <x:v>Milrose</x:v>
      </x:c>
      <x:c r="B1442" t="str">
        <x:v>C6.05</x:v>
      </x:c>
      <x:c r="C1442" t="str">
        <x:v>reserved</x:v>
      </x:c>
      <x:c r="D1442" t="str">
        <x:v>present</x:v>
      </x:c>
      <x:c r="E1442" t="str">
        <x:v>baseline</x:v>
      </x:c>
      <x:c r="F1442" s="11" t="n">
        <x:v>46252.68496519676</x:v>
      </x:c>
      <x:c r="G1442" t="str">
        <x:v>byt</x:v>
      </x:c>
      <x:c r="H1442" s="12" t="n">
        <x:v>2</x:v>
      </x:c>
      <x:c r="I1442" s="13" t="n">
        <x:v>6</x:v>
      </x:c>
      <x:c r="J1442" t="str">
        <x:v>C</x:v>
      </x:c>
      <x:c r="K1442" s="14"/>
      <x:c r="L1442" s="14"/>
      <x:c r="M1442" s="14"/>
      <x:c r="N1442" s="14"/>
      <x:c r="O1442" s="14"/>
      <x:c r="P1442" s="14"/>
      <x:c r="Q1442" s="14" t="n">
        <x:v>50.07</x:v>
      </x:c>
      <x:c r="R1442" s="15" t="n">
        <x:v>314600</x:v>
      </x:c>
      <x:c r="S1442" s="15" t="n">
        <x:v>314600</x:v>
      </x:c>
      <x:c r="T1442" s="15"/>
      <x:c r="U1442" s="16"/>
      <x:c r="V1442" t="str">
        <x:v>INTRADE Group</x:v>
      </x:c>
      <x:c r="W1442" t="str">
        <x:v>Ružinov</x:v>
      </x:c>
      <x:c r="X1442" s="11" t="str">
        <x:v>Rezervovaný</x:v>
      </x:c>
      <x:c r="Y1442" s="11" t="str">
        <x:v>https://milrose.sk/byt/byt-c6-05/</x:v>
      </x:c>
      <x:c r="Z1442" s="11" t="n">
        <x:v>46252.68496519676</x:v>
      </x:c>
      <x:c r="AA1442" s="11" t="n">
        <x:v>46254.51251577547</x:v>
      </x:c>
      <x:c r="AB1442" s="11" t="n">
        <x:v>46254.51251577547</x:v>
      </x:c>
      <x:c r="AC1442" t="str">
        <x:v>milrose</x:v>
      </x:c>
    </x:row>
    <x:row r="1443" ht="22" customHeight="1">
      <x:c r="A1443" t="str">
        <x:v>Milrose</x:v>
      </x:c>
      <x:c r="B1443" t="str">
        <x:v>C6.06</x:v>
      </x:c>
      <x:c r="C1443" t="str">
        <x:v>sold</x:v>
      </x:c>
      <x:c r="D1443" t="str">
        <x:v>present</x:v>
      </x:c>
      <x:c r="E1443" t="str">
        <x:v>baseline</x:v>
      </x:c>
      <x:c r="F1443" s="11" t="n">
        <x:v>46252.68496519676</x:v>
      </x:c>
      <x:c r="G1443" t="str">
        <x:v>byt</x:v>
      </x:c>
      <x:c r="H1443" s="12" t="n">
        <x:v>1</x:v>
      </x:c>
      <x:c r="I1443" s="13" t="n">
        <x:v>6</x:v>
      </x:c>
      <x:c r="J1443" t="str">
        <x:v>C</x:v>
      </x:c>
      <x:c r="K1443" s="14"/>
      <x:c r="L1443" s="14"/>
      <x:c r="M1443" s="14"/>
      <x:c r="N1443" s="14"/>
      <x:c r="O1443" s="14"/>
      <x:c r="P1443" s="14"/>
      <x:c r="Q1443" s="14" t="n">
        <x:v>32.61</x:v>
      </x:c>
      <x:c r="R1443" s="15" t="n">
        <x:v>218000</x:v>
      </x:c>
      <x:c r="S1443" s="15" t="n">
        <x:v>218000</x:v>
      </x:c>
      <x:c r="T1443" s="15"/>
      <x:c r="U1443" s="16"/>
      <x:c r="V1443" t="str">
        <x:v>INTRADE Group</x:v>
      </x:c>
      <x:c r="W1443" t="str">
        <x:v>Ružinov</x:v>
      </x:c>
      <x:c r="X1443" s="11" t="str">
        <x:v>Predaný</x:v>
      </x:c>
      <x:c r="Y1443" s="11" t="str">
        <x:v>https://milrose.sk/byt/byt-c6-06/</x:v>
      </x:c>
      <x:c r="Z1443" s="11" t="n">
        <x:v>46252.68496519676</x:v>
      </x:c>
      <x:c r="AA1443" s="11" t="n">
        <x:v>46254.51251577547</x:v>
      </x:c>
      <x:c r="AB1443" s="11" t="n">
        <x:v>46254.51251577547</x:v>
      </x:c>
      <x:c r="AC1443" t="str">
        <x:v>milrose</x:v>
      </x:c>
    </x:row>
    <x:row r="1444" ht="22" customHeight="1">
      <x:c r="A1444" t="str">
        <x:v>Milrose</x:v>
      </x:c>
      <x:c r="B1444" t="str">
        <x:v>C7.01</x:v>
      </x:c>
      <x:c r="C1444" t="str">
        <x:v>sold</x:v>
      </x:c>
      <x:c r="D1444" t="str">
        <x:v>present</x:v>
      </x:c>
      <x:c r="E1444" t="str">
        <x:v>baseline</x:v>
      </x:c>
      <x:c r="F1444" s="11" t="n">
        <x:v>46252.68496519676</x:v>
      </x:c>
      <x:c r="G1444" t="str">
        <x:v>byt</x:v>
      </x:c>
      <x:c r="H1444" s="12" t="n">
        <x:v>2</x:v>
      </x:c>
      <x:c r="I1444" s="13" t="n">
        <x:v>7</x:v>
      </x:c>
      <x:c r="J1444" t="str">
        <x:v>C</x:v>
      </x:c>
      <x:c r="K1444" s="14"/>
      <x:c r="L1444" s="14"/>
      <x:c r="M1444" s="14"/>
      <x:c r="N1444" s="14"/>
      <x:c r="O1444" s="14"/>
      <x:c r="P1444" s="14"/>
      <x:c r="Q1444" s="14" t="n">
        <x:v>44.34</x:v>
      </x:c>
      <x:c r="R1444" s="15" t="n">
        <x:v>264900</x:v>
      </x:c>
      <x:c r="S1444" s="15" t="n">
        <x:v>264900</x:v>
      </x:c>
      <x:c r="T1444" s="15"/>
      <x:c r="U1444" s="16"/>
      <x:c r="V1444" t="str">
        <x:v>INTRADE Group</x:v>
      </x:c>
      <x:c r="W1444" t="str">
        <x:v>Ružinov</x:v>
      </x:c>
      <x:c r="X1444" s="11" t="str">
        <x:v>Predaný</x:v>
      </x:c>
      <x:c r="Y1444" s="11" t="str">
        <x:v>https://milrose.sk/byt/byt-c7-01/</x:v>
      </x:c>
      <x:c r="Z1444" s="11" t="n">
        <x:v>46252.68496519676</x:v>
      </x:c>
      <x:c r="AA1444" s="11" t="n">
        <x:v>46254.51251577547</x:v>
      </x:c>
      <x:c r="AB1444" s="11" t="n">
        <x:v>46254.51251577547</x:v>
      </x:c>
      <x:c r="AC1444" t="str">
        <x:v>milrose</x:v>
      </x:c>
    </x:row>
    <x:row r="1445" ht="22" customHeight="1">
      <x:c r="A1445" t="str">
        <x:v>Milrose</x:v>
      </x:c>
      <x:c r="B1445" t="str">
        <x:v>C7.04</x:v>
      </x:c>
      <x:c r="C1445" t="str">
        <x:v>available</x:v>
      </x:c>
      <x:c r="D1445" t="str">
        <x:v>present</x:v>
      </x:c>
      <x:c r="E1445" t="str">
        <x:v>baseline</x:v>
      </x:c>
      <x:c r="F1445" s="11" t="n">
        <x:v>46252.68496519676</x:v>
      </x:c>
      <x:c r="G1445" t="str">
        <x:v>byt</x:v>
      </x:c>
      <x:c r="H1445" s="12" t="n">
        <x:v>2</x:v>
      </x:c>
      <x:c r="I1445" s="13" t="n">
        <x:v>7</x:v>
      </x:c>
      <x:c r="J1445" t="str">
        <x:v>C</x:v>
      </x:c>
      <x:c r="K1445" s="14"/>
      <x:c r="L1445" s="14"/>
      <x:c r="M1445" s="14"/>
      <x:c r="N1445" s="14"/>
      <x:c r="O1445" s="14"/>
      <x:c r="P1445" s="14"/>
      <x:c r="Q1445" s="14" t="n">
        <x:v>50.67</x:v>
      </x:c>
      <x:c r="R1445" s="15" t="n">
        <x:v>338100</x:v>
      </x:c>
      <x:c r="S1445" s="15" t="n">
        <x:v>338100</x:v>
      </x:c>
      <x:c r="T1445" s="15"/>
      <x:c r="U1445" s="16"/>
      <x:c r="V1445" t="str">
        <x:v>INTRADE Group</x:v>
      </x:c>
      <x:c r="W1445" t="str">
        <x:v>Ružinov</x:v>
      </x:c>
      <x:c r="X1445" s="11" t="str">
        <x:v>Voľný</x:v>
      </x:c>
      <x:c r="Y1445" s="11" t="str">
        <x:v>https://milrose.sk/byt/byt-c7-04/</x:v>
      </x:c>
      <x:c r="Z1445" s="11" t="n">
        <x:v>46252.68496519676</x:v>
      </x:c>
      <x:c r="AA1445" s="11" t="n">
        <x:v>46254.51251577547</x:v>
      </x:c>
      <x:c r="AB1445" s="11" t="n">
        <x:v>46254.51251577547</x:v>
      </x:c>
      <x:c r="AC1445" t="str">
        <x:v>milrose</x:v>
      </x:c>
    </x:row>
    <x:row r="1446" ht="22" customHeight="1">
      <x:c r="A1446" t="str">
        <x:v>Milrose</x:v>
      </x:c>
      <x:c r="B1446" t="str">
        <x:v>C7.05</x:v>
      </x:c>
      <x:c r="C1446" t="str">
        <x:v>reserved</x:v>
      </x:c>
      <x:c r="D1446" t="str">
        <x:v>present</x:v>
      </x:c>
      <x:c r="E1446" t="str">
        <x:v>baseline</x:v>
      </x:c>
      <x:c r="F1446" s="11" t="n">
        <x:v>46252.68496519676</x:v>
      </x:c>
      <x:c r="G1446" t="str">
        <x:v>byt</x:v>
      </x:c>
      <x:c r="H1446" s="12" t="n">
        <x:v>3</x:v>
      </x:c>
      <x:c r="I1446" s="13" t="n">
        <x:v>7</x:v>
      </x:c>
      <x:c r="J1446" t="str">
        <x:v>C</x:v>
      </x:c>
      <x:c r="K1446" s="14"/>
      <x:c r="L1446" s="14"/>
      <x:c r="M1446" s="14"/>
      <x:c r="N1446" s="14"/>
      <x:c r="O1446" s="14"/>
      <x:c r="P1446" s="14"/>
      <x:c r="Q1446" s="14" t="n">
        <x:v>66.73</x:v>
      </x:c>
      <x:c r="R1446" s="15" t="n">
        <x:v>411800</x:v>
      </x:c>
      <x:c r="S1446" s="15" t="n">
        <x:v>411800</x:v>
      </x:c>
      <x:c r="T1446" s="15"/>
      <x:c r="U1446" s="16"/>
      <x:c r="V1446" t="str">
        <x:v>INTRADE Group</x:v>
      </x:c>
      <x:c r="W1446" t="str">
        <x:v>Ružinov</x:v>
      </x:c>
      <x:c r="X1446" s="11" t="str">
        <x:v>Rezervovaný</x:v>
      </x:c>
      <x:c r="Y1446" s="11" t="str">
        <x:v>https://milrose.sk/byt/byt-c7-05/</x:v>
      </x:c>
      <x:c r="Z1446" s="11" t="n">
        <x:v>46252.68496519676</x:v>
      </x:c>
      <x:c r="AA1446" s="11" t="n">
        <x:v>46254.51251577547</x:v>
      </x:c>
      <x:c r="AB1446" s="11" t="n">
        <x:v>46254.51251577547</x:v>
      </x:c>
      <x:c r="AC1446" t="str">
        <x:v>milrose</x:v>
      </x:c>
    </x:row>
    <x:row r="1447" ht="22" customHeight="1">
      <x:c r="A1447" t="str">
        <x:v>Milrose</x:v>
      </x:c>
      <x:c r="B1447" t="str">
        <x:v>C7.06</x:v>
      </x:c>
      <x:c r="C1447" t="str">
        <x:v>reserved</x:v>
      </x:c>
      <x:c r="D1447" t="str">
        <x:v>present</x:v>
      </x:c>
      <x:c r="E1447" t="str">
        <x:v>baseline</x:v>
      </x:c>
      <x:c r="F1447" s="11" t="n">
        <x:v>46252.68496519676</x:v>
      </x:c>
      <x:c r="G1447" t="str">
        <x:v>byt</x:v>
      </x:c>
      <x:c r="H1447" s="12" t="n">
        <x:v>2</x:v>
      </x:c>
      <x:c r="I1447" s="13" t="n">
        <x:v>7</x:v>
      </x:c>
      <x:c r="J1447" t="str">
        <x:v>C</x:v>
      </x:c>
      <x:c r="K1447" s="14"/>
      <x:c r="L1447" s="14"/>
      <x:c r="M1447" s="14"/>
      <x:c r="N1447" s="14"/>
      <x:c r="O1447" s="14"/>
      <x:c r="P1447" s="14"/>
      <x:c r="Q1447" s="14" t="n">
        <x:v>49.7</x:v>
      </x:c>
      <x:c r="R1447" s="15" t="n">
        <x:v>317900</x:v>
      </x:c>
      <x:c r="S1447" s="15" t="n">
        <x:v>317900</x:v>
      </x:c>
      <x:c r="T1447" s="15"/>
      <x:c r="U1447" s="16"/>
      <x:c r="V1447" t="str">
        <x:v>INTRADE Group</x:v>
      </x:c>
      <x:c r="W1447" t="str">
        <x:v>Ružinov</x:v>
      </x:c>
      <x:c r="X1447" s="11" t="str">
        <x:v>Rezervovaný</x:v>
      </x:c>
      <x:c r="Y1447" s="11" t="str">
        <x:v>https://milrose.sk/byt/byt-c7-06/</x:v>
      </x:c>
      <x:c r="Z1447" s="11" t="n">
        <x:v>46252.68496519676</x:v>
      </x:c>
      <x:c r="AA1447" s="11" t="n">
        <x:v>46254.51251577547</x:v>
      </x:c>
      <x:c r="AB1447" s="11" t="n">
        <x:v>46254.51251577547</x:v>
      </x:c>
      <x:c r="AC1447" t="str">
        <x:v>milrose</x:v>
      </x:c>
    </x:row>
    <x:row r="1448" ht="22" customHeight="1">
      <x:c r="A1448" t="str">
        <x:v>Milrose</x:v>
      </x:c>
      <x:c r="B1448" t="str">
        <x:v>C7.07</x:v>
      </x:c>
      <x:c r="C1448" t="str">
        <x:v>sold</x:v>
      </x:c>
      <x:c r="D1448" t="str">
        <x:v>present</x:v>
      </x:c>
      <x:c r="E1448" t="str">
        <x:v>baseline</x:v>
      </x:c>
      <x:c r="F1448" s="11" t="n">
        <x:v>46252.68496519676</x:v>
      </x:c>
      <x:c r="G1448" t="str">
        <x:v>byt</x:v>
      </x:c>
      <x:c r="H1448" s="12" t="n">
        <x:v>1</x:v>
      </x:c>
      <x:c r="I1448" s="13" t="n">
        <x:v>7</x:v>
      </x:c>
      <x:c r="J1448" t="str">
        <x:v>C</x:v>
      </x:c>
      <x:c r="K1448" s="14"/>
      <x:c r="L1448" s="14"/>
      <x:c r="M1448" s="14"/>
      <x:c r="N1448" s="14"/>
      <x:c r="O1448" s="14"/>
      <x:c r="P1448" s="14"/>
      <x:c r="Q1448" s="14" t="n">
        <x:v>32.41</x:v>
      </x:c>
      <x:c r="R1448" s="15" t="n">
        <x:v>194900</x:v>
      </x:c>
      <x:c r="S1448" s="15" t="n">
        <x:v>194900</x:v>
      </x:c>
      <x:c r="T1448" s="15"/>
      <x:c r="U1448" s="16"/>
      <x:c r="V1448" t="str">
        <x:v>INTRADE Group</x:v>
      </x:c>
      <x:c r="W1448" t="str">
        <x:v>Ružinov</x:v>
      </x:c>
      <x:c r="X1448" s="11" t="str">
        <x:v>Predaný</x:v>
      </x:c>
      <x:c r="Y1448" s="11" t="str">
        <x:v>https://milrose.sk/byt/byt-c7-07/</x:v>
      </x:c>
      <x:c r="Z1448" s="11" t="n">
        <x:v>46252.68496519676</x:v>
      </x:c>
      <x:c r="AA1448" s="11" t="n">
        <x:v>46254.51251577547</x:v>
      </x:c>
      <x:c r="AB1448" s="11" t="n">
        <x:v>46254.51251577547</x:v>
      </x:c>
      <x:c r="AC1448" t="str">
        <x:v>milrose</x:v>
      </x:c>
    </x:row>
    <x:row r="1449" ht="22" customHeight="1">
      <x:c r="A1449" t="str">
        <x:v>Milrose</x:v>
      </x:c>
      <x:c r="B1449" t="str">
        <x:v>C8.01</x:v>
      </x:c>
      <x:c r="C1449" t="str">
        <x:v>sold</x:v>
      </x:c>
      <x:c r="D1449" t="str">
        <x:v>present</x:v>
      </x:c>
      <x:c r="E1449" t="str">
        <x:v>baseline</x:v>
      </x:c>
      <x:c r="F1449" s="11" t="n">
        <x:v>46252.68496519676</x:v>
      </x:c>
      <x:c r="G1449" t="str">
        <x:v>byt</x:v>
      </x:c>
      <x:c r="H1449" s="12" t="n">
        <x:v>2</x:v>
      </x:c>
      <x:c r="I1449" s="13" t="n">
        <x:v>8</x:v>
      </x:c>
      <x:c r="J1449" t="str">
        <x:v>C</x:v>
      </x:c>
      <x:c r="K1449" s="14"/>
      <x:c r="L1449" s="14"/>
      <x:c r="M1449" s="14"/>
      <x:c r="N1449" s="14"/>
      <x:c r="O1449" s="14"/>
      <x:c r="P1449" s="14"/>
      <x:c r="Q1449" s="14" t="n">
        <x:v>44.55</x:v>
      </x:c>
      <x:c r="R1449" s="15" t="n">
        <x:v>268200</x:v>
      </x:c>
      <x:c r="S1449" s="15" t="n">
        <x:v>268200</x:v>
      </x:c>
      <x:c r="T1449" s="15"/>
      <x:c r="U1449" s="16"/>
      <x:c r="V1449" t="str">
        <x:v>INTRADE Group</x:v>
      </x:c>
      <x:c r="W1449" t="str">
        <x:v>Ružinov</x:v>
      </x:c>
      <x:c r="X1449" s="11" t="str">
        <x:v>Predaný</x:v>
      </x:c>
      <x:c r="Y1449" s="11" t="str">
        <x:v>https://milrose.sk/byt/byt-c8-01/</x:v>
      </x:c>
      <x:c r="Z1449" s="11" t="n">
        <x:v>46252.68496519676</x:v>
      </x:c>
      <x:c r="AA1449" s="11" t="n">
        <x:v>46254.51251577547</x:v>
      </x:c>
      <x:c r="AB1449" s="11" t="n">
        <x:v>46254.51251577547</x:v>
      </x:c>
      <x:c r="AC1449" t="str">
        <x:v>milrose</x:v>
      </x:c>
    </x:row>
    <x:row r="1450" ht="22" customHeight="1">
      <x:c r="A1450" t="str">
        <x:v>Milrose</x:v>
      </x:c>
      <x:c r="B1450" t="str">
        <x:v>C8.04</x:v>
      </x:c>
      <x:c r="C1450" t="str">
        <x:v>available</x:v>
      </x:c>
      <x:c r="D1450" t="str">
        <x:v>present</x:v>
      </x:c>
      <x:c r="E1450" t="str">
        <x:v>baseline</x:v>
      </x:c>
      <x:c r="F1450" s="11" t="n">
        <x:v>46252.68496519676</x:v>
      </x:c>
      <x:c r="G1450" t="str">
        <x:v>byt</x:v>
      </x:c>
      <x:c r="H1450" s="12" t="n">
        <x:v>2</x:v>
      </x:c>
      <x:c r="I1450" s="13" t="n">
        <x:v>8</x:v>
      </x:c>
      <x:c r="J1450" t="str">
        <x:v>C</x:v>
      </x:c>
      <x:c r="K1450" s="14"/>
      <x:c r="L1450" s="14"/>
      <x:c r="M1450" s="14"/>
      <x:c r="N1450" s="14"/>
      <x:c r="O1450" s="14"/>
      <x:c r="P1450" s="14"/>
      <x:c r="Q1450" s="14" t="n">
        <x:v>50.8</x:v>
      </x:c>
      <x:c r="R1450" s="15" t="n">
        <x:v>322000</x:v>
      </x:c>
      <x:c r="S1450" s="15" t="n">
        <x:v>322000</x:v>
      </x:c>
      <x:c r="T1450" s="15"/>
      <x:c r="U1450" s="16"/>
      <x:c r="V1450" t="str">
        <x:v>INTRADE Group</x:v>
      </x:c>
      <x:c r="W1450" t="str">
        <x:v>Ružinov</x:v>
      </x:c>
      <x:c r="X1450" s="11" t="str">
        <x:v>Voľný</x:v>
      </x:c>
      <x:c r="Y1450" s="11" t="str">
        <x:v>https://milrose.sk/byt/byt-c8-04/</x:v>
      </x:c>
      <x:c r="Z1450" s="11" t="n">
        <x:v>46252.68496519676</x:v>
      </x:c>
      <x:c r="AA1450" s="11" t="n">
        <x:v>46254.51251577547</x:v>
      </x:c>
      <x:c r="AB1450" s="11" t="n">
        <x:v>46254.51251577547</x:v>
      </x:c>
      <x:c r="AC1450" t="str">
        <x:v>milrose</x:v>
      </x:c>
    </x:row>
    <x:row r="1451" ht="22" customHeight="1">
      <x:c r="A1451" t="str">
        <x:v>Milrose</x:v>
      </x:c>
      <x:c r="B1451" t="str">
        <x:v>C8.05</x:v>
      </x:c>
      <x:c r="C1451" t="str">
        <x:v>sold</x:v>
      </x:c>
      <x:c r="D1451" t="str">
        <x:v>present</x:v>
      </x:c>
      <x:c r="E1451" t="str">
        <x:v>baseline</x:v>
      </x:c>
      <x:c r="F1451" s="11" t="n">
        <x:v>46252.68496519676</x:v>
      </x:c>
      <x:c r="G1451" t="str">
        <x:v>byt</x:v>
      </x:c>
      <x:c r="H1451" s="12" t="n">
        <x:v>3</x:v>
      </x:c>
      <x:c r="I1451" s="13" t="n">
        <x:v>8</x:v>
      </x:c>
      <x:c r="J1451" t="str">
        <x:v>C</x:v>
      </x:c>
      <x:c r="K1451" s="14"/>
      <x:c r="L1451" s="14"/>
      <x:c r="M1451" s="14"/>
      <x:c r="N1451" s="14"/>
      <x:c r="O1451" s="14"/>
      <x:c r="P1451" s="14"/>
      <x:c r="Q1451" s="14" t="n">
        <x:v>66.43</x:v>
      </x:c>
      <x:c r="R1451" s="15" t="n">
        <x:v>409600</x:v>
      </x:c>
      <x:c r="S1451" s="15" t="n">
        <x:v>409600</x:v>
      </x:c>
      <x:c r="T1451" s="15"/>
      <x:c r="U1451" s="16"/>
      <x:c r="V1451" t="str">
        <x:v>INTRADE Group</x:v>
      </x:c>
      <x:c r="W1451" t="str">
        <x:v>Ružinov</x:v>
      </x:c>
      <x:c r="X1451" s="11" t="str">
        <x:v>Predaný</x:v>
      </x:c>
      <x:c r="Y1451" s="11" t="str">
        <x:v>https://milrose.sk/byt/byt-c8-05/</x:v>
      </x:c>
      <x:c r="Z1451" s="11" t="n">
        <x:v>46252.68496519676</x:v>
      </x:c>
      <x:c r="AA1451" s="11" t="n">
        <x:v>46254.51251577547</x:v>
      </x:c>
      <x:c r="AB1451" s="11" t="n">
        <x:v>46254.51251577547</x:v>
      </x:c>
      <x:c r="AC1451" t="str">
        <x:v>milrose</x:v>
      </x:c>
    </x:row>
    <x:row r="1452" ht="22" customHeight="1">
      <x:c r="A1452" t="str">
        <x:v>Milrose</x:v>
      </x:c>
      <x:c r="B1452" t="str">
        <x:v>C8.06</x:v>
      </x:c>
      <x:c r="C1452" t="str">
        <x:v>available</x:v>
      </x:c>
      <x:c r="D1452" t="str">
        <x:v>present</x:v>
      </x:c>
      <x:c r="E1452" t="str">
        <x:v>baseline</x:v>
      </x:c>
      <x:c r="F1452" s="11" t="n">
        <x:v>46252.68496519676</x:v>
      </x:c>
      <x:c r="G1452" t="str">
        <x:v>byt</x:v>
      </x:c>
      <x:c r="H1452" s="12" t="n">
        <x:v>2</x:v>
      </x:c>
      <x:c r="I1452" s="13" t="n">
        <x:v>8</x:v>
      </x:c>
      <x:c r="J1452" t="str">
        <x:v>C</x:v>
      </x:c>
      <x:c r="K1452" s="14"/>
      <x:c r="L1452" s="14"/>
      <x:c r="M1452" s="14"/>
      <x:c r="N1452" s="14"/>
      <x:c r="O1452" s="14"/>
      <x:c r="P1452" s="14"/>
      <x:c r="Q1452" s="14" t="n">
        <x:v>50.07</x:v>
      </x:c>
      <x:c r="R1452" s="15" t="n">
        <x:v>323600</x:v>
      </x:c>
      <x:c r="S1452" s="15" t="n">
        <x:v>323600</x:v>
      </x:c>
      <x:c r="T1452" s="15"/>
      <x:c r="U1452" s="16"/>
      <x:c r="V1452" t="str">
        <x:v>INTRADE Group</x:v>
      </x:c>
      <x:c r="W1452" t="str">
        <x:v>Ružinov</x:v>
      </x:c>
      <x:c r="X1452" s="11" t="str">
        <x:v>Voľný</x:v>
      </x:c>
      <x:c r="Y1452" s="11" t="str">
        <x:v>https://milrose.sk/byt/byt-c8-06/</x:v>
      </x:c>
      <x:c r="Z1452" s="11" t="n">
        <x:v>46252.68496519676</x:v>
      </x:c>
      <x:c r="AA1452" s="11" t="n">
        <x:v>46254.51251577547</x:v>
      </x:c>
      <x:c r="AB1452" s="11" t="n">
        <x:v>46254.51251577547</x:v>
      </x:c>
      <x:c r="AC1452" t="str">
        <x:v>milrose</x:v>
      </x:c>
    </x:row>
    <x:row r="1453" ht="22" customHeight="1">
      <x:c r="A1453" t="str">
        <x:v>Milrose</x:v>
      </x:c>
      <x:c r="B1453" t="str">
        <x:v>C8.07</x:v>
      </x:c>
      <x:c r="C1453" t="str">
        <x:v>sold</x:v>
      </x:c>
      <x:c r="D1453" t="str">
        <x:v>present</x:v>
      </x:c>
      <x:c r="E1453" t="str">
        <x:v>baseline</x:v>
      </x:c>
      <x:c r="F1453" s="11" t="n">
        <x:v>46252.68496519676</x:v>
      </x:c>
      <x:c r="G1453" t="str">
        <x:v>byt</x:v>
      </x:c>
      <x:c r="H1453" s="12" t="n">
        <x:v>1</x:v>
      </x:c>
      <x:c r="I1453" s="13" t="n">
        <x:v>8</x:v>
      </x:c>
      <x:c r="J1453" t="str">
        <x:v>C</x:v>
      </x:c>
      <x:c r="K1453" s="14"/>
      <x:c r="L1453" s="14"/>
      <x:c r="M1453" s="14"/>
      <x:c r="N1453" s="14"/>
      <x:c r="O1453" s="14"/>
      <x:c r="P1453" s="14"/>
      <x:c r="Q1453" s="14" t="n">
        <x:v>32.61</x:v>
      </x:c>
      <x:c r="R1453" s="15" t="n">
        <x:v>225400</x:v>
      </x:c>
      <x:c r="S1453" s="15" t="n">
        <x:v>225400</x:v>
      </x:c>
      <x:c r="T1453" s="15"/>
      <x:c r="U1453" s="16"/>
      <x:c r="V1453" t="str">
        <x:v>INTRADE Group</x:v>
      </x:c>
      <x:c r="W1453" t="str">
        <x:v>Ružinov</x:v>
      </x:c>
      <x:c r="X1453" s="11" t="str">
        <x:v>Predaný</x:v>
      </x:c>
      <x:c r="Y1453" s="11" t="str">
        <x:v>https://milrose.sk/byt/byt-c8-07/</x:v>
      </x:c>
      <x:c r="Z1453" s="11" t="n">
        <x:v>46252.68496519676</x:v>
      </x:c>
      <x:c r="AA1453" s="11" t="n">
        <x:v>46254.51251577547</x:v>
      </x:c>
      <x:c r="AB1453" s="11" t="n">
        <x:v>46254.51251577547</x:v>
      </x:c>
      <x:c r="AC1453" t="str">
        <x:v>milrose</x:v>
      </x:c>
    </x:row>
    <x:row r="1454" ht="22" customHeight="1">
      <x:c r="A1454" t="str">
        <x:v>Milrose</x:v>
      </x:c>
      <x:c r="B1454" t="str">
        <x:v>C9.01</x:v>
      </x:c>
      <x:c r="C1454" t="str">
        <x:v>sold</x:v>
      </x:c>
      <x:c r="D1454" t="str">
        <x:v>present</x:v>
      </x:c>
      <x:c r="E1454" t="str">
        <x:v>baseline</x:v>
      </x:c>
      <x:c r="F1454" s="11" t="n">
        <x:v>46252.68496519676</x:v>
      </x:c>
      <x:c r="G1454" t="str">
        <x:v>byt</x:v>
      </x:c>
      <x:c r="H1454" s="12" t="n">
        <x:v>2</x:v>
      </x:c>
      <x:c r="I1454" s="13" t="n">
        <x:v>9</x:v>
      </x:c>
      <x:c r="J1454" t="str">
        <x:v>C</x:v>
      </x:c>
      <x:c r="K1454" s="14"/>
      <x:c r="L1454" s="14"/>
      <x:c r="M1454" s="14"/>
      <x:c r="N1454" s="14"/>
      <x:c r="O1454" s="14"/>
      <x:c r="P1454" s="14"/>
      <x:c r="Q1454" s="14" t="n">
        <x:v>44.42</x:v>
      </x:c>
      <x:c r="R1454" s="15" t="n">
        <x:v>267700</x:v>
      </x:c>
      <x:c r="S1454" s="15" t="n">
        <x:v>267700</x:v>
      </x:c>
      <x:c r="T1454" s="15"/>
      <x:c r="U1454" s="16"/>
      <x:c r="V1454" t="str">
        <x:v>INTRADE Group</x:v>
      </x:c>
      <x:c r="W1454" t="str">
        <x:v>Ružinov</x:v>
      </x:c>
      <x:c r="X1454" s="11" t="str">
        <x:v>Predaný</x:v>
      </x:c>
      <x:c r="Y1454" s="11" t="str">
        <x:v>https://milrose.sk/byt/byt-c9-01/</x:v>
      </x:c>
      <x:c r="Z1454" s="11" t="n">
        <x:v>46252.68496519676</x:v>
      </x:c>
      <x:c r="AA1454" s="11" t="n">
        <x:v>46254.51251577547</x:v>
      </x:c>
      <x:c r="AB1454" s="11" t="n">
        <x:v>46254.51251577547</x:v>
      </x:c>
      <x:c r="AC1454" t="str">
        <x:v>milrose</x:v>
      </x:c>
    </x:row>
    <x:row r="1455" ht="22" customHeight="1">
      <x:c r="A1455" t="str">
        <x:v>Milrose</x:v>
      </x:c>
      <x:c r="B1455" t="str">
        <x:v>C9.02</x:v>
      </x:c>
      <x:c r="C1455" t="str">
        <x:v>reserved</x:v>
      </x:c>
      <x:c r="D1455" t="str">
        <x:v>present</x:v>
      </x:c>
      <x:c r="E1455" t="str">
        <x:v>baseline</x:v>
      </x:c>
      <x:c r="F1455" s="11" t="n">
        <x:v>46252.68496519676</x:v>
      </x:c>
      <x:c r="G1455" t="str">
        <x:v>byt</x:v>
      </x:c>
      <x:c r="H1455" s="12" t="n">
        <x:v>2</x:v>
      </x:c>
      <x:c r="I1455" s="13" t="n">
        <x:v>9</x:v>
      </x:c>
      <x:c r="J1455" t="str">
        <x:v>C</x:v>
      </x:c>
      <x:c r="K1455" s="14"/>
      <x:c r="L1455" s="14"/>
      <x:c r="M1455" s="14"/>
      <x:c r="N1455" s="14"/>
      <x:c r="O1455" s="14"/>
      <x:c r="P1455" s="14"/>
      <x:c r="Q1455" s="14" t="n">
        <x:v>51.4</x:v>
      </x:c>
      <x:c r="R1455" s="15" t="n">
        <x:v>317100</x:v>
      </x:c>
      <x:c r="S1455" s="15" t="n">
        <x:v>317100</x:v>
      </x:c>
      <x:c r="T1455" s="15"/>
      <x:c r="U1455" s="16"/>
      <x:c r="V1455" t="str">
        <x:v>INTRADE Group</x:v>
      </x:c>
      <x:c r="W1455" t="str">
        <x:v>Ružinov</x:v>
      </x:c>
      <x:c r="X1455" s="11" t="str">
        <x:v>Rezervovaný</x:v>
      </x:c>
      <x:c r="Y1455" s="11" t="str">
        <x:v>https://milrose.sk/byt/byt-c9-02/</x:v>
      </x:c>
      <x:c r="Z1455" s="11" t="n">
        <x:v>46252.68496519676</x:v>
      </x:c>
      <x:c r="AA1455" s="11" t="n">
        <x:v>46254.51251577547</x:v>
      </x:c>
      <x:c r="AB1455" s="11" t="n">
        <x:v>46254.51251577547</x:v>
      </x:c>
      <x:c r="AC1455" t="str">
        <x:v>milrose</x:v>
      </x:c>
    </x:row>
    <x:row r="1456" ht="22" customHeight="1">
      <x:c r="A1456" t="str">
        <x:v>Milrose</x:v>
      </x:c>
      <x:c r="B1456" t="str">
        <x:v>C9.03</x:v>
      </x:c>
      <x:c r="C1456" t="str">
        <x:v>available</x:v>
      </x:c>
      <x:c r="D1456" t="str">
        <x:v>present</x:v>
      </x:c>
      <x:c r="E1456" t="str">
        <x:v>baseline</x:v>
      </x:c>
      <x:c r="F1456" s="11" t="n">
        <x:v>46252.68496519676</x:v>
      </x:c>
      <x:c r="G1456" t="str">
        <x:v>byt</x:v>
      </x:c>
      <x:c r="H1456" s="12" t="n">
        <x:v>3</x:v>
      </x:c>
      <x:c r="I1456" s="13" t="n">
        <x:v>9</x:v>
      </x:c>
      <x:c r="J1456" t="str">
        <x:v>C</x:v>
      </x:c>
      <x:c r="K1456" s="14"/>
      <x:c r="L1456" s="14"/>
      <x:c r="M1456" s="14"/>
      <x:c r="N1456" s="14"/>
      <x:c r="O1456" s="14"/>
      <x:c r="P1456" s="14"/>
      <x:c r="Q1456" s="14" t="n">
        <x:v>73.03</x:v>
      </x:c>
      <x:c r="R1456" s="15" t="n">
        <x:v>461200</x:v>
      </x:c>
      <x:c r="S1456" s="15" t="n">
        <x:v>461200</x:v>
      </x:c>
      <x:c r="T1456" s="15"/>
      <x:c r="U1456" s="16"/>
      <x:c r="V1456" t="str">
        <x:v>INTRADE Group</x:v>
      </x:c>
      <x:c r="W1456" t="str">
        <x:v>Ružinov</x:v>
      </x:c>
      <x:c r="X1456" s="11" t="str">
        <x:v>Voľný</x:v>
      </x:c>
      <x:c r="Y1456" s="11" t="str">
        <x:v>https://milrose.sk/byt/byt-c9-03/</x:v>
      </x:c>
      <x:c r="Z1456" s="11" t="n">
        <x:v>46252.68496519676</x:v>
      </x:c>
      <x:c r="AA1456" s="11" t="n">
        <x:v>46254.51251577547</x:v>
      </x:c>
      <x:c r="AB1456" s="11" t="n">
        <x:v>46254.51251577547</x:v>
      </x:c>
      <x:c r="AC1456" t="str">
        <x:v>milrose</x:v>
      </x:c>
    </x:row>
    <x:row r="1457" ht="22" customHeight="1">
      <x:c r="A1457" t="str">
        <x:v>Milrose</x:v>
      </x:c>
      <x:c r="B1457" t="str">
        <x:v>C9.04</x:v>
      </x:c>
      <x:c r="C1457" t="str">
        <x:v>available</x:v>
      </x:c>
      <x:c r="D1457" t="str">
        <x:v>present</x:v>
      </x:c>
      <x:c r="E1457" t="str">
        <x:v>baseline</x:v>
      </x:c>
      <x:c r="F1457" s="11" t="n">
        <x:v>46252.68496519676</x:v>
      </x:c>
      <x:c r="G1457" t="str">
        <x:v>byt</x:v>
      </x:c>
      <x:c r="H1457" s="12" t="n">
        <x:v>2</x:v>
      </x:c>
      <x:c r="I1457" s="13" t="n">
        <x:v>9</x:v>
      </x:c>
      <x:c r="J1457" t="str">
        <x:v>C</x:v>
      </x:c>
      <x:c r="K1457" s="14"/>
      <x:c r="L1457" s="14"/>
      <x:c r="M1457" s="14"/>
      <x:c r="N1457" s="14"/>
      <x:c r="O1457" s="14"/>
      <x:c r="P1457" s="14"/>
      <x:c r="Q1457" s="14" t="n">
        <x:v>50.67</x:v>
      </x:c>
      <x:c r="R1457" s="15" t="n">
        <x:v>341100</x:v>
      </x:c>
      <x:c r="S1457" s="15" t="n">
        <x:v>341100</x:v>
      </x:c>
      <x:c r="T1457" s="15"/>
      <x:c r="U1457" s="16"/>
      <x:c r="V1457" t="str">
        <x:v>INTRADE Group</x:v>
      </x:c>
      <x:c r="W1457" t="str">
        <x:v>Ružinov</x:v>
      </x:c>
      <x:c r="X1457" s="11" t="str">
        <x:v>Voľný</x:v>
      </x:c>
      <x:c r="Y1457" s="11" t="str">
        <x:v>https://milrose.sk/byt/byt-c9-04/</x:v>
      </x:c>
      <x:c r="Z1457" s="11" t="n">
        <x:v>46252.68496519676</x:v>
      </x:c>
      <x:c r="AA1457" s="11" t="n">
        <x:v>46254.51251577547</x:v>
      </x:c>
      <x:c r="AB1457" s="11" t="n">
        <x:v>46254.51251577547</x:v>
      </x:c>
      <x:c r="AC1457" t="str">
        <x:v>milrose</x:v>
      </x:c>
    </x:row>
    <x:row r="1458" ht="22" customHeight="1">
      <x:c r="A1458" t="str">
        <x:v>Milrose</x:v>
      </x:c>
      <x:c r="B1458" t="str">
        <x:v>C9.07</x:v>
      </x:c>
      <x:c r="C1458" t="str">
        <x:v>sold</x:v>
      </x:c>
      <x:c r="D1458" t="str">
        <x:v>present</x:v>
      </x:c>
      <x:c r="E1458" t="str">
        <x:v>baseline</x:v>
      </x:c>
      <x:c r="F1458" s="11" t="n">
        <x:v>46252.68496519676</x:v>
      </x:c>
      <x:c r="G1458" t="str">
        <x:v>byt</x:v>
      </x:c>
      <x:c r="H1458" s="12" t="n">
        <x:v>1</x:v>
      </x:c>
      <x:c r="I1458" s="13" t="n">
        <x:v>9</x:v>
      </x:c>
      <x:c r="J1458" t="str">
        <x:v>C</x:v>
      </x:c>
      <x:c r="K1458" s="14"/>
      <x:c r="L1458" s="14"/>
      <x:c r="M1458" s="14"/>
      <x:c r="N1458" s="14"/>
      <x:c r="O1458" s="14"/>
      <x:c r="P1458" s="14"/>
      <x:c r="Q1458" s="14" t="n">
        <x:v>32.41</x:v>
      </x:c>
      <x:c r="R1458" s="15" t="n">
        <x:v>196700</x:v>
      </x:c>
      <x:c r="S1458" s="15" t="n">
        <x:v>196700</x:v>
      </x:c>
      <x:c r="T1458" s="15"/>
      <x:c r="U1458" s="16"/>
      <x:c r="V1458" t="str">
        <x:v>INTRADE Group</x:v>
      </x:c>
      <x:c r="W1458" t="str">
        <x:v>Ružinov</x:v>
      </x:c>
      <x:c r="X1458" s="11" t="str">
        <x:v>Predaný</x:v>
      </x:c>
      <x:c r="Y1458" s="11" t="str">
        <x:v>https://milrose.sk/byt/byt-c9-07/</x:v>
      </x:c>
      <x:c r="Z1458" s="11" t="n">
        <x:v>46252.68496519676</x:v>
      </x:c>
      <x:c r="AA1458" s="11" t="n">
        <x:v>46254.51251577547</x:v>
      </x:c>
      <x:c r="AB1458" s="11" t="n">
        <x:v>46254.51251577547</x:v>
      </x:c>
      <x:c r="AC1458" t="str">
        <x:v>milrose</x:v>
      </x:c>
    </x:row>
    <x:row r="1459" ht="22" customHeight="1">
      <x:c r="A1459" t="str">
        <x:v>Milrose</x:v>
      </x:c>
      <x:c r="B1459" t="str">
        <x:v>C10.01</x:v>
      </x:c>
      <x:c r="C1459" t="str">
        <x:v>reserved</x:v>
      </x:c>
      <x:c r="D1459" t="str">
        <x:v>present</x:v>
      </x:c>
      <x:c r="E1459" t="str">
        <x:v>baseline</x:v>
      </x:c>
      <x:c r="F1459" s="11" t="n">
        <x:v>46252.68496519676</x:v>
      </x:c>
      <x:c r="G1459" t="str">
        <x:v>byt</x:v>
      </x:c>
      <x:c r="H1459" s="12" t="n">
        <x:v>2</x:v>
      </x:c>
      <x:c r="I1459" s="13" t="n">
        <x:v>10</x:v>
      </x:c>
      <x:c r="J1459" t="str">
        <x:v>C</x:v>
      </x:c>
      <x:c r="K1459" s="14"/>
      <x:c r="L1459" s="14"/>
      <x:c r="M1459" s="14"/>
      <x:c r="N1459" s="14"/>
      <x:c r="O1459" s="14"/>
      <x:c r="P1459" s="14"/>
      <x:c r="Q1459" s="14" t="n">
        <x:v>43.97</x:v>
      </x:c>
      <x:c r="R1459" s="15" t="n">
        <x:v>257500</x:v>
      </x:c>
      <x:c r="S1459" s="15" t="n">
        <x:v>257500</x:v>
      </x:c>
      <x:c r="T1459" s="15"/>
      <x:c r="U1459" s="16"/>
      <x:c r="V1459" t="str">
        <x:v>INTRADE Group</x:v>
      </x:c>
      <x:c r="W1459" t="str">
        <x:v>Ružinov</x:v>
      </x:c>
      <x:c r="X1459" s="11" t="str">
        <x:v>Rezervovaný</x:v>
      </x:c>
      <x:c r="Y1459" s="11" t="str">
        <x:v>https://milrose.sk/byt/byt-c10-01/</x:v>
      </x:c>
      <x:c r="Z1459" s="11" t="n">
        <x:v>46252.68496519676</x:v>
      </x:c>
      <x:c r="AA1459" s="11" t="n">
        <x:v>46254.51251577547</x:v>
      </x:c>
      <x:c r="AB1459" s="11" t="n">
        <x:v>46254.51251577547</x:v>
      </x:c>
      <x:c r="AC1459" t="str">
        <x:v>milrose</x:v>
      </x:c>
    </x:row>
    <x:row r="1460" ht="22" customHeight="1">
      <x:c r="A1460" t="str">
        <x:v>Milrose</x:v>
      </x:c>
      <x:c r="B1460" t="str">
        <x:v>C10.02</x:v>
      </x:c>
      <x:c r="C1460" t="str">
        <x:v>sold</x:v>
      </x:c>
      <x:c r="D1460" t="str">
        <x:v>present</x:v>
      </x:c>
      <x:c r="E1460" t="str">
        <x:v>baseline</x:v>
      </x:c>
      <x:c r="F1460" s="11" t="n">
        <x:v>46252.68496519676</x:v>
      </x:c>
      <x:c r="G1460" t="str">
        <x:v>byt</x:v>
      </x:c>
      <x:c r="H1460" s="12" t="n">
        <x:v>2</x:v>
      </x:c>
      <x:c r="I1460" s="13" t="n">
        <x:v>10</x:v>
      </x:c>
      <x:c r="J1460" t="str">
        <x:v>C</x:v>
      </x:c>
      <x:c r="K1460" s="14"/>
      <x:c r="L1460" s="14"/>
      <x:c r="M1460" s="14"/>
      <x:c r="N1460" s="14"/>
      <x:c r="O1460" s="14"/>
      <x:c r="P1460" s="14"/>
      <x:c r="Q1460" s="14" t="n">
        <x:v>51.4</x:v>
      </x:c>
      <x:c r="R1460" s="15" t="n">
        <x:v>324200</x:v>
      </x:c>
      <x:c r="S1460" s="15" t="n">
        <x:v>324200</x:v>
      </x:c>
      <x:c r="T1460" s="15"/>
      <x:c r="U1460" s="16"/>
      <x:c r="V1460" t="str">
        <x:v>INTRADE Group</x:v>
      </x:c>
      <x:c r="W1460" t="str">
        <x:v>Ružinov</x:v>
      </x:c>
      <x:c r="X1460" s="11" t="str">
        <x:v>Predaný</x:v>
      </x:c>
      <x:c r="Y1460" s="11" t="str">
        <x:v>https://milrose.sk/byt/byt-c10-02/</x:v>
      </x:c>
      <x:c r="Z1460" s="11" t="n">
        <x:v>46252.68496519676</x:v>
      </x:c>
      <x:c r="AA1460" s="11" t="n">
        <x:v>46254.51251577547</x:v>
      </x:c>
      <x:c r="AB1460" s="11" t="n">
        <x:v>46254.51251577547</x:v>
      </x:c>
      <x:c r="AC1460" t="str">
        <x:v>milrose</x:v>
      </x:c>
    </x:row>
    <x:row r="1461" ht="22" customHeight="1">
      <x:c r="A1461" t="str">
        <x:v>Milrose</x:v>
      </x:c>
      <x:c r="B1461" t="str">
        <x:v>C10.03</x:v>
      </x:c>
      <x:c r="C1461" t="str">
        <x:v>sold</x:v>
      </x:c>
      <x:c r="D1461" t="str">
        <x:v>present</x:v>
      </x:c>
      <x:c r="E1461" t="str">
        <x:v>baseline</x:v>
      </x:c>
      <x:c r="F1461" s="11" t="n">
        <x:v>46252.68496519676</x:v>
      </x:c>
      <x:c r="G1461" t="str">
        <x:v>byt</x:v>
      </x:c>
      <x:c r="H1461" s="12" t="n">
        <x:v>3</x:v>
      </x:c>
      <x:c r="I1461" s="13" t="n">
        <x:v>10</x:v>
      </x:c>
      <x:c r="J1461" t="str">
        <x:v>C</x:v>
      </x:c>
      <x:c r="K1461" s="14"/>
      <x:c r="L1461" s="14"/>
      <x:c r="M1461" s="14"/>
      <x:c r="N1461" s="14"/>
      <x:c r="O1461" s="14"/>
      <x:c r="P1461" s="14"/>
      <x:c r="Q1461" s="14" t="n">
        <x:v>73.23</x:v>
      </x:c>
      <x:c r="R1461" s="15" t="n">
        <x:v>470500</x:v>
      </x:c>
      <x:c r="S1461" s="15" t="n">
        <x:v>470500</x:v>
      </x:c>
      <x:c r="T1461" s="15"/>
      <x:c r="U1461" s="16"/>
      <x:c r="V1461" t="str">
        <x:v>INTRADE Group</x:v>
      </x:c>
      <x:c r="W1461" t="str">
        <x:v>Ružinov</x:v>
      </x:c>
      <x:c r="X1461" s="11" t="str">
        <x:v>Predaný</x:v>
      </x:c>
      <x:c r="Y1461" s="11" t="str">
        <x:v>https://milrose.sk/byt/byt-c10-03/</x:v>
      </x:c>
      <x:c r="Z1461" s="11" t="n">
        <x:v>46252.68496519676</x:v>
      </x:c>
      <x:c r="AA1461" s="11" t="n">
        <x:v>46254.51251577547</x:v>
      </x:c>
      <x:c r="AB1461" s="11" t="n">
        <x:v>46254.51251577547</x:v>
      </x:c>
      <x:c r="AC1461" t="str">
        <x:v>milrose</x:v>
      </x:c>
    </x:row>
    <x:row r="1462" ht="22" customHeight="1">
      <x:c r="A1462" t="str">
        <x:v>Milrose</x:v>
      </x:c>
      <x:c r="B1462" t="str">
        <x:v>C10.04</x:v>
      </x:c>
      <x:c r="C1462" t="str">
        <x:v>sold</x:v>
      </x:c>
      <x:c r="D1462" t="str">
        <x:v>present</x:v>
      </x:c>
      <x:c r="E1462" t="str">
        <x:v>baseline</x:v>
      </x:c>
      <x:c r="F1462" s="11" t="n">
        <x:v>46252.68496519676</x:v>
      </x:c>
      <x:c r="G1462" t="str">
        <x:v>byt</x:v>
      </x:c>
      <x:c r="H1462" s="12" t="n">
        <x:v>2</x:v>
      </x:c>
      <x:c r="I1462" s="13" t="n">
        <x:v>10</x:v>
      </x:c>
      <x:c r="J1462" t="str">
        <x:v>C</x:v>
      </x:c>
      <x:c r="K1462" s="14"/>
      <x:c r="L1462" s="14"/>
      <x:c r="M1462" s="14"/>
      <x:c r="N1462" s="14"/>
      <x:c r="O1462" s="14"/>
      <x:c r="P1462" s="14"/>
      <x:c r="Q1462" s="14" t="n">
        <x:v>50.8</x:v>
      </x:c>
      <x:c r="R1462" s="15" t="n">
        <x:v>322400</x:v>
      </x:c>
      <x:c r="S1462" s="15" t="n">
        <x:v>322400</x:v>
      </x:c>
      <x:c r="T1462" s="15"/>
      <x:c r="U1462" s="16"/>
      <x:c r="V1462" t="str">
        <x:v>INTRADE Group</x:v>
      </x:c>
      <x:c r="W1462" t="str">
        <x:v>Ružinov</x:v>
      </x:c>
      <x:c r="X1462" s="11" t="str">
        <x:v>Predaný</x:v>
      </x:c>
      <x:c r="Y1462" s="11" t="str">
        <x:v>https://milrose.sk/byt/byt-c10-04/</x:v>
      </x:c>
      <x:c r="Z1462" s="11" t="n">
        <x:v>46252.68496519676</x:v>
      </x:c>
      <x:c r="AA1462" s="11" t="n">
        <x:v>46254.51251577547</x:v>
      </x:c>
      <x:c r="AB1462" s="11" t="n">
        <x:v>46254.51251577547</x:v>
      </x:c>
      <x:c r="AC1462" t="str">
        <x:v>milrose</x:v>
      </x:c>
    </x:row>
    <x:row r="1463" ht="22" customHeight="1">
      <x:c r="A1463" t="str">
        <x:v>Milrose</x:v>
      </x:c>
      <x:c r="B1463" t="str">
        <x:v>C10.07</x:v>
      </x:c>
      <x:c r="C1463" t="str">
        <x:v>available</x:v>
      </x:c>
      <x:c r="D1463" t="str">
        <x:v>present</x:v>
      </x:c>
      <x:c r="E1463" t="str">
        <x:v>baseline</x:v>
      </x:c>
      <x:c r="F1463" s="11" t="n">
        <x:v>46252.68496519676</x:v>
      </x:c>
      <x:c r="G1463" t="str">
        <x:v>byt</x:v>
      </x:c>
      <x:c r="H1463" s="12" t="n">
        <x:v>1</x:v>
      </x:c>
      <x:c r="I1463" s="13" t="n">
        <x:v>10</x:v>
      </x:c>
      <x:c r="J1463" t="str">
        <x:v>C</x:v>
      </x:c>
      <x:c r="K1463" s="14"/>
      <x:c r="L1463" s="14"/>
      <x:c r="M1463" s="14"/>
      <x:c r="N1463" s="14"/>
      <x:c r="O1463" s="14"/>
      <x:c r="P1463" s="14"/>
      <x:c r="Q1463" s="14" t="n">
        <x:v>32.61</x:v>
      </x:c>
      <x:c r="R1463" s="15" t="n">
        <x:v>230600</x:v>
      </x:c>
      <x:c r="S1463" s="15" t="n">
        <x:v>230600</x:v>
      </x:c>
      <x:c r="T1463" s="15"/>
      <x:c r="U1463" s="16"/>
      <x:c r="V1463" t="str">
        <x:v>INTRADE Group</x:v>
      </x:c>
      <x:c r="W1463" t="str">
        <x:v>Ružinov</x:v>
      </x:c>
      <x:c r="X1463" s="11" t="str">
        <x:v>Voľný</x:v>
      </x:c>
      <x:c r="Y1463" s="11" t="str">
        <x:v>https://milrose.sk/byt/byt-c10-07/</x:v>
      </x:c>
      <x:c r="Z1463" s="11" t="n">
        <x:v>46252.68496519676</x:v>
      </x:c>
      <x:c r="AA1463" s="11" t="n">
        <x:v>46254.51251577547</x:v>
      </x:c>
      <x:c r="AB1463" s="11" t="n">
        <x:v>46254.51251577547</x:v>
      </x:c>
      <x:c r="AC1463" t="str">
        <x:v>milrose</x:v>
      </x:c>
    </x:row>
    <x:row r="1464" ht="22" customHeight="1">
      <x:c r="A1464" t="str">
        <x:v>Milrose</x:v>
      </x:c>
      <x:c r="B1464" t="str">
        <x:v>C11.01</x:v>
      </x:c>
      <x:c r="C1464" t="str">
        <x:v>sold</x:v>
      </x:c>
      <x:c r="D1464" t="str">
        <x:v>present</x:v>
      </x:c>
      <x:c r="E1464" t="str">
        <x:v>baseline</x:v>
      </x:c>
      <x:c r="F1464" s="11" t="n">
        <x:v>46252.68496519676</x:v>
      </x:c>
      <x:c r="G1464" t="str">
        <x:v>byt</x:v>
      </x:c>
      <x:c r="H1464" s="12" t="n">
        <x:v>2</x:v>
      </x:c>
      <x:c r="I1464" s="13" t="n">
        <x:v>11</x:v>
      </x:c>
      <x:c r="J1464" t="str">
        <x:v>C</x:v>
      </x:c>
      <x:c r="K1464" s="14"/>
      <x:c r="L1464" s="14"/>
      <x:c r="M1464" s="14"/>
      <x:c r="N1464" s="14"/>
      <x:c r="O1464" s="14"/>
      <x:c r="P1464" s="14"/>
      <x:c r="Q1464" s="14" t="n">
        <x:v>44.34</x:v>
      </x:c>
      <x:c r="R1464" s="15" t="n">
        <x:v>283100</x:v>
      </x:c>
      <x:c r="S1464" s="15" t="n">
        <x:v>283100</x:v>
      </x:c>
      <x:c r="T1464" s="15"/>
      <x:c r="U1464" s="16"/>
      <x:c r="V1464" t="str">
        <x:v>INTRADE Group</x:v>
      </x:c>
      <x:c r="W1464" t="str">
        <x:v>Ružinov</x:v>
      </x:c>
      <x:c r="X1464" s="11" t="str">
        <x:v>Predaný</x:v>
      </x:c>
      <x:c r="Y1464" s="11" t="str">
        <x:v>https://milrose.sk/byt/byt-c11-01/</x:v>
      </x:c>
      <x:c r="Z1464" s="11" t="n">
        <x:v>46252.68496519676</x:v>
      </x:c>
      <x:c r="AA1464" s="11" t="n">
        <x:v>46254.51251577547</x:v>
      </x:c>
      <x:c r="AB1464" s="11" t="n">
        <x:v>46254.51251577547</x:v>
      </x:c>
      <x:c r="AC1464" t="str">
        <x:v>milrose</x:v>
      </x:c>
    </x:row>
    <x:row r="1465" ht="22" customHeight="1">
      <x:c r="A1465" t="str">
        <x:v>Milrose</x:v>
      </x:c>
      <x:c r="B1465" t="str">
        <x:v>C11.02</x:v>
      </x:c>
      <x:c r="C1465" t="str">
        <x:v>pre_reserved</x:v>
      </x:c>
      <x:c r="D1465" t="str">
        <x:v>present</x:v>
      </x:c>
      <x:c r="E1465" t="str">
        <x:v>baseline</x:v>
      </x:c>
      <x:c r="F1465" s="11" t="n">
        <x:v>46252.68496519676</x:v>
      </x:c>
      <x:c r="G1465" t="str">
        <x:v>byt</x:v>
      </x:c>
      <x:c r="H1465" s="12" t="n">
        <x:v>2</x:v>
      </x:c>
      <x:c r="I1465" s="13" t="n">
        <x:v>11</x:v>
      </x:c>
      <x:c r="J1465" t="str">
        <x:v>C</x:v>
      </x:c>
      <x:c r="K1465" s="14"/>
      <x:c r="L1465" s="14"/>
      <x:c r="M1465" s="14"/>
      <x:c r="N1465" s="14"/>
      <x:c r="O1465" s="14"/>
      <x:c r="P1465" s="14"/>
      <x:c r="Q1465" s="14" t="n">
        <x:v>51.4</x:v>
      </x:c>
      <x:c r="R1465" s="15" t="n">
        <x:v>320600</x:v>
      </x:c>
      <x:c r="S1465" s="15" t="n">
        <x:v>320600</x:v>
      </x:c>
      <x:c r="T1465" s="15"/>
      <x:c r="U1465" s="16"/>
      <x:c r="V1465" t="str">
        <x:v>INTRADE Group</x:v>
      </x:c>
      <x:c r="W1465" t="str">
        <x:v>Ružinov</x:v>
      </x:c>
      <x:c r="X1465" s="11" t="str">
        <x:v>Predbežne rezervovaný</x:v>
      </x:c>
      <x:c r="Y1465" s="11" t="str">
        <x:v>https://milrose.sk/byt/byt-c11-02/</x:v>
      </x:c>
      <x:c r="Z1465" s="11" t="n">
        <x:v>46252.68496519676</x:v>
      </x:c>
      <x:c r="AA1465" s="11" t="n">
        <x:v>46254.51251577547</x:v>
      </x:c>
      <x:c r="AB1465" s="11" t="n">
        <x:v>46254.51251577547</x:v>
      </x:c>
      <x:c r="AC1465" t="str">
        <x:v>milrose</x:v>
      </x:c>
    </x:row>
    <x:row r="1466" ht="22" customHeight="1">
      <x:c r="A1466" t="str">
        <x:v>Milrose</x:v>
      </x:c>
      <x:c r="B1466" t="str">
        <x:v>C11.03</x:v>
      </x:c>
      <x:c r="C1466" t="str">
        <x:v>available</x:v>
      </x:c>
      <x:c r="D1466" t="str">
        <x:v>present</x:v>
      </x:c>
      <x:c r="E1466" t="str">
        <x:v>baseline</x:v>
      </x:c>
      <x:c r="F1466" s="11" t="n">
        <x:v>46252.68496519676</x:v>
      </x:c>
      <x:c r="G1466" t="str">
        <x:v>byt</x:v>
      </x:c>
      <x:c r="H1466" s="12" t="n">
        <x:v>3</x:v>
      </x:c>
      <x:c r="I1466" s="13" t="n">
        <x:v>11</x:v>
      </x:c>
      <x:c r="J1466" t="str">
        <x:v>C</x:v>
      </x:c>
      <x:c r="K1466" s="14"/>
      <x:c r="L1466" s="14"/>
      <x:c r="M1466" s="14"/>
      <x:c r="N1466" s="14"/>
      <x:c r="O1466" s="14"/>
      <x:c r="P1466" s="14"/>
      <x:c r="Q1466" s="14" t="n">
        <x:v>73.19</x:v>
      </x:c>
      <x:c r="R1466" s="15" t="n">
        <x:v>467500</x:v>
      </x:c>
      <x:c r="S1466" s="15" t="n">
        <x:v>467500</x:v>
      </x:c>
      <x:c r="T1466" s="15"/>
      <x:c r="U1466" s="16"/>
      <x:c r="V1466" t="str">
        <x:v>INTRADE Group</x:v>
      </x:c>
      <x:c r="W1466" t="str">
        <x:v>Ružinov</x:v>
      </x:c>
      <x:c r="X1466" s="11" t="str">
        <x:v>Voľný</x:v>
      </x:c>
      <x:c r="Y1466" s="11" t="str">
        <x:v>https://milrose.sk/byt/byt-c11-03/</x:v>
      </x:c>
      <x:c r="Z1466" s="11" t="n">
        <x:v>46252.68496519676</x:v>
      </x:c>
      <x:c r="AA1466" s="11" t="n">
        <x:v>46254.51251577547</x:v>
      </x:c>
      <x:c r="AB1466" s="11" t="n">
        <x:v>46254.51251577547</x:v>
      </x:c>
      <x:c r="AC1466" t="str">
        <x:v>milrose</x:v>
      </x:c>
    </x:row>
    <x:row r="1467" ht="22" customHeight="1">
      <x:c r="A1467" t="str">
        <x:v>Milrose</x:v>
      </x:c>
      <x:c r="B1467" t="str">
        <x:v>C11.04</x:v>
      </x:c>
      <x:c r="C1467" t="str">
        <x:v>sold</x:v>
      </x:c>
      <x:c r="D1467" t="str">
        <x:v>present</x:v>
      </x:c>
      <x:c r="E1467" t="str">
        <x:v>baseline</x:v>
      </x:c>
      <x:c r="F1467" s="11" t="n">
        <x:v>46252.68496519676</x:v>
      </x:c>
      <x:c r="G1467" t="str">
        <x:v>byt</x:v>
      </x:c>
      <x:c r="H1467" s="12" t="n">
        <x:v>2</x:v>
      </x:c>
      <x:c r="I1467" s="13" t="n">
        <x:v>11</x:v>
      </x:c>
      <x:c r="J1467" t="str">
        <x:v>C</x:v>
      </x:c>
      <x:c r="K1467" s="14"/>
      <x:c r="L1467" s="14"/>
      <x:c r="M1467" s="14"/>
      <x:c r="N1467" s="14"/>
      <x:c r="O1467" s="14"/>
      <x:c r="P1467" s="14"/>
      <x:c r="Q1467" s="14" t="n">
        <x:v>50.67</x:v>
      </x:c>
      <x:c r="R1467" s="15" t="n">
        <x:v>330300</x:v>
      </x:c>
      <x:c r="S1467" s="15" t="n">
        <x:v>330300</x:v>
      </x:c>
      <x:c r="T1467" s="15"/>
      <x:c r="U1467" s="16"/>
      <x:c r="V1467" t="str">
        <x:v>INTRADE Group</x:v>
      </x:c>
      <x:c r="W1467" t="str">
        <x:v>Ružinov</x:v>
      </x:c>
      <x:c r="X1467" s="11" t="str">
        <x:v>Predaný</x:v>
      </x:c>
      <x:c r="Y1467" s="11" t="str">
        <x:v>https://milrose.sk/byt/byt-c11-04/</x:v>
      </x:c>
      <x:c r="Z1467" s="11" t="n">
        <x:v>46252.68496519676</x:v>
      </x:c>
      <x:c r="AA1467" s="11" t="n">
        <x:v>46254.51251577547</x:v>
      </x:c>
      <x:c r="AB1467" s="11" t="n">
        <x:v>46254.51251577547</x:v>
      </x:c>
      <x:c r="AC1467" t="str">
        <x:v>milrose</x:v>
      </x:c>
    </x:row>
    <x:row r="1468" ht="22" customHeight="1">
      <x:c r="A1468" t="str">
        <x:v>Milrose</x:v>
      </x:c>
      <x:c r="B1468" t="str">
        <x:v>C11.07</x:v>
      </x:c>
      <x:c r="C1468" t="str">
        <x:v>sold</x:v>
      </x:c>
      <x:c r="D1468" t="str">
        <x:v>present</x:v>
      </x:c>
      <x:c r="E1468" t="str">
        <x:v>baseline</x:v>
      </x:c>
      <x:c r="F1468" s="11" t="n">
        <x:v>46252.68496519676</x:v>
      </x:c>
      <x:c r="G1468" t="str">
        <x:v>byt</x:v>
      </x:c>
      <x:c r="H1468" s="12" t="n">
        <x:v>1</x:v>
      </x:c>
      <x:c r="I1468" s="13" t="n">
        <x:v>11</x:v>
      </x:c>
      <x:c r="J1468" t="str">
        <x:v>C</x:v>
      </x:c>
      <x:c r="K1468" s="14"/>
      <x:c r="L1468" s="14"/>
      <x:c r="M1468" s="14"/>
      <x:c r="N1468" s="14"/>
      <x:c r="O1468" s="14"/>
      <x:c r="P1468" s="14"/>
      <x:c r="Q1468" s="14" t="n">
        <x:v>32.41</x:v>
      </x:c>
      <x:c r="R1468" s="15" t="n">
        <x:v>200500</x:v>
      </x:c>
      <x:c r="S1468" s="15" t="n">
        <x:v>200500</x:v>
      </x:c>
      <x:c r="T1468" s="15"/>
      <x:c r="U1468" s="16"/>
      <x:c r="V1468" t="str">
        <x:v>INTRADE Group</x:v>
      </x:c>
      <x:c r="W1468" t="str">
        <x:v>Ružinov</x:v>
      </x:c>
      <x:c r="X1468" s="11" t="str">
        <x:v>Predaný</x:v>
      </x:c>
      <x:c r="Y1468" s="11" t="str">
        <x:v>https://milrose.sk/byt/byt-c11-07/</x:v>
      </x:c>
      <x:c r="Z1468" s="11" t="n">
        <x:v>46252.68496519676</x:v>
      </x:c>
      <x:c r="AA1468" s="11" t="n">
        <x:v>46254.51251577547</x:v>
      </x:c>
      <x:c r="AB1468" s="11" t="n">
        <x:v>46254.51251577547</x:v>
      </x:c>
      <x:c r="AC1468" t="str">
        <x:v>milrose</x:v>
      </x:c>
    </x:row>
    <x:row r="1469" ht="22" customHeight="1">
      <x:c r="A1469" t="str">
        <x:v>Milrose</x:v>
      </x:c>
      <x:c r="B1469" t="str">
        <x:v>C12.02</x:v>
      </x:c>
      <x:c r="C1469" t="str">
        <x:v>sold</x:v>
      </x:c>
      <x:c r="D1469" t="str">
        <x:v>present</x:v>
      </x:c>
      <x:c r="E1469" t="str">
        <x:v>baseline</x:v>
      </x:c>
      <x:c r="F1469" s="11" t="n">
        <x:v>46252.68496519676</x:v>
      </x:c>
      <x:c r="G1469" t="str">
        <x:v>byt</x:v>
      </x:c>
      <x:c r="H1469" s="12" t="n">
        <x:v>2</x:v>
      </x:c>
      <x:c r="I1469" s="13" t="n">
        <x:v>12</x:v>
      </x:c>
      <x:c r="J1469" t="str">
        <x:v>C</x:v>
      </x:c>
      <x:c r="K1469" s="14"/>
      <x:c r="L1469" s="14"/>
      <x:c r="M1469" s="14"/>
      <x:c r="N1469" s="14"/>
      <x:c r="O1469" s="14"/>
      <x:c r="P1469" s="14"/>
      <x:c r="Q1469" s="14" t="n">
        <x:v>51.65</x:v>
      </x:c>
      <x:c r="R1469" s="15" t="n">
        <x:v>335500</x:v>
      </x:c>
      <x:c r="S1469" s="15" t="n">
        <x:v>335500</x:v>
      </x:c>
      <x:c r="T1469" s="15"/>
      <x:c r="U1469" s="16"/>
      <x:c r="V1469" t="str">
        <x:v>INTRADE Group</x:v>
      </x:c>
      <x:c r="W1469" t="str">
        <x:v>Ružinov</x:v>
      </x:c>
      <x:c r="X1469" s="11" t="str">
        <x:v>Predaný</x:v>
      </x:c>
      <x:c r="Y1469" s="11" t="str">
        <x:v>https://milrose.sk/byt/byt-c12-02/</x:v>
      </x:c>
      <x:c r="Z1469" s="11" t="n">
        <x:v>46252.68496519676</x:v>
      </x:c>
      <x:c r="AA1469" s="11" t="n">
        <x:v>46254.51251577547</x:v>
      </x:c>
      <x:c r="AB1469" s="11" t="n">
        <x:v>46254.51251577547</x:v>
      </x:c>
      <x:c r="AC1469" t="str">
        <x:v>milrose</x:v>
      </x:c>
    </x:row>
    <x:row r="1470" ht="22" customHeight="1">
      <x:c r="A1470" t="str">
        <x:v>Milrose</x:v>
      </x:c>
      <x:c r="B1470" t="str">
        <x:v>C12.03</x:v>
      </x:c>
      <x:c r="C1470" t="str">
        <x:v>pre_reserved</x:v>
      </x:c>
      <x:c r="D1470" t="str">
        <x:v>present</x:v>
      </x:c>
      <x:c r="E1470" t="str">
        <x:v>baseline</x:v>
      </x:c>
      <x:c r="F1470" s="11" t="n">
        <x:v>46252.68496519676</x:v>
      </x:c>
      <x:c r="G1470" t="str">
        <x:v>byt</x:v>
      </x:c>
      <x:c r="H1470" s="12" t="n">
        <x:v>3</x:v>
      </x:c>
      <x:c r="I1470" s="13" t="n">
        <x:v>12</x:v>
      </x:c>
      <x:c r="J1470" t="str">
        <x:v>C</x:v>
      </x:c>
      <x:c r="K1470" s="14"/>
      <x:c r="L1470" s="14"/>
      <x:c r="M1470" s="14"/>
      <x:c r="N1470" s="14"/>
      <x:c r="O1470" s="14"/>
      <x:c r="P1470" s="14"/>
      <x:c r="Q1470" s="14" t="n">
        <x:v>73.11</x:v>
      </x:c>
      <x:c r="R1470" s="15" t="n">
        <x:v>471300</x:v>
      </x:c>
      <x:c r="S1470" s="15" t="n">
        <x:v>471300</x:v>
      </x:c>
      <x:c r="T1470" s="15"/>
      <x:c r="U1470" s="16"/>
      <x:c r="V1470" t="str">
        <x:v>INTRADE Group</x:v>
      </x:c>
      <x:c r="W1470" t="str">
        <x:v>Ružinov</x:v>
      </x:c>
      <x:c r="X1470" s="11" t="str">
        <x:v>Predbežne rezervovaný</x:v>
      </x:c>
      <x:c r="Y1470" s="11" t="str">
        <x:v>https://milrose.sk/byt/byt-c12-03/</x:v>
      </x:c>
      <x:c r="Z1470" s="11" t="n">
        <x:v>46252.68496519676</x:v>
      </x:c>
      <x:c r="AA1470" s="11" t="n">
        <x:v>46254.51251577547</x:v>
      </x:c>
      <x:c r="AB1470" s="11" t="n">
        <x:v>46254.51251577547</x:v>
      </x:c>
      <x:c r="AC1470" t="str">
        <x:v>milrose</x:v>
      </x:c>
    </x:row>
    <x:row r="1471" ht="22" customHeight="1">
      <x:c r="A1471" t="str">
        <x:v>Milrose</x:v>
      </x:c>
      <x:c r="B1471" t="str">
        <x:v>C12.04</x:v>
      </x:c>
      <x:c r="C1471" t="str">
        <x:v>reserved</x:v>
      </x:c>
      <x:c r="D1471" t="str">
        <x:v>present</x:v>
      </x:c>
      <x:c r="E1471" t="str">
        <x:v>baseline</x:v>
      </x:c>
      <x:c r="F1471" s="11" t="n">
        <x:v>46252.68496519676</x:v>
      </x:c>
      <x:c r="G1471" t="str">
        <x:v>byt</x:v>
      </x:c>
      <x:c r="H1471" s="12" t="n">
        <x:v>2</x:v>
      </x:c>
      <x:c r="I1471" s="13" t="n">
        <x:v>12</x:v>
      </x:c>
      <x:c r="J1471" t="str">
        <x:v>C</x:v>
      </x:c>
      <x:c r="K1471" s="14"/>
      <x:c r="L1471" s="14"/>
      <x:c r="M1471" s="14"/>
      <x:c r="N1471" s="14"/>
      <x:c r="O1471" s="14"/>
      <x:c r="P1471" s="14"/>
      <x:c r="Q1471" s="14" t="n">
        <x:v>50.88</x:v>
      </x:c>
      <x:c r="R1471" s="15" t="n">
        <x:v>338500</x:v>
      </x:c>
      <x:c r="S1471" s="15" t="n">
        <x:v>338500</x:v>
      </x:c>
      <x:c r="T1471" s="15"/>
      <x:c r="U1471" s="16"/>
      <x:c r="V1471" t="str">
        <x:v>INTRADE Group</x:v>
      </x:c>
      <x:c r="W1471" t="str">
        <x:v>Ružinov</x:v>
      </x:c>
      <x:c r="X1471" s="11" t="str">
        <x:v>Rezervovaný</x:v>
      </x:c>
      <x:c r="Y1471" s="11" t="str">
        <x:v>https://milrose.sk/byt/byt-c12-04/</x:v>
      </x:c>
      <x:c r="Z1471" s="11" t="n">
        <x:v>46252.68496519676</x:v>
      </x:c>
      <x:c r="AA1471" s="11" t="n">
        <x:v>46254.51251577547</x:v>
      </x:c>
      <x:c r="AB1471" s="11" t="n">
        <x:v>46254.51251577547</x:v>
      </x:c>
      <x:c r="AC1471" t="str">
        <x:v>milrose</x:v>
      </x:c>
    </x:row>
    <x:row r="1472" ht="22" customHeight="1">
      <x:c r="A1472" t="str">
        <x:v>Milrose</x:v>
      </x:c>
      <x:c r="B1472" t="str">
        <x:v>C12.05</x:v>
      </x:c>
      <x:c r="C1472" t="str">
        <x:v>available</x:v>
      </x:c>
      <x:c r="D1472" t="str">
        <x:v>present</x:v>
      </x:c>
      <x:c r="E1472" t="str">
        <x:v>baseline</x:v>
      </x:c>
      <x:c r="F1472" s="11" t="n">
        <x:v>46252.68496519676</x:v>
      </x:c>
      <x:c r="G1472" t="str">
        <x:v>byt</x:v>
      </x:c>
      <x:c r="H1472" s="12" t="n">
        <x:v>4</x:v>
      </x:c>
      <x:c r="I1472" s="13" t="n">
        <x:v>12</x:v>
      </x:c>
      <x:c r="J1472" t="str">
        <x:v>C</x:v>
      </x:c>
      <x:c r="K1472" s="14"/>
      <x:c r="L1472" s="14"/>
      <x:c r="M1472" s="14"/>
      <x:c r="N1472" s="14"/>
      <x:c r="O1472" s="14"/>
      <x:c r="P1472" s="14"/>
      <x:c r="Q1472" s="14" t="n">
        <x:v>101.27</x:v>
      </x:c>
      <x:c r="R1472" s="15" t="n">
        <x:v>674600</x:v>
      </x:c>
      <x:c r="S1472" s="15" t="n">
        <x:v>674600</x:v>
      </x:c>
      <x:c r="T1472" s="15"/>
      <x:c r="U1472" s="16"/>
      <x:c r="V1472" t="str">
        <x:v>INTRADE Group</x:v>
      </x:c>
      <x:c r="W1472" t="str">
        <x:v>Ružinov</x:v>
      </x:c>
      <x:c r="X1472" s="11" t="str">
        <x:v>Voľný</x:v>
      </x:c>
      <x:c r="Y1472" s="11" t="str">
        <x:v>https://milrose.sk/byt/byt-c12-05/</x:v>
      </x:c>
      <x:c r="Z1472" s="11" t="n">
        <x:v>46252.68496519676</x:v>
      </x:c>
      <x:c r="AA1472" s="11" t="n">
        <x:v>46254.51251577547</x:v>
      </x:c>
      <x:c r="AB1472" s="11" t="n">
        <x:v>46254.51251577547</x:v>
      </x:c>
      <x:c r="AC1472" t="str">
        <x:v>milrose</x:v>
      </x:c>
    </x:row>
    <x:row r="1473" ht="22" customHeight="1">
      <x:c r="A1473" t="str">
        <x:v>Milrose</x:v>
      </x:c>
      <x:c r="B1473" t="str">
        <x:v>C12.06</x:v>
      </x:c>
      <x:c r="C1473" t="str">
        <x:v>available</x:v>
      </x:c>
      <x:c r="D1473" t="str">
        <x:v>present</x:v>
      </x:c>
      <x:c r="E1473" t="str">
        <x:v>baseline</x:v>
      </x:c>
      <x:c r="F1473" s="11" t="n">
        <x:v>46252.68496519676</x:v>
      </x:c>
      <x:c r="G1473" t="str">
        <x:v>byt</x:v>
      </x:c>
      <x:c r="H1473" s="12" t="n">
        <x:v>3</x:v>
      </x:c>
      <x:c r="I1473" s="13" t="n">
        <x:v>12</x:v>
      </x:c>
      <x:c r="J1473" t="str">
        <x:v>C</x:v>
      </x:c>
      <x:c r="K1473" s="14"/>
      <x:c r="L1473" s="14"/>
      <x:c r="M1473" s="14"/>
      <x:c r="N1473" s="14"/>
      <x:c r="O1473" s="14"/>
      <x:c r="P1473" s="14"/>
      <x:c r="Q1473" s="14" t="n">
        <x:v>72.03</x:v>
      </x:c>
      <x:c r="R1473" s="15" t="n">
        <x:v>449000</x:v>
      </x:c>
      <x:c r="S1473" s="15" t="n">
        <x:v>449000</x:v>
      </x:c>
      <x:c r="T1473" s="15"/>
      <x:c r="U1473" s="16"/>
      <x:c r="V1473" t="str">
        <x:v>INTRADE Group</x:v>
      </x:c>
      <x:c r="W1473" t="str">
        <x:v>Ružinov</x:v>
      </x:c>
      <x:c r="X1473" s="11" t="str">
        <x:v>Voľný</x:v>
      </x:c>
      <x:c r="Y1473" s="11" t="str">
        <x:v>https://milrose.sk/byt/byt-c12-06/</x:v>
      </x:c>
      <x:c r="Z1473" s="11" t="n">
        <x:v>46252.68496519676</x:v>
      </x:c>
      <x:c r="AA1473" s="11" t="n">
        <x:v>46254.51251577547</x:v>
      </x:c>
      <x:c r="AB1473" s="11" t="n">
        <x:v>46254.51251577547</x:v>
      </x:c>
      <x:c r="AC1473" t="str">
        <x:v>milrose</x:v>
      </x:c>
    </x:row>
    <x:row r="1474" ht="22" customHeight="1">
      <x:c r="A1474" t="str">
        <x:v>Milrose</x:v>
      </x:c>
      <x:c r="B1474" t="str">
        <x:v>C13.02</x:v>
      </x:c>
      <x:c r="C1474" t="str">
        <x:v>pre_reserved</x:v>
      </x:c>
      <x:c r="D1474" t="str">
        <x:v>present</x:v>
      </x:c>
      <x:c r="E1474" t="str">
        <x:v>baseline</x:v>
      </x:c>
      <x:c r="F1474" s="11" t="n">
        <x:v>46252.68496519676</x:v>
      </x:c>
      <x:c r="G1474" t="str">
        <x:v>byt</x:v>
      </x:c>
      <x:c r="H1474" s="12" t="n">
        <x:v>2</x:v>
      </x:c>
      <x:c r="I1474" s="13" t="n">
        <x:v>13</x:v>
      </x:c>
      <x:c r="J1474" t="str">
        <x:v>C</x:v>
      </x:c>
      <x:c r="K1474" s="14"/>
      <x:c r="L1474" s="14"/>
      <x:c r="M1474" s="14"/>
      <x:c r="N1474" s="14"/>
      <x:c r="O1474" s="14"/>
      <x:c r="P1474" s="14"/>
      <x:c r="Q1474" s="14" t="n">
        <x:v>51.48</x:v>
      </x:c>
      <x:c r="R1474" s="15" t="n">
        <x:v>334700</x:v>
      </x:c>
      <x:c r="S1474" s="15" t="n">
        <x:v>334700</x:v>
      </x:c>
      <x:c r="T1474" s="15"/>
      <x:c r="U1474" s="16"/>
      <x:c r="V1474" t="str">
        <x:v>INTRADE Group</x:v>
      </x:c>
      <x:c r="W1474" t="str">
        <x:v>Ružinov</x:v>
      </x:c>
      <x:c r="X1474" s="11" t="str">
        <x:v>Predbežne rezervovaný</x:v>
      </x:c>
      <x:c r="Y1474" s="11" t="str">
        <x:v>https://milrose.sk/byt/byt-c13-02/</x:v>
      </x:c>
      <x:c r="Z1474" s="11" t="n">
        <x:v>46252.68496519676</x:v>
      </x:c>
      <x:c r="AA1474" s="11" t="n">
        <x:v>46254.51251577547</x:v>
      </x:c>
      <x:c r="AB1474" s="11" t="n">
        <x:v>46254.51251577547</x:v>
      </x:c>
      <x:c r="AC1474" t="str">
        <x:v>milrose</x:v>
      </x:c>
    </x:row>
    <x:row r="1475" ht="22" customHeight="1">
      <x:c r="A1475" t="str">
        <x:v>Milrose</x:v>
      </x:c>
      <x:c r="B1475" t="str">
        <x:v>C13.03</x:v>
      </x:c>
      <x:c r="C1475" t="str">
        <x:v>available</x:v>
      </x:c>
      <x:c r="D1475" t="str">
        <x:v>present</x:v>
      </x:c>
      <x:c r="E1475" t="str">
        <x:v>baseline</x:v>
      </x:c>
      <x:c r="F1475" s="11" t="n">
        <x:v>46252.68496519676</x:v>
      </x:c>
      <x:c r="G1475" t="str">
        <x:v>byt</x:v>
      </x:c>
      <x:c r="H1475" s="12" t="n">
        <x:v>3</x:v>
      </x:c>
      <x:c r="I1475" s="13" t="n">
        <x:v>13</x:v>
      </x:c>
      <x:c r="J1475" t="str">
        <x:v>C</x:v>
      </x:c>
      <x:c r="K1475" s="14"/>
      <x:c r="L1475" s="14"/>
      <x:c r="M1475" s="14"/>
      <x:c r="N1475" s="14"/>
      <x:c r="O1475" s="14"/>
      <x:c r="P1475" s="14"/>
      <x:c r="Q1475" s="14" t="n">
        <x:v>72.94</x:v>
      </x:c>
      <x:c r="R1475" s="15" t="n">
        <x:v>469700</x:v>
      </x:c>
      <x:c r="S1475" s="15" t="n">
        <x:v>469700</x:v>
      </x:c>
      <x:c r="T1475" s="15"/>
      <x:c r="U1475" s="16"/>
      <x:c r="V1475" t="str">
        <x:v>INTRADE Group</x:v>
      </x:c>
      <x:c r="W1475" t="str">
        <x:v>Ružinov</x:v>
      </x:c>
      <x:c r="X1475" s="11" t="str">
        <x:v>Voľný</x:v>
      </x:c>
      <x:c r="Y1475" s="11" t="str">
        <x:v>https://milrose.sk/byt/byt-c13-03/</x:v>
      </x:c>
      <x:c r="Z1475" s="11" t="n">
        <x:v>46252.68496519676</x:v>
      </x:c>
      <x:c r="AA1475" s="11" t="n">
        <x:v>46254.51251577547</x:v>
      </x:c>
      <x:c r="AB1475" s="11" t="n">
        <x:v>46254.51251577547</x:v>
      </x:c>
      <x:c r="AC1475" t="str">
        <x:v>milrose</x:v>
      </x:c>
    </x:row>
    <x:row r="1476" ht="22" customHeight="1">
      <x:c r="A1476" t="str">
        <x:v>Milrose</x:v>
      </x:c>
      <x:c r="B1476" t="str">
        <x:v>C13.04</x:v>
      </x:c>
      <x:c r="C1476" t="str">
        <x:v>available</x:v>
      </x:c>
      <x:c r="D1476" t="str">
        <x:v>present</x:v>
      </x:c>
      <x:c r="E1476" t="str">
        <x:v>baseline</x:v>
      </x:c>
      <x:c r="F1476" s="11" t="n">
        <x:v>46252.68496519676</x:v>
      </x:c>
      <x:c r="G1476" t="str">
        <x:v>byt</x:v>
      </x:c>
      <x:c r="H1476" s="12" t="n">
        <x:v>2</x:v>
      </x:c>
      <x:c r="I1476" s="13" t="n">
        <x:v>13</x:v>
      </x:c>
      <x:c r="J1476" t="str">
        <x:v>C</x:v>
      </x:c>
      <x:c r="K1476" s="14"/>
      <x:c r="L1476" s="14"/>
      <x:c r="M1476" s="14"/>
      <x:c r="N1476" s="14"/>
      <x:c r="O1476" s="14"/>
      <x:c r="P1476" s="14"/>
      <x:c r="Q1476" s="14" t="n">
        <x:v>50.75</x:v>
      </x:c>
      <x:c r="R1476" s="15" t="n">
        <x:v>352900</x:v>
      </x:c>
      <x:c r="S1476" s="15" t="n">
        <x:v>352900</x:v>
      </x:c>
      <x:c r="T1476" s="15"/>
      <x:c r="U1476" s="16"/>
      <x:c r="V1476" t="str">
        <x:v>INTRADE Group</x:v>
      </x:c>
      <x:c r="W1476" t="str">
        <x:v>Ružinov</x:v>
      </x:c>
      <x:c r="X1476" s="11" t="str">
        <x:v>Voľný</x:v>
      </x:c>
      <x:c r="Y1476" s="11" t="str">
        <x:v>https://milrose.sk/byt/byt-c13-04/</x:v>
      </x:c>
      <x:c r="Z1476" s="11" t="n">
        <x:v>46252.68496519676</x:v>
      </x:c>
      <x:c r="AA1476" s="11" t="n">
        <x:v>46254.51251577547</x:v>
      </x:c>
      <x:c r="AB1476" s="11" t="n">
        <x:v>46254.51251577547</x:v>
      </x:c>
      <x:c r="AC1476" t="str">
        <x:v>milrose</x:v>
      </x:c>
    </x:row>
    <x:row r="1477" ht="22" customHeight="1">
      <x:c r="A1477" t="str">
        <x:v>Milrose</x:v>
      </x:c>
      <x:c r="B1477" t="str">
        <x:v>C13.05</x:v>
      </x:c>
      <x:c r="C1477" t="str">
        <x:v>available</x:v>
      </x:c>
      <x:c r="D1477" t="str">
        <x:v>present</x:v>
      </x:c>
      <x:c r="E1477" t="str">
        <x:v>baseline</x:v>
      </x:c>
      <x:c r="F1477" s="11" t="n">
        <x:v>46252.68496519676</x:v>
      </x:c>
      <x:c r="G1477" t="str">
        <x:v>byt</x:v>
      </x:c>
      <x:c r="H1477" s="12" t="n">
        <x:v>4</x:v>
      </x:c>
      <x:c r="I1477" s="13" t="n">
        <x:v>13</x:v>
      </x:c>
      <x:c r="J1477" t="str">
        <x:v>C</x:v>
      </x:c>
      <x:c r="K1477" s="14"/>
      <x:c r="L1477" s="14"/>
      <x:c r="M1477" s="14"/>
      <x:c r="N1477" s="14"/>
      <x:c r="O1477" s="14"/>
      <x:c r="P1477" s="14"/>
      <x:c r="Q1477" s="14" t="n">
        <x:v>101.56</x:v>
      </x:c>
      <x:c r="R1477" s="15" t="n">
        <x:v>682400</x:v>
      </x:c>
      <x:c r="S1477" s="15" t="n">
        <x:v>682400</x:v>
      </x:c>
      <x:c r="T1477" s="15"/>
      <x:c r="U1477" s="16"/>
      <x:c r="V1477" t="str">
        <x:v>INTRADE Group</x:v>
      </x:c>
      <x:c r="W1477" t="str">
        <x:v>Ružinov</x:v>
      </x:c>
      <x:c r="X1477" s="11" t="str">
        <x:v>Voľný</x:v>
      </x:c>
      <x:c r="Y1477" s="11" t="str">
        <x:v>https://milrose.sk/byt/byt-c13-05/</x:v>
      </x:c>
      <x:c r="Z1477" s="11" t="n">
        <x:v>46252.68496519676</x:v>
      </x:c>
      <x:c r="AA1477" s="11" t="n">
        <x:v>46254.51251577547</x:v>
      </x:c>
      <x:c r="AB1477" s="11" t="n">
        <x:v>46254.51251577547</x:v>
      </x:c>
      <x:c r="AC1477" t="str">
        <x:v>milrose</x:v>
      </x:c>
    </x:row>
    <x:row r="1478" ht="22" customHeight="1">
      <x:c r="A1478" t="str">
        <x:v>Milrose</x:v>
      </x:c>
      <x:c r="B1478" t="str">
        <x:v>C13.06</x:v>
      </x:c>
      <x:c r="C1478" t="str">
        <x:v>available</x:v>
      </x:c>
      <x:c r="D1478" t="str">
        <x:v>present</x:v>
      </x:c>
      <x:c r="E1478" t="str">
        <x:v>baseline</x:v>
      </x:c>
      <x:c r="F1478" s="11" t="n">
        <x:v>46252.68496519676</x:v>
      </x:c>
      <x:c r="G1478" t="str">
        <x:v>byt</x:v>
      </x:c>
      <x:c r="H1478" s="12" t="n">
        <x:v>3</x:v>
      </x:c>
      <x:c r="I1478" s="13" t="n">
        <x:v>13</x:v>
      </x:c>
      <x:c r="J1478" t="str">
        <x:v>C</x:v>
      </x:c>
      <x:c r="K1478" s="14"/>
      <x:c r="L1478" s="14"/>
      <x:c r="M1478" s="14"/>
      <x:c r="N1478" s="14"/>
      <x:c r="O1478" s="14"/>
      <x:c r="P1478" s="14"/>
      <x:c r="Q1478" s="14" t="n">
        <x:v>71.66</x:v>
      </x:c>
      <x:c r="R1478" s="15" t="n">
        <x:v>444100</x:v>
      </x:c>
      <x:c r="S1478" s="15" t="n">
        <x:v>444100</x:v>
      </x:c>
      <x:c r="T1478" s="15"/>
      <x:c r="U1478" s="16"/>
      <x:c r="V1478" t="str">
        <x:v>INTRADE Group</x:v>
      </x:c>
      <x:c r="W1478" t="str">
        <x:v>Ružinov</x:v>
      </x:c>
      <x:c r="X1478" s="11" t="str">
        <x:v>Voľný</x:v>
      </x:c>
      <x:c r="Y1478" s="11" t="str">
        <x:v>https://milrose.sk/byt/byt-c13-06/</x:v>
      </x:c>
      <x:c r="Z1478" s="11" t="n">
        <x:v>46252.68496519676</x:v>
      </x:c>
      <x:c r="AA1478" s="11" t="n">
        <x:v>46254.51251577547</x:v>
      </x:c>
      <x:c r="AB1478" s="11" t="n">
        <x:v>46254.51251577547</x:v>
      </x:c>
      <x:c r="AC1478" t="str">
        <x:v>milrose</x:v>
      </x:c>
    </x:row>
    <x:row r="1479" ht="22" customHeight="1">
      <x:c r="A1479" t="str">
        <x:v>Milrose</x:v>
      </x:c>
      <x:c r="B1479" t="str">
        <x:v>C14.02</x:v>
      </x:c>
      <x:c r="C1479" t="str">
        <x:v>sold</x:v>
      </x:c>
      <x:c r="D1479" t="str">
        <x:v>present</x:v>
      </x:c>
      <x:c r="E1479" t="str">
        <x:v>baseline</x:v>
      </x:c>
      <x:c r="F1479" s="11" t="n">
        <x:v>46252.68496519676</x:v>
      </x:c>
      <x:c r="G1479" t="str">
        <x:v>byt</x:v>
      </x:c>
      <x:c r="H1479" s="12" t="n">
        <x:v>2</x:v>
      </x:c>
      <x:c r="I1479" s="13" t="n">
        <x:v>14</x:v>
      </x:c>
      <x:c r="J1479" t="str">
        <x:v>C</x:v>
      </x:c>
      <x:c r="K1479" s="14"/>
      <x:c r="L1479" s="14"/>
      <x:c r="M1479" s="14"/>
      <x:c r="N1479" s="14"/>
      <x:c r="O1479" s="14"/>
      <x:c r="P1479" s="14"/>
      <x:c r="Q1479" s="14" t="n">
        <x:v>51.65</x:v>
      </x:c>
      <x:c r="R1479" s="15" t="n">
        <x:v>341800</x:v>
      </x:c>
      <x:c r="S1479" s="15" t="n">
        <x:v>341800</x:v>
      </x:c>
      <x:c r="T1479" s="15"/>
      <x:c r="U1479" s="16"/>
      <x:c r="V1479" t="str">
        <x:v>INTRADE Group</x:v>
      </x:c>
      <x:c r="W1479" t="str">
        <x:v>Ružinov</x:v>
      </x:c>
      <x:c r="X1479" s="11" t="str">
        <x:v>Predaný</x:v>
      </x:c>
      <x:c r="Y1479" s="11" t="str">
        <x:v>https://milrose.sk/byt/byt-c14-02/</x:v>
      </x:c>
      <x:c r="Z1479" s="11" t="n">
        <x:v>46252.68496519676</x:v>
      </x:c>
      <x:c r="AA1479" s="11" t="n">
        <x:v>46254.51251577547</x:v>
      </x:c>
      <x:c r="AB1479" s="11" t="n">
        <x:v>46254.51251577547</x:v>
      </x:c>
      <x:c r="AC1479" t="str">
        <x:v>milrose</x:v>
      </x:c>
    </x:row>
    <x:row r="1480" ht="22" customHeight="1">
      <x:c r="A1480" t="str">
        <x:v>Milrose</x:v>
      </x:c>
      <x:c r="B1480" t="str">
        <x:v>C14.03</x:v>
      </x:c>
      <x:c r="C1480" t="str">
        <x:v>available</x:v>
      </x:c>
      <x:c r="D1480" t="str">
        <x:v>present</x:v>
      </x:c>
      <x:c r="E1480" t="str">
        <x:v>baseline</x:v>
      </x:c>
      <x:c r="F1480" s="11" t="n">
        <x:v>46252.68496519676</x:v>
      </x:c>
      <x:c r="G1480" t="str">
        <x:v>byt</x:v>
      </x:c>
      <x:c r="H1480" s="12" t="n">
        <x:v>3</x:v>
      </x:c>
      <x:c r="I1480" s="13" t="n">
        <x:v>14</x:v>
      </x:c>
      <x:c r="J1480" t="str">
        <x:v>C</x:v>
      </x:c>
      <x:c r="K1480" s="14"/>
      <x:c r="L1480" s="14"/>
      <x:c r="M1480" s="14"/>
      <x:c r="N1480" s="14"/>
      <x:c r="O1480" s="14"/>
      <x:c r="P1480" s="14"/>
      <x:c r="Q1480" s="14" t="n">
        <x:v>73.31</x:v>
      </x:c>
      <x:c r="R1480" s="15" t="n">
        <x:v>486600</x:v>
      </x:c>
      <x:c r="S1480" s="15" t="n">
        <x:v>486600</x:v>
      </x:c>
      <x:c r="T1480" s="15"/>
      <x:c r="U1480" s="16"/>
      <x:c r="V1480" t="str">
        <x:v>INTRADE Group</x:v>
      </x:c>
      <x:c r="W1480" t="str">
        <x:v>Ružinov</x:v>
      </x:c>
      <x:c r="X1480" s="11" t="str">
        <x:v>Voľný</x:v>
      </x:c>
      <x:c r="Y1480" s="11" t="str">
        <x:v>https://milrose.sk/byt/byt-c14-03/</x:v>
      </x:c>
      <x:c r="Z1480" s="11" t="n">
        <x:v>46252.68496519676</x:v>
      </x:c>
      <x:c r="AA1480" s="11" t="n">
        <x:v>46254.51251577547</x:v>
      </x:c>
      <x:c r="AB1480" s="11" t="n">
        <x:v>46254.51251577547</x:v>
      </x:c>
      <x:c r="AC1480" t="str">
        <x:v>milrose</x:v>
      </x:c>
    </x:row>
    <x:row r="1481" ht="22" customHeight="1">
      <x:c r="A1481" t="str">
        <x:v>Milrose</x:v>
      </x:c>
      <x:c r="B1481" t="str">
        <x:v>C14.04</x:v>
      </x:c>
      <x:c r="C1481" t="str">
        <x:v>available</x:v>
      </x:c>
      <x:c r="D1481" t="str">
        <x:v>present</x:v>
      </x:c>
      <x:c r="E1481" t="str">
        <x:v>baseline</x:v>
      </x:c>
      <x:c r="F1481" s="11" t="n">
        <x:v>46252.68496519676</x:v>
      </x:c>
      <x:c r="G1481" t="str">
        <x:v>byt</x:v>
      </x:c>
      <x:c r="H1481" s="12" t="n">
        <x:v>2</x:v>
      </x:c>
      <x:c r="I1481" s="13" t="n">
        <x:v>14</x:v>
      </x:c>
      <x:c r="J1481" t="str">
        <x:v>C</x:v>
      </x:c>
      <x:c r="K1481" s="14"/>
      <x:c r="L1481" s="14"/>
      <x:c r="M1481" s="14"/>
      <x:c r="N1481" s="14"/>
      <x:c r="O1481" s="14"/>
      <x:c r="P1481" s="14"/>
      <x:c r="Q1481" s="14" t="n">
        <x:v>50.88</x:v>
      </x:c>
      <x:c r="R1481" s="15" t="n">
        <x:v>358200</x:v>
      </x:c>
      <x:c r="S1481" s="15" t="n">
        <x:v>358200</x:v>
      </x:c>
      <x:c r="T1481" s="15"/>
      <x:c r="U1481" s="16"/>
      <x:c r="V1481" t="str">
        <x:v>INTRADE Group</x:v>
      </x:c>
      <x:c r="W1481" t="str">
        <x:v>Ružinov</x:v>
      </x:c>
      <x:c r="X1481" s="11" t="str">
        <x:v>Voľný</x:v>
      </x:c>
      <x:c r="Y1481" s="11" t="str">
        <x:v>https://milrose.sk/byt/byt-c14-04/</x:v>
      </x:c>
      <x:c r="Z1481" s="11" t="n">
        <x:v>46252.68496519676</x:v>
      </x:c>
      <x:c r="AA1481" s="11" t="n">
        <x:v>46254.51251577547</x:v>
      </x:c>
      <x:c r="AB1481" s="11" t="n">
        <x:v>46254.51251577547</x:v>
      </x:c>
      <x:c r="AC1481" t="str">
        <x:v>milrose</x:v>
      </x:c>
    </x:row>
    <x:row r="1482" ht="22" customHeight="1">
      <x:c r="A1482" t="str">
        <x:v>Milrose</x:v>
      </x:c>
      <x:c r="B1482" t="str">
        <x:v>C14.05</x:v>
      </x:c>
      <x:c r="C1482" t="str">
        <x:v>available</x:v>
      </x:c>
      <x:c r="D1482" t="str">
        <x:v>present</x:v>
      </x:c>
      <x:c r="E1482" t="str">
        <x:v>baseline</x:v>
      </x:c>
      <x:c r="F1482" s="11" t="n">
        <x:v>46252.68496519676</x:v>
      </x:c>
      <x:c r="G1482" t="str">
        <x:v>byt</x:v>
      </x:c>
      <x:c r="H1482" s="12" t="n">
        <x:v>4</x:v>
      </x:c>
      <x:c r="I1482" s="13" t="n">
        <x:v>14</x:v>
      </x:c>
      <x:c r="J1482" t="str">
        <x:v>C</x:v>
      </x:c>
      <x:c r="K1482" s="14"/>
      <x:c r="L1482" s="14"/>
      <x:c r="M1482" s="14"/>
      <x:c r="N1482" s="14"/>
      <x:c r="O1482" s="14"/>
      <x:c r="P1482" s="14"/>
      <x:c r="Q1482" s="14" t="n">
        <x:v>101.79</x:v>
      </x:c>
      <x:c r="R1482" s="15" t="n">
        <x:v>679800</x:v>
      </x:c>
      <x:c r="S1482" s="15" t="n">
        <x:v>679800</x:v>
      </x:c>
      <x:c r="T1482" s="15"/>
      <x:c r="U1482" s="16"/>
      <x:c r="V1482" t="str">
        <x:v>INTRADE Group</x:v>
      </x:c>
      <x:c r="W1482" t="str">
        <x:v>Ružinov</x:v>
      </x:c>
      <x:c r="X1482" s="11" t="str">
        <x:v>Voľný</x:v>
      </x:c>
      <x:c r="Y1482" s="11" t="str">
        <x:v>https://milrose.sk/byt/byt-c14-05/</x:v>
      </x:c>
      <x:c r="Z1482" s="11" t="n">
        <x:v>46252.68496519676</x:v>
      </x:c>
      <x:c r="AA1482" s="11" t="n">
        <x:v>46254.51251577547</x:v>
      </x:c>
      <x:c r="AB1482" s="11" t="n">
        <x:v>46254.51251577547</x:v>
      </x:c>
      <x:c r="AC1482" t="str">
        <x:v>milrose</x:v>
      </x:c>
    </x:row>
    <x:row r="1483" ht="22" customHeight="1">
      <x:c r="A1483" t="str">
        <x:v>Milrose</x:v>
      </x:c>
      <x:c r="B1483" t="str">
        <x:v>C14.06</x:v>
      </x:c>
      <x:c r="C1483" t="str">
        <x:v>available</x:v>
      </x:c>
      <x:c r="D1483" t="str">
        <x:v>present</x:v>
      </x:c>
      <x:c r="E1483" t="str">
        <x:v>baseline</x:v>
      </x:c>
      <x:c r="F1483" s="11" t="n">
        <x:v>46252.68496519676</x:v>
      </x:c>
      <x:c r="G1483" t="str">
        <x:v>byt</x:v>
      </x:c>
      <x:c r="H1483" s="12" t="n">
        <x:v>3</x:v>
      </x:c>
      <x:c r="I1483" s="13" t="n">
        <x:v>14</x:v>
      </x:c>
      <x:c r="J1483" t="str">
        <x:v>C</x:v>
      </x:c>
      <x:c r="K1483" s="14"/>
      <x:c r="L1483" s="14"/>
      <x:c r="M1483" s="14"/>
      <x:c r="N1483" s="14"/>
      <x:c r="O1483" s="14"/>
      <x:c r="P1483" s="14"/>
      <x:c r="Q1483" s="14" t="n">
        <x:v>72.18</x:v>
      </x:c>
      <x:c r="R1483" s="15" t="n">
        <x:v>460600</x:v>
      </x:c>
      <x:c r="S1483" s="15" t="n">
        <x:v>460600</x:v>
      </x:c>
      <x:c r="T1483" s="15"/>
      <x:c r="U1483" s="16"/>
      <x:c r="V1483" t="str">
        <x:v>INTRADE Group</x:v>
      </x:c>
      <x:c r="W1483" t="str">
        <x:v>Ružinov</x:v>
      </x:c>
      <x:c r="X1483" s="11" t="str">
        <x:v>Voľný</x:v>
      </x:c>
      <x:c r="Y1483" s="11" t="str">
        <x:v>https://milrose.sk/byt/byt-c14-06/</x:v>
      </x:c>
      <x:c r="Z1483" s="11" t="n">
        <x:v>46252.68496519676</x:v>
      </x:c>
      <x:c r="AA1483" s="11" t="n">
        <x:v>46254.51251577547</x:v>
      </x:c>
      <x:c r="AB1483" s="11" t="n">
        <x:v>46254.51251577547</x:v>
      </x:c>
      <x:c r="AC1483" t="str">
        <x:v>milrose</x:v>
      </x:c>
    </x:row>
    <x:row r="1484" ht="22" customHeight="1">
      <x:c r="A1484" t="str">
        <x:v>Milrose</x:v>
      </x:c>
      <x:c r="B1484" t="str">
        <x:v>C15.02</x:v>
      </x:c>
      <x:c r="C1484" t="str">
        <x:v>available</x:v>
      </x:c>
      <x:c r="D1484" t="str">
        <x:v>present</x:v>
      </x:c>
      <x:c r="E1484" t="str">
        <x:v>baseline</x:v>
      </x:c>
      <x:c r="F1484" s="11" t="n">
        <x:v>46252.68496519676</x:v>
      </x:c>
      <x:c r="G1484" t="str">
        <x:v>byt</x:v>
      </x:c>
      <x:c r="H1484" s="12" t="n">
        <x:v>2</x:v>
      </x:c>
      <x:c r="I1484" s="13" t="n">
        <x:v>15</x:v>
      </x:c>
      <x:c r="J1484" t="str">
        <x:v>C</x:v>
      </x:c>
      <x:c r="K1484" s="14"/>
      <x:c r="L1484" s="14"/>
      <x:c r="M1484" s="14"/>
      <x:c r="N1484" s="14"/>
      <x:c r="O1484" s="14"/>
      <x:c r="P1484" s="14"/>
      <x:c r="Q1484" s="14" t="n">
        <x:v>51.48</x:v>
      </x:c>
      <x:c r="R1484" s="15" t="n">
        <x:v>336600</x:v>
      </x:c>
      <x:c r="S1484" s="15" t="n">
        <x:v>336600</x:v>
      </x:c>
      <x:c r="T1484" s="15"/>
      <x:c r="U1484" s="16"/>
      <x:c r="V1484" t="str">
        <x:v>INTRADE Group</x:v>
      </x:c>
      <x:c r="W1484" t="str">
        <x:v>Ružinov</x:v>
      </x:c>
      <x:c r="X1484" s="11" t="str">
        <x:v>Voľný</x:v>
      </x:c>
      <x:c r="Y1484" s="11" t="str">
        <x:v>https://milrose.sk/byt/byt-c15-02/</x:v>
      </x:c>
      <x:c r="Z1484" s="11" t="n">
        <x:v>46252.68496519676</x:v>
      </x:c>
      <x:c r="AA1484" s="11" t="n">
        <x:v>46254.51251577547</x:v>
      </x:c>
      <x:c r="AB1484" s="11" t="n">
        <x:v>46254.51251577547</x:v>
      </x:c>
      <x:c r="AC1484" t="str">
        <x:v>milrose</x:v>
      </x:c>
    </x:row>
    <x:row r="1485" ht="22" customHeight="1">
      <x:c r="A1485" t="str">
        <x:v>Milrose</x:v>
      </x:c>
      <x:c r="B1485" t="str">
        <x:v>C15.03</x:v>
      </x:c>
      <x:c r="C1485" t="str">
        <x:v>available</x:v>
      </x:c>
      <x:c r="D1485" t="str">
        <x:v>present</x:v>
      </x:c>
      <x:c r="E1485" t="str">
        <x:v>baseline</x:v>
      </x:c>
      <x:c r="F1485" s="11" t="n">
        <x:v>46252.68496519676</x:v>
      </x:c>
      <x:c r="G1485" t="str">
        <x:v>byt</x:v>
      </x:c>
      <x:c r="H1485" s="12" t="n">
        <x:v>3</x:v>
      </x:c>
      <x:c r="I1485" s="13" t="n">
        <x:v>15</x:v>
      </x:c>
      <x:c r="J1485" t="str">
        <x:v>C</x:v>
      </x:c>
      <x:c r="K1485" s="14"/>
      <x:c r="L1485" s="14"/>
      <x:c r="M1485" s="14"/>
      <x:c r="N1485" s="14"/>
      <x:c r="O1485" s="14"/>
      <x:c r="P1485" s="14"/>
      <x:c r="Q1485" s="14" t="n">
        <x:v>73.07</x:v>
      </x:c>
      <x:c r="R1485" s="15" t="n">
        <x:v>474700</x:v>
      </x:c>
      <x:c r="S1485" s="15" t="n">
        <x:v>474700</x:v>
      </x:c>
      <x:c r="T1485" s="15"/>
      <x:c r="U1485" s="16"/>
      <x:c r="V1485" t="str">
        <x:v>INTRADE Group</x:v>
      </x:c>
      <x:c r="W1485" t="str">
        <x:v>Ružinov</x:v>
      </x:c>
      <x:c r="X1485" s="11" t="str">
        <x:v>Voľný</x:v>
      </x:c>
      <x:c r="Y1485" s="11" t="str">
        <x:v>https://milrose.sk/byt/byt-c15-03/</x:v>
      </x:c>
      <x:c r="Z1485" s="11" t="n">
        <x:v>46252.68496519676</x:v>
      </x:c>
      <x:c r="AA1485" s="11" t="n">
        <x:v>46254.51251577547</x:v>
      </x:c>
      <x:c r="AB1485" s="11" t="n">
        <x:v>46254.51251577547</x:v>
      </x:c>
      <x:c r="AC1485" t="str">
        <x:v>milrose</x:v>
      </x:c>
    </x:row>
    <x:row r="1486" ht="22" customHeight="1">
      <x:c r="A1486" t="str">
        <x:v>Milrose</x:v>
      </x:c>
      <x:c r="B1486" t="str">
        <x:v>C15.04</x:v>
      </x:c>
      <x:c r="C1486" t="str">
        <x:v>pre_reserved</x:v>
      </x:c>
      <x:c r="D1486" t="str">
        <x:v>present</x:v>
      </x:c>
      <x:c r="E1486" t="str">
        <x:v>baseline</x:v>
      </x:c>
      <x:c r="F1486" s="11" t="n">
        <x:v>46252.68496519676</x:v>
      </x:c>
      <x:c r="G1486" t="str">
        <x:v>byt</x:v>
      </x:c>
      <x:c r="H1486" s="12" t="n">
        <x:v>2</x:v>
      </x:c>
      <x:c r="I1486" s="13" t="n">
        <x:v>15</x:v>
      </x:c>
      <x:c r="J1486" t="str">
        <x:v>C</x:v>
      </x:c>
      <x:c r="K1486" s="14"/>
      <x:c r="L1486" s="14"/>
      <x:c r="M1486" s="14"/>
      <x:c r="N1486" s="14"/>
      <x:c r="O1486" s="14"/>
      <x:c r="P1486" s="14"/>
      <x:c r="Q1486" s="14" t="n">
        <x:v>50.75</x:v>
      </x:c>
      <x:c r="R1486" s="15" t="n">
        <x:v>345300</x:v>
      </x:c>
      <x:c r="S1486" s="15" t="n">
        <x:v>345300</x:v>
      </x:c>
      <x:c r="T1486" s="15"/>
      <x:c r="U1486" s="16"/>
      <x:c r="V1486" t="str">
        <x:v>INTRADE Group</x:v>
      </x:c>
      <x:c r="W1486" t="str">
        <x:v>Ružinov</x:v>
      </x:c>
      <x:c r="X1486" s="11" t="str">
        <x:v>Predbežne rezervovaný</x:v>
      </x:c>
      <x:c r="Y1486" s="11" t="str">
        <x:v>https://milrose.sk/byt/byt-c15-04/</x:v>
      </x:c>
      <x:c r="Z1486" s="11" t="n">
        <x:v>46252.68496519676</x:v>
      </x:c>
      <x:c r="AA1486" s="11" t="n">
        <x:v>46254.51251577547</x:v>
      </x:c>
      <x:c r="AB1486" s="11" t="n">
        <x:v>46254.51251577547</x:v>
      </x:c>
      <x:c r="AC1486" t="str">
        <x:v>milrose</x:v>
      </x:c>
    </x:row>
    <x:row r="1487" ht="22" customHeight="1">
      <x:c r="A1487" t="str">
        <x:v>Milrose</x:v>
      </x:c>
      <x:c r="B1487" t="str">
        <x:v>C15.06</x:v>
      </x:c>
      <x:c r="C1487" t="str">
        <x:v>available</x:v>
      </x:c>
      <x:c r="D1487" t="str">
        <x:v>present</x:v>
      </x:c>
      <x:c r="E1487" t="str">
        <x:v>baseline</x:v>
      </x:c>
      <x:c r="F1487" s="11" t="n">
        <x:v>46252.68496519676</x:v>
      </x:c>
      <x:c r="G1487" t="str">
        <x:v>byt</x:v>
      </x:c>
      <x:c r="H1487" s="12" t="n">
        <x:v>3</x:v>
      </x:c>
      <x:c r="I1487" s="13" t="n">
        <x:v>15</x:v>
      </x:c>
      <x:c r="J1487" t="str">
        <x:v>C</x:v>
      </x:c>
      <x:c r="K1487" s="14"/>
      <x:c r="L1487" s="14"/>
      <x:c r="M1487" s="14"/>
      <x:c r="N1487" s="14"/>
      <x:c r="O1487" s="14"/>
      <x:c r="P1487" s="14"/>
      <x:c r="Q1487" s="14" t="n">
        <x:v>72.18</x:v>
      </x:c>
      <x:c r="R1487" s="15" t="n">
        <x:v>465700</x:v>
      </x:c>
      <x:c r="S1487" s="15" t="n">
        <x:v>465700</x:v>
      </x:c>
      <x:c r="T1487" s="15"/>
      <x:c r="U1487" s="16"/>
      <x:c r="V1487" t="str">
        <x:v>INTRADE Group</x:v>
      </x:c>
      <x:c r="W1487" t="str">
        <x:v>Ružinov</x:v>
      </x:c>
      <x:c r="X1487" s="11" t="str">
        <x:v>Voľný</x:v>
      </x:c>
      <x:c r="Y1487" s="11" t="str">
        <x:v>https://milrose.sk/byt/byt-c15-06/</x:v>
      </x:c>
      <x:c r="Z1487" s="11" t="n">
        <x:v>46252.68496519676</x:v>
      </x:c>
      <x:c r="AA1487" s="11" t="n">
        <x:v>46254.51251577547</x:v>
      </x:c>
      <x:c r="AB1487" s="11" t="n">
        <x:v>46254.51251577547</x:v>
      </x:c>
      <x:c r="AC1487" t="str">
        <x:v>milrose</x:v>
      </x:c>
    </x:row>
    <x:row r="1488" ht="22" customHeight="1">
      <x:c r="A1488" t="str">
        <x:v>Milrose</x:v>
      </x:c>
      <x:c r="B1488" t="str">
        <x:v>C16.02</x:v>
      </x:c>
      <x:c r="C1488" t="str">
        <x:v>available</x:v>
      </x:c>
      <x:c r="D1488" t="str">
        <x:v>present</x:v>
      </x:c>
      <x:c r="E1488" t="str">
        <x:v>baseline</x:v>
      </x:c>
      <x:c r="F1488" s="11" t="n">
        <x:v>46252.68496519676</x:v>
      </x:c>
      <x:c r="G1488" t="str">
        <x:v>byt</x:v>
      </x:c>
      <x:c r="H1488" s="12" t="n">
        <x:v>2</x:v>
      </x:c>
      <x:c r="I1488" s="13" t="n">
        <x:v>16</x:v>
      </x:c>
      <x:c r="J1488" t="str">
        <x:v>C</x:v>
      </x:c>
      <x:c r="K1488" s="14"/>
      <x:c r="L1488" s="14"/>
      <x:c r="M1488" s="14"/>
      <x:c r="N1488" s="14"/>
      <x:c r="O1488" s="14"/>
      <x:c r="P1488" s="14"/>
      <x:c r="Q1488" s="14" t="n">
        <x:v>51.28</x:v>
      </x:c>
      <x:c r="R1488" s="15" t="n">
        <x:v>332300</x:v>
      </x:c>
      <x:c r="S1488" s="15" t="n">
        <x:v>332300</x:v>
      </x:c>
      <x:c r="T1488" s="15"/>
      <x:c r="U1488" s="16"/>
      <x:c r="V1488" t="str">
        <x:v>INTRADE Group</x:v>
      </x:c>
      <x:c r="W1488" t="str">
        <x:v>Ružinov</x:v>
      </x:c>
      <x:c r="X1488" s="11" t="str">
        <x:v>Voľný</x:v>
      </x:c>
      <x:c r="Y1488" s="11" t="str">
        <x:v>https://milrose.sk/byt/byt-c16-02/</x:v>
      </x:c>
      <x:c r="Z1488" s="11" t="n">
        <x:v>46252.68496519676</x:v>
      </x:c>
      <x:c r="AA1488" s="11" t="n">
        <x:v>46254.51251577547</x:v>
      </x:c>
      <x:c r="AB1488" s="11" t="n">
        <x:v>46254.51251577547</x:v>
      </x:c>
      <x:c r="AC1488" t="str">
        <x:v>milrose</x:v>
      </x:c>
    </x:row>
    <x:row r="1489" ht="22" customHeight="1">
      <x:c r="A1489" t="str">
        <x:v>Milrose</x:v>
      </x:c>
      <x:c r="B1489" t="str">
        <x:v>C16.03</x:v>
      </x:c>
      <x:c r="C1489" t="str">
        <x:v>sold</x:v>
      </x:c>
      <x:c r="D1489" t="str">
        <x:v>present</x:v>
      </x:c>
      <x:c r="E1489" t="str">
        <x:v>baseline</x:v>
      </x:c>
      <x:c r="F1489" s="11" t="n">
        <x:v>46252.68496519676</x:v>
      </x:c>
      <x:c r="G1489" t="str">
        <x:v>byt</x:v>
      </x:c>
      <x:c r="H1489" s="12" t="n">
        <x:v>3</x:v>
      </x:c>
      <x:c r="I1489" s="13" t="n">
        <x:v>16</x:v>
      </x:c>
      <x:c r="J1489" t="str">
        <x:v>C</x:v>
      </x:c>
      <x:c r="K1489" s="14"/>
      <x:c r="L1489" s="14"/>
      <x:c r="M1489" s="14"/>
      <x:c r="N1489" s="14"/>
      <x:c r="O1489" s="14"/>
      <x:c r="P1489" s="14"/>
      <x:c r="Q1489" s="14" t="n">
        <x:v>73.31</x:v>
      </x:c>
      <x:c r="R1489" s="15" t="n">
        <x:v>493400</x:v>
      </x:c>
      <x:c r="S1489" s="15" t="n">
        <x:v>493400</x:v>
      </x:c>
      <x:c r="T1489" s="15"/>
      <x:c r="U1489" s="16"/>
      <x:c r="V1489" t="str">
        <x:v>INTRADE Group</x:v>
      </x:c>
      <x:c r="W1489" t="str">
        <x:v>Ružinov</x:v>
      </x:c>
      <x:c r="X1489" s="11" t="str">
        <x:v>Predaný</x:v>
      </x:c>
      <x:c r="Y1489" s="11" t="str">
        <x:v>https://milrose.sk/byt/byt-c16-03/</x:v>
      </x:c>
      <x:c r="Z1489" s="11" t="n">
        <x:v>46252.68496519676</x:v>
      </x:c>
      <x:c r="AA1489" s="11" t="n">
        <x:v>46254.51251577547</x:v>
      </x:c>
      <x:c r="AB1489" s="11" t="n">
        <x:v>46254.51251577547</x:v>
      </x:c>
      <x:c r="AC1489" t="str">
        <x:v>milrose</x:v>
      </x:c>
    </x:row>
    <x:row r="1490" ht="22" customHeight="1">
      <x:c r="A1490" t="str">
        <x:v>Milrose</x:v>
      </x:c>
      <x:c r="B1490" t="str">
        <x:v>C16.04</x:v>
      </x:c>
      <x:c r="C1490" t="str">
        <x:v>pre_reserved</x:v>
      </x:c>
      <x:c r="D1490" t="str">
        <x:v>present</x:v>
      </x:c>
      <x:c r="E1490" t="str">
        <x:v>baseline</x:v>
      </x:c>
      <x:c r="F1490" s="11" t="n">
        <x:v>46252.68496519676</x:v>
      </x:c>
      <x:c r="G1490" t="str">
        <x:v>byt</x:v>
      </x:c>
      <x:c r="H1490" s="12" t="n">
        <x:v>2</x:v>
      </x:c>
      <x:c r="I1490" s="13" t="n">
        <x:v>16</x:v>
      </x:c>
      <x:c r="J1490" t="str">
        <x:v>C</x:v>
      </x:c>
      <x:c r="K1490" s="14"/>
      <x:c r="L1490" s="14"/>
      <x:c r="M1490" s="14"/>
      <x:c r="N1490" s="14"/>
      <x:c r="O1490" s="14"/>
      <x:c r="P1490" s="14"/>
      <x:c r="Q1490" s="14" t="n">
        <x:v>50.88</x:v>
      </x:c>
      <x:c r="R1490" s="15" t="n">
        <x:v>346900</x:v>
      </x:c>
      <x:c r="S1490" s="15" t="n">
        <x:v>346900</x:v>
      </x:c>
      <x:c r="T1490" s="15"/>
      <x:c r="U1490" s="16"/>
      <x:c r="V1490" t="str">
        <x:v>INTRADE Group</x:v>
      </x:c>
      <x:c r="W1490" t="str">
        <x:v>Ružinov</x:v>
      </x:c>
      <x:c r="X1490" s="11" t="str">
        <x:v>Predbežne rezervovaný</x:v>
      </x:c>
      <x:c r="Y1490" s="11" t="str">
        <x:v>https://milrose.sk/byt/byt-c16-04/</x:v>
      </x:c>
      <x:c r="Z1490" s="11" t="n">
        <x:v>46252.68496519676</x:v>
      </x:c>
      <x:c r="AA1490" s="11" t="n">
        <x:v>46254.51251577547</x:v>
      </x:c>
      <x:c r="AB1490" s="11" t="n">
        <x:v>46254.51251577547</x:v>
      </x:c>
      <x:c r="AC1490" t="str">
        <x:v>milrose</x:v>
      </x:c>
    </x:row>
    <x:row r="1491" ht="22" customHeight="1">
      <x:c r="A1491" t="str">
        <x:v>Milrose</x:v>
      </x:c>
      <x:c r="B1491" t="str">
        <x:v>C16.05</x:v>
      </x:c>
      <x:c r="C1491" t="str">
        <x:v>available</x:v>
      </x:c>
      <x:c r="D1491" t="str">
        <x:v>present</x:v>
      </x:c>
      <x:c r="E1491" t="str">
        <x:v>baseline</x:v>
      </x:c>
      <x:c r="F1491" s="11" t="n">
        <x:v>46252.68496519676</x:v>
      </x:c>
      <x:c r="G1491" t="str">
        <x:v>byt</x:v>
      </x:c>
      <x:c r="H1491" s="12" t="n">
        <x:v>4</x:v>
      </x:c>
      <x:c r="I1491" s="13" t="n">
        <x:v>16</x:v>
      </x:c>
      <x:c r="J1491" t="str">
        <x:v>C</x:v>
      </x:c>
      <x:c r="K1491" s="14"/>
      <x:c r="L1491" s="14"/>
      <x:c r="M1491" s="14"/>
      <x:c r="N1491" s="14"/>
      <x:c r="O1491" s="14"/>
      <x:c r="P1491" s="14"/>
      <x:c r="Q1491" s="14" t="n">
        <x:v>101.27</x:v>
      </x:c>
      <x:c r="R1491" s="15" t="n">
        <x:v>697000</x:v>
      </x:c>
      <x:c r="S1491" s="15" t="n">
        <x:v>697000</x:v>
      </x:c>
      <x:c r="T1491" s="15"/>
      <x:c r="U1491" s="16"/>
      <x:c r="V1491" t="str">
        <x:v>INTRADE Group</x:v>
      </x:c>
      <x:c r="W1491" t="str">
        <x:v>Ružinov</x:v>
      </x:c>
      <x:c r="X1491" s="11" t="str">
        <x:v>Voľný</x:v>
      </x:c>
      <x:c r="Y1491" s="11" t="str">
        <x:v>https://milrose.sk/byt/byt-c16-05/</x:v>
      </x:c>
      <x:c r="Z1491" s="11" t="n">
        <x:v>46252.68496519676</x:v>
      </x:c>
      <x:c r="AA1491" s="11" t="n">
        <x:v>46254.51251577547</x:v>
      </x:c>
      <x:c r="AB1491" s="11" t="n">
        <x:v>46254.51251577547</x:v>
      </x:c>
      <x:c r="AC1491" t="str">
        <x:v>milrose</x:v>
      </x:c>
    </x:row>
    <x:row r="1492" ht="22" customHeight="1">
      <x:c r="A1492" t="str">
        <x:v>Milrose</x:v>
      </x:c>
      <x:c r="B1492" t="str">
        <x:v>C16.06</x:v>
      </x:c>
      <x:c r="C1492" t="str">
        <x:v>available</x:v>
      </x:c>
      <x:c r="D1492" t="str">
        <x:v>present</x:v>
      </x:c>
      <x:c r="E1492" t="str">
        <x:v>baseline</x:v>
      </x:c>
      <x:c r="F1492" s="11" t="n">
        <x:v>46252.68496519676</x:v>
      </x:c>
      <x:c r="G1492" t="str">
        <x:v>byt</x:v>
      </x:c>
      <x:c r="H1492" s="12" t="n">
        <x:v>3</x:v>
      </x:c>
      <x:c r="I1492" s="13" t="n">
        <x:v>16</x:v>
      </x:c>
      <x:c r="J1492" t="str">
        <x:v>C</x:v>
      </x:c>
      <x:c r="K1492" s="14"/>
      <x:c r="L1492" s="14"/>
      <x:c r="M1492" s="14"/>
      <x:c r="N1492" s="14"/>
      <x:c r="O1492" s="14"/>
      <x:c r="P1492" s="14"/>
      <x:c r="Q1492" s="14" t="n">
        <x:v>72.03</x:v>
      </x:c>
      <x:c r="R1492" s="15" t="n">
        <x:v>465900</x:v>
      </x:c>
      <x:c r="S1492" s="15" t="n">
        <x:v>465900</x:v>
      </x:c>
      <x:c r="T1492" s="15"/>
      <x:c r="U1492" s="16"/>
      <x:c r="V1492" t="str">
        <x:v>INTRADE Group</x:v>
      </x:c>
      <x:c r="W1492" t="str">
        <x:v>Ružinov</x:v>
      </x:c>
      <x:c r="X1492" s="11" t="str">
        <x:v>Voľný</x:v>
      </x:c>
      <x:c r="Y1492" s="11" t="str">
        <x:v>https://milrose.sk/byt/byt-c16-06/</x:v>
      </x:c>
      <x:c r="Z1492" s="11" t="n">
        <x:v>46252.68496519676</x:v>
      </x:c>
      <x:c r="AA1492" s="11" t="n">
        <x:v>46254.51251577547</x:v>
      </x:c>
      <x:c r="AB1492" s="11" t="n">
        <x:v>46254.51251577547</x:v>
      </x:c>
      <x:c r="AC1492" t="str">
        <x:v>milrose</x:v>
      </x:c>
    </x:row>
    <x:row r="1493" ht="22" customHeight="1">
      <x:c r="A1493" t="str">
        <x:v>Milrose</x:v>
      </x:c>
      <x:c r="B1493" t="str">
        <x:v>C17.02</x:v>
      </x:c>
      <x:c r="C1493" t="str">
        <x:v>available</x:v>
      </x:c>
      <x:c r="D1493" t="str">
        <x:v>present</x:v>
      </x:c>
      <x:c r="E1493" t="str">
        <x:v>baseline</x:v>
      </x:c>
      <x:c r="F1493" s="11" t="n">
        <x:v>46252.68496519676</x:v>
      </x:c>
      <x:c r="G1493" t="str">
        <x:v>byt</x:v>
      </x:c>
      <x:c r="H1493" s="12" t="n">
        <x:v>2</x:v>
      </x:c>
      <x:c r="I1493" s="13" t="n">
        <x:v>17</x:v>
      </x:c>
      <x:c r="J1493" t="str">
        <x:v>C</x:v>
      </x:c>
      <x:c r="K1493" s="14"/>
      <x:c r="L1493" s="14"/>
      <x:c r="M1493" s="14"/>
      <x:c r="N1493" s="14"/>
      <x:c r="O1493" s="14"/>
      <x:c r="P1493" s="14"/>
      <x:c r="Q1493" s="14" t="n">
        <x:v>51.48</x:v>
      </x:c>
      <x:c r="R1493" s="15" t="n">
        <x:v>343400</x:v>
      </x:c>
      <x:c r="S1493" s="15" t="n">
        <x:v>343400</x:v>
      </x:c>
      <x:c r="T1493" s="15"/>
      <x:c r="U1493" s="16"/>
      <x:c r="V1493" t="str">
        <x:v>INTRADE Group</x:v>
      </x:c>
      <x:c r="W1493" t="str">
        <x:v>Ružinov</x:v>
      </x:c>
      <x:c r="X1493" s="11" t="str">
        <x:v>Voľný</x:v>
      </x:c>
      <x:c r="Y1493" s="11" t="str">
        <x:v>https://milrose.sk/byt/byt-c17-02/</x:v>
      </x:c>
      <x:c r="Z1493" s="11" t="n">
        <x:v>46252.68496519676</x:v>
      </x:c>
      <x:c r="AA1493" s="11" t="n">
        <x:v>46254.51251577547</x:v>
      </x:c>
      <x:c r="AB1493" s="11" t="n">
        <x:v>46254.51251577547</x:v>
      </x:c>
      <x:c r="AC1493" t="str">
        <x:v>milrose</x:v>
      </x:c>
    </x:row>
    <x:row r="1494" ht="22" customHeight="1">
      <x:c r="A1494" t="str">
        <x:v>Milrose</x:v>
      </x:c>
      <x:c r="B1494" t="str">
        <x:v>C17.03</x:v>
      </x:c>
      <x:c r="C1494" t="str">
        <x:v>available</x:v>
      </x:c>
      <x:c r="D1494" t="str">
        <x:v>present</x:v>
      </x:c>
      <x:c r="E1494" t="str">
        <x:v>baseline</x:v>
      </x:c>
      <x:c r="F1494" s="11" t="n">
        <x:v>46252.68496519676</x:v>
      </x:c>
      <x:c r="G1494" t="str">
        <x:v>byt</x:v>
      </x:c>
      <x:c r="H1494" s="12" t="n">
        <x:v>3</x:v>
      </x:c>
      <x:c r="I1494" s="13" t="n">
        <x:v>17</x:v>
      </x:c>
      <x:c r="J1494" t="str">
        <x:v>C</x:v>
      </x:c>
      <x:c r="K1494" s="14"/>
      <x:c r="L1494" s="14"/>
      <x:c r="M1494" s="14"/>
      <x:c r="N1494" s="14"/>
      <x:c r="O1494" s="14"/>
      <x:c r="P1494" s="14"/>
      <x:c r="Q1494" s="14" t="n">
        <x:v>73.11</x:v>
      </x:c>
      <x:c r="R1494" s="15" t="n">
        <x:v>497800</x:v>
      </x:c>
      <x:c r="S1494" s="15" t="n">
        <x:v>497800</x:v>
      </x:c>
      <x:c r="T1494" s="15"/>
      <x:c r="U1494" s="16"/>
      <x:c r="V1494" t="str">
        <x:v>INTRADE Group</x:v>
      </x:c>
      <x:c r="W1494" t="str">
        <x:v>Ružinov</x:v>
      </x:c>
      <x:c r="X1494" s="11" t="str">
        <x:v>Voľný</x:v>
      </x:c>
      <x:c r="Y1494" s="11" t="str">
        <x:v>https://milrose.sk/byt/byt-c17-03/</x:v>
      </x:c>
      <x:c r="Z1494" s="11" t="n">
        <x:v>46252.68496519676</x:v>
      </x:c>
      <x:c r="AA1494" s="11" t="n">
        <x:v>46254.51251577547</x:v>
      </x:c>
      <x:c r="AB1494" s="11" t="n">
        <x:v>46254.51251577547</x:v>
      </x:c>
      <x:c r="AC1494" t="str">
        <x:v>milrose</x:v>
      </x:c>
    </x:row>
    <x:row r="1495" ht="22" customHeight="1">
      <x:c r="A1495" t="str">
        <x:v>Milrose</x:v>
      </x:c>
      <x:c r="B1495" t="str">
        <x:v>C17.04</x:v>
      </x:c>
      <x:c r="C1495" t="str">
        <x:v>sold</x:v>
      </x:c>
      <x:c r="D1495" t="str">
        <x:v>present</x:v>
      </x:c>
      <x:c r="E1495" t="str">
        <x:v>baseline</x:v>
      </x:c>
      <x:c r="F1495" s="11" t="n">
        <x:v>46252.68496519676</x:v>
      </x:c>
      <x:c r="G1495" t="str">
        <x:v>byt</x:v>
      </x:c>
      <x:c r="H1495" s="12" t="n">
        <x:v>2</x:v>
      </x:c>
      <x:c r="I1495" s="13" t="n">
        <x:v>17</x:v>
      </x:c>
      <x:c r="J1495" t="str">
        <x:v>C</x:v>
      </x:c>
      <x:c r="K1495" s="14"/>
      <x:c r="L1495" s="14"/>
      <x:c r="M1495" s="14"/>
      <x:c r="N1495" s="14"/>
      <x:c r="O1495" s="14"/>
      <x:c r="P1495" s="14"/>
      <x:c r="Q1495" s="14" t="n">
        <x:v>50.75</x:v>
      </x:c>
      <x:c r="R1495" s="15" t="n">
        <x:v>349800</x:v>
      </x:c>
      <x:c r="S1495" s="15" t="n">
        <x:v>349800</x:v>
      </x:c>
      <x:c r="T1495" s="15"/>
      <x:c r="U1495" s="16"/>
      <x:c r="V1495" t="str">
        <x:v>INTRADE Group</x:v>
      </x:c>
      <x:c r="W1495" t="str">
        <x:v>Ružinov</x:v>
      </x:c>
      <x:c r="X1495" s="11" t="str">
        <x:v>Predaný</x:v>
      </x:c>
      <x:c r="Y1495" s="11" t="str">
        <x:v>https://milrose.sk/byt/byt-c17-04/</x:v>
      </x:c>
      <x:c r="Z1495" s="11" t="n">
        <x:v>46252.68496519676</x:v>
      </x:c>
      <x:c r="AA1495" s="11" t="n">
        <x:v>46254.51251577547</x:v>
      </x:c>
      <x:c r="AB1495" s="11" t="n">
        <x:v>46254.51251577547</x:v>
      </x:c>
      <x:c r="AC1495" t="str">
        <x:v>milrose</x:v>
      </x:c>
    </x:row>
    <x:row r="1496" ht="22" customHeight="1">
      <x:c r="A1496" t="str">
        <x:v>Milrose</x:v>
      </x:c>
      <x:c r="B1496" t="str">
        <x:v>C17.05</x:v>
      </x:c>
      <x:c r="C1496" t="str">
        <x:v>sold</x:v>
      </x:c>
      <x:c r="D1496" t="str">
        <x:v>present</x:v>
      </x:c>
      <x:c r="E1496" t="str">
        <x:v>baseline</x:v>
      </x:c>
      <x:c r="F1496" s="11" t="n">
        <x:v>46252.68496519676</x:v>
      </x:c>
      <x:c r="G1496" t="str">
        <x:v>byt</x:v>
      </x:c>
      <x:c r="H1496" s="12" t="n">
        <x:v>4</x:v>
      </x:c>
      <x:c r="I1496" s="13" t="n">
        <x:v>17</x:v>
      </x:c>
      <x:c r="J1496" t="str">
        <x:v>C</x:v>
      </x:c>
      <x:c r="K1496" s="14"/>
      <x:c r="L1496" s="14"/>
      <x:c r="M1496" s="14"/>
      <x:c r="N1496" s="14"/>
      <x:c r="O1496" s="14"/>
      <x:c r="P1496" s="14"/>
      <x:c r="Q1496" s="14" t="n">
        <x:v>101.56</x:v>
      </x:c>
      <x:c r="R1496" s="15" t="n">
        <x:v>673000</x:v>
      </x:c>
      <x:c r="S1496" s="15" t="n">
        <x:v>673000</x:v>
      </x:c>
      <x:c r="T1496" s="15"/>
      <x:c r="U1496" s="16"/>
      <x:c r="V1496" t="str">
        <x:v>INTRADE Group</x:v>
      </x:c>
      <x:c r="W1496" t="str">
        <x:v>Ružinov</x:v>
      </x:c>
      <x:c r="X1496" s="11" t="str">
        <x:v>Predaný</x:v>
      </x:c>
      <x:c r="Y1496" s="11" t="str">
        <x:v>https://milrose.sk/byt/byt-c17-05/</x:v>
      </x:c>
      <x:c r="Z1496" s="11" t="n">
        <x:v>46252.68496519676</x:v>
      </x:c>
      <x:c r="AA1496" s="11" t="n">
        <x:v>46254.51251577547</x:v>
      </x:c>
      <x:c r="AB1496" s="11" t="n">
        <x:v>46254.51251577547</x:v>
      </x:c>
      <x:c r="AC1496" t="str">
        <x:v>milrose</x:v>
      </x:c>
    </x:row>
    <x:row r="1497" ht="22" customHeight="1">
      <x:c r="A1497" t="str">
        <x:v>Milrose</x:v>
      </x:c>
      <x:c r="B1497" t="str">
        <x:v>C17.06</x:v>
      </x:c>
      <x:c r="C1497" t="str">
        <x:v>sold</x:v>
      </x:c>
      <x:c r="D1497" t="str">
        <x:v>present</x:v>
      </x:c>
      <x:c r="E1497" t="str">
        <x:v>baseline</x:v>
      </x:c>
      <x:c r="F1497" s="11" t="n">
        <x:v>46252.68496519676</x:v>
      </x:c>
      <x:c r="G1497" t="str">
        <x:v>byt</x:v>
      </x:c>
      <x:c r="H1497" s="12" t="n">
        <x:v>3</x:v>
      </x:c>
      <x:c r="I1497" s="13" t="n">
        <x:v>17</x:v>
      </x:c>
      <x:c r="J1497" t="str">
        <x:v>C</x:v>
      </x:c>
      <x:c r="K1497" s="14"/>
      <x:c r="L1497" s="14"/>
      <x:c r="M1497" s="14"/>
      <x:c r="N1497" s="14"/>
      <x:c r="O1497" s="14"/>
      <x:c r="P1497" s="14"/>
      <x:c r="Q1497" s="14" t="n">
        <x:v>71.66</x:v>
      </x:c>
      <x:c r="R1497" s="15" t="n">
        <x:v>453600</x:v>
      </x:c>
      <x:c r="S1497" s="15" t="n">
        <x:v>453600</x:v>
      </x:c>
      <x:c r="T1497" s="15"/>
      <x:c r="U1497" s="16"/>
      <x:c r="V1497" t="str">
        <x:v>INTRADE Group</x:v>
      </x:c>
      <x:c r="W1497" t="str">
        <x:v>Ružinov</x:v>
      </x:c>
      <x:c r="X1497" s="11" t="str">
        <x:v>Predaný</x:v>
      </x:c>
      <x:c r="Y1497" s="11" t="str">
        <x:v>https://milrose.sk/byt/byt-c17-06/</x:v>
      </x:c>
      <x:c r="Z1497" s="11" t="n">
        <x:v>46252.68496519676</x:v>
      </x:c>
      <x:c r="AA1497" s="11" t="n">
        <x:v>46254.51251577547</x:v>
      </x:c>
      <x:c r="AB1497" s="11" t="n">
        <x:v>46254.51251577547</x:v>
      </x:c>
      <x:c r="AC1497" t="str">
        <x:v>milrose</x:v>
      </x:c>
    </x:row>
    <x:row r="1498" ht="22" customHeight="1">
      <x:c r="A1498" t="str">
        <x:v>Milrose</x:v>
      </x:c>
      <x:c r="B1498" t="str">
        <x:v>C18.02</x:v>
      </x:c>
      <x:c r="C1498" t="str">
        <x:v>available</x:v>
      </x:c>
      <x:c r="D1498" t="str">
        <x:v>present</x:v>
      </x:c>
      <x:c r="E1498" t="str">
        <x:v>baseline</x:v>
      </x:c>
      <x:c r="F1498" s="11" t="n">
        <x:v>46252.68496519676</x:v>
      </x:c>
      <x:c r="G1498" t="str">
        <x:v>byt</x:v>
      </x:c>
      <x:c r="H1498" s="12" t="n">
        <x:v>2</x:v>
      </x:c>
      <x:c r="I1498" s="13" t="n">
        <x:v>18</x:v>
      </x:c>
      <x:c r="J1498" t="str">
        <x:v>C</x:v>
      </x:c>
      <x:c r="K1498" s="14"/>
      <x:c r="L1498" s="14"/>
      <x:c r="M1498" s="14"/>
      <x:c r="N1498" s="14"/>
      <x:c r="O1498" s="14"/>
      <x:c r="P1498" s="14"/>
      <x:c r="Q1498" s="14" t="n">
        <x:v>51.65</x:v>
      </x:c>
      <x:c r="R1498" s="15" t="n">
        <x:v>350900</x:v>
      </x:c>
      <x:c r="S1498" s="15" t="n">
        <x:v>350900</x:v>
      </x:c>
      <x:c r="T1498" s="15"/>
      <x:c r="U1498" s="16"/>
      <x:c r="V1498" t="str">
        <x:v>INTRADE Group</x:v>
      </x:c>
      <x:c r="W1498" t="str">
        <x:v>Ružinov</x:v>
      </x:c>
      <x:c r="X1498" s="11" t="str">
        <x:v>Voľný</x:v>
      </x:c>
      <x:c r="Y1498" s="11" t="str">
        <x:v>https://milrose.sk/byt/byt-c18-02/</x:v>
      </x:c>
      <x:c r="Z1498" s="11" t="n">
        <x:v>46252.68496519676</x:v>
      </x:c>
      <x:c r="AA1498" s="11" t="n">
        <x:v>46254.51251577547</x:v>
      </x:c>
      <x:c r="AB1498" s="11" t="n">
        <x:v>46254.51251577547</x:v>
      </x:c>
      <x:c r="AC1498" t="str">
        <x:v>milrose</x:v>
      </x:c>
    </x:row>
    <x:row r="1499" ht="22" customHeight="1">
      <x:c r="A1499" t="str">
        <x:v>Milrose</x:v>
      </x:c>
      <x:c r="B1499" t="str">
        <x:v>C18.03</x:v>
      </x:c>
      <x:c r="C1499" t="str">
        <x:v>sold</x:v>
      </x:c>
      <x:c r="D1499" t="str">
        <x:v>present</x:v>
      </x:c>
      <x:c r="E1499" t="str">
        <x:v>baseline</x:v>
      </x:c>
      <x:c r="F1499" s="11" t="n">
        <x:v>46252.68496519676</x:v>
      </x:c>
      <x:c r="G1499" t="str">
        <x:v>byt</x:v>
      </x:c>
      <x:c r="H1499" s="12" t="n">
        <x:v>3</x:v>
      </x:c>
      <x:c r="I1499" s="13" t="n">
        <x:v>18</x:v>
      </x:c>
      <x:c r="J1499" t="str">
        <x:v>C</x:v>
      </x:c>
      <x:c r="K1499" s="14"/>
      <x:c r="L1499" s="14"/>
      <x:c r="M1499" s="14"/>
      <x:c r="N1499" s="14"/>
      <x:c r="O1499" s="14"/>
      <x:c r="P1499" s="14"/>
      <x:c r="Q1499" s="14" t="n">
        <x:v>73.11</x:v>
      </x:c>
      <x:c r="R1499" s="15" t="n">
        <x:v>499900</x:v>
      </x:c>
      <x:c r="S1499" s="15" t="n">
        <x:v>499900</x:v>
      </x:c>
      <x:c r="T1499" s="15"/>
      <x:c r="U1499" s="16"/>
      <x:c r="V1499" t="str">
        <x:v>INTRADE Group</x:v>
      </x:c>
      <x:c r="W1499" t="str">
        <x:v>Ružinov</x:v>
      </x:c>
      <x:c r="X1499" s="11" t="str">
        <x:v>Predaný</x:v>
      </x:c>
      <x:c r="Y1499" s="11" t="str">
        <x:v>https://milrose.sk/byt/byt-c18-03/</x:v>
      </x:c>
      <x:c r="Z1499" s="11" t="n">
        <x:v>46252.68496519676</x:v>
      </x:c>
      <x:c r="AA1499" s="11" t="n">
        <x:v>46254.51251577547</x:v>
      </x:c>
      <x:c r="AB1499" s="11" t="n">
        <x:v>46254.51251577547</x:v>
      </x:c>
      <x:c r="AC1499" t="str">
        <x:v>milrose</x:v>
      </x:c>
    </x:row>
    <x:row r="1500" ht="22" customHeight="1">
      <x:c r="A1500" t="str">
        <x:v>Milrose</x:v>
      </x:c>
      <x:c r="B1500" t="str">
        <x:v>C18.04</x:v>
      </x:c>
      <x:c r="C1500" t="str">
        <x:v>sold</x:v>
      </x:c>
      <x:c r="D1500" t="str">
        <x:v>present</x:v>
      </x:c>
      <x:c r="E1500" t="str">
        <x:v>baseline</x:v>
      </x:c>
      <x:c r="F1500" s="11" t="n">
        <x:v>46252.68496519676</x:v>
      </x:c>
      <x:c r="G1500" t="str">
        <x:v>byt</x:v>
      </x:c>
      <x:c r="H1500" s="12" t="n">
        <x:v>2</x:v>
      </x:c>
      <x:c r="I1500" s="13" t="n">
        <x:v>18</x:v>
      </x:c>
      <x:c r="J1500" t="str">
        <x:v>C</x:v>
      </x:c>
      <x:c r="K1500" s="14"/>
      <x:c r="L1500" s="14"/>
      <x:c r="M1500" s="14"/>
      <x:c r="N1500" s="14"/>
      <x:c r="O1500" s="14"/>
      <x:c r="P1500" s="14"/>
      <x:c r="Q1500" s="14" t="n">
        <x:v>50.88</x:v>
      </x:c>
      <x:c r="R1500" s="15" t="n">
        <x:v>356500</x:v>
      </x:c>
      <x:c r="S1500" s="15" t="n">
        <x:v>356500</x:v>
      </x:c>
      <x:c r="T1500" s="15"/>
      <x:c r="U1500" s="16"/>
      <x:c r="V1500" t="str">
        <x:v>INTRADE Group</x:v>
      </x:c>
      <x:c r="W1500" t="str">
        <x:v>Ružinov</x:v>
      </x:c>
      <x:c r="X1500" s="11" t="str">
        <x:v>Predaný</x:v>
      </x:c>
      <x:c r="Y1500" s="11" t="str">
        <x:v>https://milrose.sk/byt/byt-c18-04/</x:v>
      </x:c>
      <x:c r="Z1500" s="11" t="n">
        <x:v>46252.68496519676</x:v>
      </x:c>
      <x:c r="AA1500" s="11" t="n">
        <x:v>46254.51251577547</x:v>
      </x:c>
      <x:c r="AB1500" s="11" t="n">
        <x:v>46254.51251577547</x:v>
      </x:c>
      <x:c r="AC1500" t="str">
        <x:v>milrose</x:v>
      </x:c>
    </x:row>
    <x:row r="1501" ht="22" customHeight="1">
      <x:c r="A1501" t="str">
        <x:v>Milrose</x:v>
      </x:c>
      <x:c r="B1501" t="str">
        <x:v>C18.05</x:v>
      </x:c>
      <x:c r="C1501" t="str">
        <x:v>pre_reserved</x:v>
      </x:c>
      <x:c r="D1501" t="str">
        <x:v>present</x:v>
      </x:c>
      <x:c r="E1501" t="str">
        <x:v>baseline</x:v>
      </x:c>
      <x:c r="F1501" s="11" t="n">
        <x:v>46252.68496519676</x:v>
      </x:c>
      <x:c r="G1501" t="str">
        <x:v>byt</x:v>
      </x:c>
      <x:c r="H1501" s="12" t="n">
        <x:v>4</x:v>
      </x:c>
      <x:c r="I1501" s="13" t="n">
        <x:v>18</x:v>
      </x:c>
      <x:c r="J1501" t="str">
        <x:v>C</x:v>
      </x:c>
      <x:c r="K1501" s="14"/>
      <x:c r="L1501" s="14"/>
      <x:c r="M1501" s="14"/>
      <x:c r="N1501" s="14"/>
      <x:c r="O1501" s="14"/>
      <x:c r="P1501" s="14"/>
      <x:c r="Q1501" s="14" t="n">
        <x:v>101.79</x:v>
      </x:c>
      <x:c r="R1501" s="15" t="n">
        <x:v>670100</x:v>
      </x:c>
      <x:c r="S1501" s="15" t="n">
        <x:v>670100</x:v>
      </x:c>
      <x:c r="T1501" s="15"/>
      <x:c r="U1501" s="16"/>
      <x:c r="V1501" t="str">
        <x:v>INTRADE Group</x:v>
      </x:c>
      <x:c r="W1501" t="str">
        <x:v>Ružinov</x:v>
      </x:c>
      <x:c r="X1501" s="11" t="str">
        <x:v>Predbežne rezervovaný</x:v>
      </x:c>
      <x:c r="Y1501" s="11" t="str">
        <x:v>https://milrose.sk/byt/byt-c18-05/</x:v>
      </x:c>
      <x:c r="Z1501" s="11" t="n">
        <x:v>46252.68496519676</x:v>
      </x:c>
      <x:c r="AA1501" s="11" t="n">
        <x:v>46254.51251577547</x:v>
      </x:c>
      <x:c r="AB1501" s="11" t="n">
        <x:v>46254.51251577547</x:v>
      </x:c>
      <x:c r="AC1501" t="str">
        <x:v>milrose</x:v>
      </x:c>
    </x:row>
    <x:row r="1502" ht="22" customHeight="1">
      <x:c r="A1502" t="str">
        <x:v>Milrose</x:v>
      </x:c>
      <x:c r="B1502" t="str">
        <x:v>C18.06</x:v>
      </x:c>
      <x:c r="C1502" t="str">
        <x:v>reserved</x:v>
      </x:c>
      <x:c r="D1502" t="str">
        <x:v>present</x:v>
      </x:c>
      <x:c r="E1502" t="str">
        <x:v>baseline</x:v>
      </x:c>
      <x:c r="F1502" s="11" t="n">
        <x:v>46252.68496519676</x:v>
      </x:c>
      <x:c r="G1502" t="str">
        <x:v>byt</x:v>
      </x:c>
      <x:c r="H1502" s="12" t="n">
        <x:v>3</x:v>
      </x:c>
      <x:c r="I1502" s="13" t="n">
        <x:v>18</x:v>
      </x:c>
      <x:c r="J1502" t="str">
        <x:v>C</x:v>
      </x:c>
      <x:c r="K1502" s="14"/>
      <x:c r="L1502" s="14"/>
      <x:c r="M1502" s="14"/>
      <x:c r="N1502" s="14"/>
      <x:c r="O1502" s="14"/>
      <x:c r="P1502" s="14"/>
      <x:c r="Q1502" s="14" t="n">
        <x:v>72.18</x:v>
      </x:c>
      <x:c r="R1502" s="15" t="n">
        <x:v>477700</x:v>
      </x:c>
      <x:c r="S1502" s="15" t="n">
        <x:v>477700</x:v>
      </x:c>
      <x:c r="T1502" s="15"/>
      <x:c r="U1502" s="16"/>
      <x:c r="V1502" t="str">
        <x:v>INTRADE Group</x:v>
      </x:c>
      <x:c r="W1502" t="str">
        <x:v>Ružinov</x:v>
      </x:c>
      <x:c r="X1502" s="11" t="str">
        <x:v>Rezervovaný</x:v>
      </x:c>
      <x:c r="Y1502" s="11" t="str">
        <x:v>https://milrose.sk/byt/byt-c18-06/</x:v>
      </x:c>
      <x:c r="Z1502" s="11" t="n">
        <x:v>46252.68496519676</x:v>
      </x:c>
      <x:c r="AA1502" s="11" t="n">
        <x:v>46254.51251577547</x:v>
      </x:c>
      <x:c r="AB1502" s="11" t="n">
        <x:v>46254.51251577547</x:v>
      </x:c>
      <x:c r="AC1502" t="str">
        <x:v>milrose</x:v>
      </x:c>
    </x:row>
    <x:row r="1503" ht="22" customHeight="1">
      <x:c r="A1503" t="str">
        <x:v>Milrose</x:v>
      </x:c>
      <x:c r="B1503" t="str">
        <x:v>C19.02</x:v>
      </x:c>
      <x:c r="C1503" t="str">
        <x:v>available</x:v>
      </x:c>
      <x:c r="D1503" t="str">
        <x:v>present</x:v>
      </x:c>
      <x:c r="E1503" t="str">
        <x:v>baseline</x:v>
      </x:c>
      <x:c r="F1503" s="11" t="n">
        <x:v>46252.68496519676</x:v>
      </x:c>
      <x:c r="G1503" t="str">
        <x:v>byt</x:v>
      </x:c>
      <x:c r="H1503" s="12" t="n">
        <x:v>2</x:v>
      </x:c>
      <x:c r="I1503" s="13" t="n">
        <x:v>19</x:v>
      </x:c>
      <x:c r="J1503" t="str">
        <x:v>C</x:v>
      </x:c>
      <x:c r="K1503" s="14"/>
      <x:c r="L1503" s="14"/>
      <x:c r="M1503" s="14"/>
      <x:c r="N1503" s="14"/>
      <x:c r="O1503" s="14"/>
      <x:c r="P1503" s="14"/>
      <x:c r="Q1503" s="14" t="n">
        <x:v>51.48</x:v>
      </x:c>
      <x:c r="R1503" s="15" t="n">
        <x:v>351300</x:v>
      </x:c>
      <x:c r="S1503" s="15" t="n">
        <x:v>351300</x:v>
      </x:c>
      <x:c r="T1503" s="15"/>
      <x:c r="U1503" s="16"/>
      <x:c r="V1503" t="str">
        <x:v>INTRADE Group</x:v>
      </x:c>
      <x:c r="W1503" t="str">
        <x:v>Ružinov</x:v>
      </x:c>
      <x:c r="X1503" s="11" t="str">
        <x:v>Voľný</x:v>
      </x:c>
      <x:c r="Y1503" s="11" t="str">
        <x:v>https://milrose.sk/byt/byt-c19-02/</x:v>
      </x:c>
      <x:c r="Z1503" s="11" t="n">
        <x:v>46252.68496519676</x:v>
      </x:c>
      <x:c r="AA1503" s="11" t="n">
        <x:v>46254.51251577547</x:v>
      </x:c>
      <x:c r="AB1503" s="11" t="n">
        <x:v>46254.51251577547</x:v>
      </x:c>
      <x:c r="AC1503" t="str">
        <x:v>milrose</x:v>
      </x:c>
    </x:row>
    <x:row r="1504" ht="22" customHeight="1">
      <x:c r="A1504" t="str">
        <x:v>Milrose</x:v>
      </x:c>
      <x:c r="B1504" t="str">
        <x:v>C19.03</x:v>
      </x:c>
      <x:c r="C1504" t="str">
        <x:v>available</x:v>
      </x:c>
      <x:c r="D1504" t="str">
        <x:v>present</x:v>
      </x:c>
      <x:c r="E1504" t="str">
        <x:v>baseline</x:v>
      </x:c>
      <x:c r="F1504" s="11" t="n">
        <x:v>46252.68496519676</x:v>
      </x:c>
      <x:c r="G1504" t="str">
        <x:v>byt</x:v>
      </x:c>
      <x:c r="H1504" s="12" t="n">
        <x:v>3</x:v>
      </x:c>
      <x:c r="I1504" s="13" t="n">
        <x:v>19</x:v>
      </x:c>
      <x:c r="J1504" t="str">
        <x:v>C</x:v>
      </x:c>
      <x:c r="K1504" s="14"/>
      <x:c r="L1504" s="14"/>
      <x:c r="M1504" s="14"/>
      <x:c r="N1504" s="14"/>
      <x:c r="O1504" s="14"/>
      <x:c r="P1504" s="14"/>
      <x:c r="Q1504" s="14" t="n">
        <x:v>73.27</x:v>
      </x:c>
      <x:c r="R1504" s="15" t="n">
        <x:v>498700</x:v>
      </x:c>
      <x:c r="S1504" s="15" t="n">
        <x:v>498700</x:v>
      </x:c>
      <x:c r="T1504" s="15"/>
      <x:c r="U1504" s="16"/>
      <x:c r="V1504" t="str">
        <x:v>INTRADE Group</x:v>
      </x:c>
      <x:c r="W1504" t="str">
        <x:v>Ružinov</x:v>
      </x:c>
      <x:c r="X1504" s="11" t="str">
        <x:v>Voľný</x:v>
      </x:c>
      <x:c r="Y1504" s="11" t="str">
        <x:v>https://milrose.sk/byt/byt-c19-03/</x:v>
      </x:c>
      <x:c r="Z1504" s="11" t="n">
        <x:v>46252.68496519676</x:v>
      </x:c>
      <x:c r="AA1504" s="11" t="n">
        <x:v>46254.51251577547</x:v>
      </x:c>
      <x:c r="AB1504" s="11" t="n">
        <x:v>46254.51251577547</x:v>
      </x:c>
      <x:c r="AC1504" t="str">
        <x:v>milrose</x:v>
      </x:c>
    </x:row>
    <x:row r="1505" ht="22" customHeight="1">
      <x:c r="A1505" t="str">
        <x:v>Milrose</x:v>
      </x:c>
      <x:c r="B1505" t="str">
        <x:v>C20.04</x:v>
      </x:c>
      <x:c r="C1505" t="str">
        <x:v>sold</x:v>
      </x:c>
      <x:c r="D1505" t="str">
        <x:v>present</x:v>
      </x:c>
      <x:c r="E1505" t="str">
        <x:v>baseline</x:v>
      </x:c>
      <x:c r="F1505" s="11" t="n">
        <x:v>46252.68496519676</x:v>
      </x:c>
      <x:c r="G1505" t="str">
        <x:v>byt</x:v>
      </x:c>
      <x:c r="H1505" s="12" t="n">
        <x:v>2</x:v>
      </x:c>
      <x:c r="I1505" s="13" t="n">
        <x:v>20</x:v>
      </x:c>
      <x:c r="J1505" t="str">
        <x:v>C</x:v>
      </x:c>
      <x:c r="K1505" s="14"/>
      <x:c r="L1505" s="14"/>
      <x:c r="M1505" s="14"/>
      <x:c r="N1505" s="14"/>
      <x:c r="O1505" s="14"/>
      <x:c r="P1505" s="14"/>
      <x:c r="Q1505" s="14" t="n">
        <x:v>50.88</x:v>
      </x:c>
      <x:c r="R1505" s="15" t="n">
        <x:v>366300</x:v>
      </x:c>
      <x:c r="S1505" s="15" t="n">
        <x:v>366300</x:v>
      </x:c>
      <x:c r="T1505" s="15"/>
      <x:c r="U1505" s="16"/>
      <x:c r="V1505" t="str">
        <x:v>INTRADE Group</x:v>
      </x:c>
      <x:c r="W1505" t="str">
        <x:v>Ružinov</x:v>
      </x:c>
      <x:c r="X1505" s="11" t="str">
        <x:v>Predaný</x:v>
      </x:c>
      <x:c r="Y1505" s="11" t="str">
        <x:v>https://milrose.sk/byt/byt-c20-04/</x:v>
      </x:c>
      <x:c r="Z1505" s="11" t="n">
        <x:v>46252.68496519676</x:v>
      </x:c>
      <x:c r="AA1505" s="11" t="n">
        <x:v>46254.51251577547</x:v>
      </x:c>
      <x:c r="AB1505" s="11" t="n">
        <x:v>46254.51251577547</x:v>
      </x:c>
      <x:c r="AC1505" t="str">
        <x:v>milrose</x:v>
      </x:c>
    </x:row>
    <x:row r="1506" ht="22" customHeight="1">
      <x:c r="A1506" t="str">
        <x:v>Milrose</x:v>
      </x:c>
      <x:c r="B1506" t="str">
        <x:v>C20.05</x:v>
      </x:c>
      <x:c r="C1506" t="str">
        <x:v>reserved</x:v>
      </x:c>
      <x:c r="D1506" t="str">
        <x:v>present</x:v>
      </x:c>
      <x:c r="E1506" t="str">
        <x:v>baseline</x:v>
      </x:c>
      <x:c r="F1506" s="11" t="n">
        <x:v>46252.68496519676</x:v>
      </x:c>
      <x:c r="G1506" t="str">
        <x:v>byt</x:v>
      </x:c>
      <x:c r="H1506" s="12" t="n">
        <x:v>4</x:v>
      </x:c>
      <x:c r="I1506" s="13" t="n">
        <x:v>20</x:v>
      </x:c>
      <x:c r="J1506" t="str">
        <x:v>C</x:v>
      </x:c>
      <x:c r="K1506" s="14"/>
      <x:c r="L1506" s="14"/>
      <x:c r="M1506" s="14"/>
      <x:c r="N1506" s="14"/>
      <x:c r="O1506" s="14"/>
      <x:c r="P1506" s="14"/>
      <x:c r="Q1506" s="14" t="n">
        <x:v>101.27</x:v>
      </x:c>
      <x:c r="R1506" s="15" t="n">
        <x:v>696800</x:v>
      </x:c>
      <x:c r="S1506" s="15" t="n">
        <x:v>696800</x:v>
      </x:c>
      <x:c r="T1506" s="15"/>
      <x:c r="U1506" s="16"/>
      <x:c r="V1506" t="str">
        <x:v>INTRADE Group</x:v>
      </x:c>
      <x:c r="W1506" t="str">
        <x:v>Ružinov</x:v>
      </x:c>
      <x:c r="X1506" s="11" t="str">
        <x:v>Rezervovaný</x:v>
      </x:c>
      <x:c r="Y1506" s="11" t="str">
        <x:v>https://milrose.sk/byt/byt-c20-05/</x:v>
      </x:c>
      <x:c r="Z1506" s="11" t="n">
        <x:v>46252.68496519676</x:v>
      </x:c>
      <x:c r="AA1506" s="11" t="n">
        <x:v>46254.51251577547</x:v>
      </x:c>
      <x:c r="AB1506" s="11" t="n">
        <x:v>46254.51251577547</x:v>
      </x:c>
      <x:c r="AC1506" t="str">
        <x:v>milrose</x:v>
      </x:c>
    </x:row>
    <x:row r="1507" ht="22" customHeight="1">
      <x:c r="A1507" t="str">
        <x:v>Milrose</x:v>
      </x:c>
      <x:c r="B1507" t="str">
        <x:v>C20.06</x:v>
      </x:c>
      <x:c r="C1507" t="str">
        <x:v>available</x:v>
      </x:c>
      <x:c r="D1507" t="str">
        <x:v>present</x:v>
      </x:c>
      <x:c r="E1507" t="str">
        <x:v>baseline</x:v>
      </x:c>
      <x:c r="F1507" s="11" t="n">
        <x:v>46252.68496519676</x:v>
      </x:c>
      <x:c r="G1507" t="str">
        <x:v>byt</x:v>
      </x:c>
      <x:c r="H1507" s="12" t="n">
        <x:v>3</x:v>
      </x:c>
      <x:c r="I1507" s="13" t="n">
        <x:v>20</x:v>
      </x:c>
      <x:c r="J1507" t="str">
        <x:v>C</x:v>
      </x:c>
      <x:c r="K1507" s="14"/>
      <x:c r="L1507" s="14"/>
      <x:c r="M1507" s="14"/>
      <x:c r="N1507" s="14"/>
      <x:c r="O1507" s="14"/>
      <x:c r="P1507" s="14"/>
      <x:c r="Q1507" s="14" t="n">
        <x:v>72.03</x:v>
      </x:c>
      <x:c r="R1507" s="15" t="n">
        <x:v>489700</x:v>
      </x:c>
      <x:c r="S1507" s="15" t="n">
        <x:v>489700</x:v>
      </x:c>
      <x:c r="T1507" s="15"/>
      <x:c r="U1507" s="16"/>
      <x:c r="V1507" t="str">
        <x:v>INTRADE Group</x:v>
      </x:c>
      <x:c r="W1507" t="str">
        <x:v>Ružinov</x:v>
      </x:c>
      <x:c r="X1507" s="11" t="str">
        <x:v>Voľný</x:v>
      </x:c>
      <x:c r="Y1507" s="11" t="str">
        <x:v>https://milrose.sk/byt/byt-c20-06/</x:v>
      </x:c>
      <x:c r="Z1507" s="11" t="n">
        <x:v>46252.68496519676</x:v>
      </x:c>
      <x:c r="AA1507" s="11" t="n">
        <x:v>46254.51251577547</x:v>
      </x:c>
      <x:c r="AB1507" s="11" t="n">
        <x:v>46254.51251577547</x:v>
      </x:c>
      <x:c r="AC1507" t="str">
        <x:v>milrose</x:v>
      </x:c>
    </x:row>
    <x:row r="1508" ht="22" customHeight="1">
      <x:c r="A1508" t="str">
        <x:v>Mýtna 37</x:v>
      </x:c>
      <x:c r="B1508" t="str">
        <x:v>A2.1</x:v>
      </x:c>
      <x:c r="C1508" t="str">
        <x:v>sold</x:v>
      </x:c>
      <x:c r="D1508" t="str">
        <x:v>present</x:v>
      </x:c>
      <x:c r="E1508" t="str">
        <x:v>baseline</x:v>
      </x:c>
      <x:c r="F1508" s="11" t="n">
        <x:v>46252.68496519676</x:v>
      </x:c>
      <x:c r="G1508" t="str">
        <x:v>byt</x:v>
      </x:c>
      <x:c r="H1508" s="12" t="n">
        <x:v>2</x:v>
      </x:c>
      <x:c r="I1508" s="13" t="n">
        <x:v>2</x:v>
      </x:c>
      <x:c r="J1508" t="str">
        <x:v>Š86</x:v>
      </x:c>
      <x:c r="K1508" s="14" t="n">
        <x:v>50.9</x:v>
      </x:c>
      <x:c r="L1508" s="14" t="n">
        <x:v>8.26</x:v>
      </x:c>
      <x:c r="M1508" s="14"/>
      <x:c r="N1508" s="14"/>
      <x:c r="O1508" s="14"/>
      <x:c r="P1508" s="14" t="n">
        <x:v>8.26</x:v>
      </x:c>
      <x:c r="Q1508" s="14" t="n">
        <x:v>59.16</x:v>
      </x:c>
      <x:c r="R1508" s="15"/>
      <x:c r="S1508" s="15"/>
      <x:c r="T1508" s="15"/>
      <x:c r="U1508" s="16"/>
      <x:c r="V1508" t="str">
        <x:v>EDVIN Properties</x:v>
      </x:c>
      <x:c r="W1508" t="str">
        <x:v>Staré Mesto</x:v>
      </x:c>
      <x:c r="X1508" s="11" t="str">
        <x:v>Predaný</x:v>
      </x:c>
      <x:c r="Y1508" s="11" t="str">
        <x:v>https://www.mytna37.sk/ponuka</x:v>
      </x:c>
      <x:c r="Z1508" s="11" t="n">
        <x:v>46252.68496519676</x:v>
      </x:c>
      <x:c r="AA1508" s="11" t="n">
        <x:v>46254.51251577547</x:v>
      </x:c>
      <x:c r="AB1508" s="11" t="n">
        <x:v>46254.51251577547</x:v>
      </x:c>
      <x:c r="AC1508" t="str">
        <x:v>mytna_37</x:v>
      </x:c>
    </x:row>
    <x:row r="1509" ht="22" customHeight="1">
      <x:c r="A1509" t="str">
        <x:v>Mýtna 37</x:v>
      </x:c>
      <x:c r="B1509" t="str">
        <x:v>A2.2</x:v>
      </x:c>
      <x:c r="C1509" t="str">
        <x:v>available</x:v>
      </x:c>
      <x:c r="D1509" t="str">
        <x:v>present</x:v>
      </x:c>
      <x:c r="E1509" t="str">
        <x:v>baseline</x:v>
      </x:c>
      <x:c r="F1509" s="11" t="n">
        <x:v>46252.68496519676</x:v>
      </x:c>
      <x:c r="G1509" t="str">
        <x:v>byt</x:v>
      </x:c>
      <x:c r="H1509" s="12" t="n">
        <x:v>2</x:v>
      </x:c>
      <x:c r="I1509" s="13" t="n">
        <x:v>2</x:v>
      </x:c>
      <x:c r="J1509" t="str">
        <x:v>Š86</x:v>
      </x:c>
      <x:c r="K1509" s="14" t="n">
        <x:v>51.64</x:v>
      </x:c>
      <x:c r="L1509" s="14" t="n">
        <x:v>12.35</x:v>
      </x:c>
      <x:c r="M1509" s="14"/>
      <x:c r="N1509" s="14"/>
      <x:c r="O1509" s="14"/>
      <x:c r="P1509" s="14" t="n">
        <x:v>12.35</x:v>
      </x:c>
      <x:c r="Q1509" s="14" t="n">
        <x:v>63.98</x:v>
      </x:c>
      <x:c r="R1509" s="15" t="n">
        <x:v>358700</x:v>
      </x:c>
      <x:c r="S1509" s="15" t="n">
        <x:v>373100</x:v>
      </x:c>
      <x:c r="T1509" s="15" t="n">
        <x:v>358700</x:v>
      </x:c>
      <x:c r="U1509" s="16" t="n">
        <x:v>6946.17</x:v>
      </x:c>
      <x:c r="V1509" t="str">
        <x:v>EDVIN Properties</x:v>
      </x:c>
      <x:c r="W1509" t="str">
        <x:v>Staré Mesto</x:v>
      </x:c>
      <x:c r="X1509" s="11" t="str">
        <x:v>Voľný</x:v>
      </x:c>
      <x:c r="Y1509" s="11" t="str">
        <x:v>https://www.mytna37.sk/ponuka</x:v>
      </x:c>
      <x:c r="Z1509" s="11" t="n">
        <x:v>46252.68496519676</x:v>
      </x:c>
      <x:c r="AA1509" s="11" t="n">
        <x:v>46254.51251577547</x:v>
      </x:c>
      <x:c r="AB1509" s="11" t="n">
        <x:v>46254.51251577547</x:v>
      </x:c>
      <x:c r="AC1509" t="str">
        <x:v>mytna_37</x:v>
      </x:c>
    </x:row>
    <x:row r="1510" ht="22" customHeight="1">
      <x:c r="A1510" t="str">
        <x:v>Mýtna 37</x:v>
      </x:c>
      <x:c r="B1510" t="str">
        <x:v>A2.3</x:v>
      </x:c>
      <x:c r="C1510" t="str">
        <x:v>available</x:v>
      </x:c>
      <x:c r="D1510" t="str">
        <x:v>present</x:v>
      </x:c>
      <x:c r="E1510" t="str">
        <x:v>baseline</x:v>
      </x:c>
      <x:c r="F1510" s="11" t="n">
        <x:v>46252.68496519676</x:v>
      </x:c>
      <x:c r="G1510" t="str">
        <x:v>byt</x:v>
      </x:c>
      <x:c r="H1510" s="12" t="n">
        <x:v>2</x:v>
      </x:c>
      <x:c r="I1510" s="13" t="n">
        <x:v>2</x:v>
      </x:c>
      <x:c r="J1510" t="str">
        <x:v>Š86</x:v>
      </x:c>
      <x:c r="K1510" s="14" t="n">
        <x:v>48.79</x:v>
      </x:c>
      <x:c r="L1510" s="14" t="n">
        <x:v>11.21</x:v>
      </x:c>
      <x:c r="M1510" s="14"/>
      <x:c r="N1510" s="14"/>
      <x:c r="O1510" s="14"/>
      <x:c r="P1510" s="14" t="n">
        <x:v>11.21</x:v>
      </x:c>
      <x:c r="Q1510" s="14" t="n">
        <x:v>60</x:v>
      </x:c>
      <x:c r="R1510" s="15" t="n">
        <x:v>350900</x:v>
      </x:c>
      <x:c r="S1510" s="15" t="n">
        <x:v>365000</x:v>
      </x:c>
      <x:c r="T1510" s="15" t="n">
        <x:v>350900</x:v>
      </x:c>
      <x:c r="U1510" s="16" t="n">
        <x:v>7192.05</x:v>
      </x:c>
      <x:c r="V1510" t="str">
        <x:v>EDVIN Properties</x:v>
      </x:c>
      <x:c r="W1510" t="str">
        <x:v>Staré Mesto</x:v>
      </x:c>
      <x:c r="X1510" s="11" t="str">
        <x:v>Voľný</x:v>
      </x:c>
      <x:c r="Y1510" s="11" t="str">
        <x:v>https://www.mytna37.sk/ponuka</x:v>
      </x:c>
      <x:c r="Z1510" s="11" t="n">
        <x:v>46252.68496519676</x:v>
      </x:c>
      <x:c r="AA1510" s="11" t="n">
        <x:v>46254.51251577547</x:v>
      </x:c>
      <x:c r="AB1510" s="11" t="n">
        <x:v>46254.51251577547</x:v>
      </x:c>
      <x:c r="AC1510" t="str">
        <x:v>mytna_37</x:v>
      </x:c>
    </x:row>
    <x:row r="1511" ht="22" customHeight="1">
      <x:c r="A1511" t="str">
        <x:v>Mýtna 37</x:v>
      </x:c>
      <x:c r="B1511" t="str">
        <x:v>A2.4</x:v>
      </x:c>
      <x:c r="C1511" t="str">
        <x:v>available</x:v>
      </x:c>
      <x:c r="D1511" t="str">
        <x:v>present</x:v>
      </x:c>
      <x:c r="E1511" t="str">
        <x:v>baseline</x:v>
      </x:c>
      <x:c r="F1511" s="11" t="n">
        <x:v>46252.68496519676</x:v>
      </x:c>
      <x:c r="G1511" t="str">
        <x:v>byt</x:v>
      </x:c>
      <x:c r="H1511" s="12" t="n">
        <x:v>1</x:v>
      </x:c>
      <x:c r="I1511" s="13" t="n">
        <x:v>2</x:v>
      </x:c>
      <x:c r="J1511" t="str">
        <x:v>Š86</x:v>
      </x:c>
      <x:c r="K1511" s="14" t="n">
        <x:v>31.64</x:v>
      </x:c>
      <x:c r="L1511" s="14" t="n">
        <x:v>3.3</x:v>
      </x:c>
      <x:c r="M1511" s="14"/>
      <x:c r="N1511" s="14"/>
      <x:c r="O1511" s="14"/>
      <x:c r="P1511" s="14" t="n">
        <x:v>3.3</x:v>
      </x:c>
      <x:c r="Q1511" s="14" t="n">
        <x:v>34.94</x:v>
      </x:c>
      <x:c r="R1511" s="15" t="n">
        <x:v>225400</x:v>
      </x:c>
      <x:c r="S1511" s="15" t="n">
        <x:v>234500</x:v>
      </x:c>
      <x:c r="T1511" s="15" t="n">
        <x:v>225400</x:v>
      </x:c>
      <x:c r="U1511" s="16" t="n">
        <x:v>7123.89</x:v>
      </x:c>
      <x:c r="V1511" t="str">
        <x:v>EDVIN Properties</x:v>
      </x:c>
      <x:c r="W1511" t="str">
        <x:v>Staré Mesto</x:v>
      </x:c>
      <x:c r="X1511" s="11" t="str">
        <x:v>Voľný</x:v>
      </x:c>
      <x:c r="Y1511" s="11" t="str">
        <x:v>https://www.mytna37.sk/ponuka</x:v>
      </x:c>
      <x:c r="Z1511" s="11" t="n">
        <x:v>46252.68496519676</x:v>
      </x:c>
      <x:c r="AA1511" s="11" t="n">
        <x:v>46254.51251577547</x:v>
      </x:c>
      <x:c r="AB1511" s="11" t="n">
        <x:v>46254.51251577547</x:v>
      </x:c>
      <x:c r="AC1511" t="str">
        <x:v>mytna_37</x:v>
      </x:c>
    </x:row>
    <x:row r="1512" ht="22" customHeight="1">
      <x:c r="A1512" t="str">
        <x:v>Mýtna 37</x:v>
      </x:c>
      <x:c r="B1512" t="str">
        <x:v>A2.5</x:v>
      </x:c>
      <x:c r="C1512" t="str">
        <x:v>reserved</x:v>
      </x:c>
      <x:c r="D1512" t="str">
        <x:v>present</x:v>
      </x:c>
      <x:c r="E1512" t="str">
        <x:v>baseline</x:v>
      </x:c>
      <x:c r="F1512" s="11" t="n">
        <x:v>46252.68496519676</x:v>
      </x:c>
      <x:c r="G1512" t="str">
        <x:v>byt</x:v>
      </x:c>
      <x:c r="H1512" s="12" t="n">
        <x:v>1</x:v>
      </x:c>
      <x:c r="I1512" s="13" t="n">
        <x:v>2</x:v>
      </x:c>
      <x:c r="J1512" t="str">
        <x:v>Š86</x:v>
      </x:c>
      <x:c r="K1512" s="14" t="n">
        <x:v>30.15</x:v>
      </x:c>
      <x:c r="L1512" s="14" t="n">
        <x:v>3.39</x:v>
      </x:c>
      <x:c r="M1512" s="14"/>
      <x:c r="N1512" s="14"/>
      <x:c r="O1512" s="14"/>
      <x:c r="P1512" s="14" t="n">
        <x:v>3.39</x:v>
      </x:c>
      <x:c r="Q1512" s="14" t="n">
        <x:v>33.54</x:v>
      </x:c>
      <x:c r="R1512" s="15" t="n">
        <x:v>217900</x:v>
      </x:c>
      <x:c r="S1512" s="15" t="n">
        <x:v>226700</x:v>
      </x:c>
      <x:c r="T1512" s="15" t="n">
        <x:v>217900</x:v>
      </x:c>
      <x:c r="U1512" s="16" t="n">
        <x:v>7227.2</x:v>
      </x:c>
      <x:c r="V1512" t="str">
        <x:v>EDVIN Properties</x:v>
      </x:c>
      <x:c r="W1512" t="str">
        <x:v>Staré Mesto</x:v>
      </x:c>
      <x:c r="X1512" s="11" t="str">
        <x:v>Rezervovaný</x:v>
      </x:c>
      <x:c r="Y1512" s="11" t="str">
        <x:v>https://www.mytna37.sk/ponuka</x:v>
      </x:c>
      <x:c r="Z1512" s="11" t="n">
        <x:v>46252.68496519676</x:v>
      </x:c>
      <x:c r="AA1512" s="11" t="n">
        <x:v>46254.51251577547</x:v>
      </x:c>
      <x:c r="AB1512" s="11" t="n">
        <x:v>46254.51251577547</x:v>
      </x:c>
      <x:c r="AC1512" t="str">
        <x:v>mytna_37</x:v>
      </x:c>
    </x:row>
    <x:row r="1513" ht="22" customHeight="1">
      <x:c r="A1513" t="str">
        <x:v>Mýtna 37</x:v>
      </x:c>
      <x:c r="B1513" t="str">
        <x:v>A2.6</x:v>
      </x:c>
      <x:c r="C1513" t="str">
        <x:v>available</x:v>
      </x:c>
      <x:c r="D1513" t="str">
        <x:v>present</x:v>
      </x:c>
      <x:c r="E1513" t="str">
        <x:v>baseline</x:v>
      </x:c>
      <x:c r="F1513" s="11" t="n">
        <x:v>46252.68496519676</x:v>
      </x:c>
      <x:c r="G1513" t="str">
        <x:v>byt</x:v>
      </x:c>
      <x:c r="H1513" s="12" t="n">
        <x:v>1</x:v>
      </x:c>
      <x:c r="I1513" s="13" t="n">
        <x:v>2</x:v>
      </x:c>
      <x:c r="J1513" t="str">
        <x:v>Š86</x:v>
      </x:c>
      <x:c r="K1513" s="14" t="n">
        <x:v>30.15</x:v>
      </x:c>
      <x:c r="L1513" s="14" t="n">
        <x:v>3.39</x:v>
      </x:c>
      <x:c r="M1513" s="14"/>
      <x:c r="N1513" s="14"/>
      <x:c r="O1513" s="14"/>
      <x:c r="P1513" s="14" t="n">
        <x:v>3.39</x:v>
      </x:c>
      <x:c r="Q1513" s="14" t="n">
        <x:v>33.54</x:v>
      </x:c>
      <x:c r="R1513" s="15" t="n">
        <x:v>217900</x:v>
      </x:c>
      <x:c r="S1513" s="15" t="n">
        <x:v>226700</x:v>
      </x:c>
      <x:c r="T1513" s="15" t="n">
        <x:v>217900</x:v>
      </x:c>
      <x:c r="U1513" s="16" t="n">
        <x:v>7227.2</x:v>
      </x:c>
      <x:c r="V1513" t="str">
        <x:v>EDVIN Properties</x:v>
      </x:c>
      <x:c r="W1513" t="str">
        <x:v>Staré Mesto</x:v>
      </x:c>
      <x:c r="X1513" s="11" t="str">
        <x:v>Voľný</x:v>
      </x:c>
      <x:c r="Y1513" s="11" t="str">
        <x:v>https://www.mytna37.sk/ponuka</x:v>
      </x:c>
      <x:c r="Z1513" s="11" t="n">
        <x:v>46252.68496519676</x:v>
      </x:c>
      <x:c r="AA1513" s="11" t="n">
        <x:v>46254.51251577547</x:v>
      </x:c>
      <x:c r="AB1513" s="11" t="n">
        <x:v>46254.51251577547</x:v>
      </x:c>
      <x:c r="AC1513" t="str">
        <x:v>mytna_37</x:v>
      </x:c>
    </x:row>
    <x:row r="1514" ht="22" customHeight="1">
      <x:c r="A1514" t="str">
        <x:v>Mýtna 37</x:v>
      </x:c>
      <x:c r="B1514" t="str">
        <x:v>A2.7</x:v>
      </x:c>
      <x:c r="C1514" t="str">
        <x:v>available</x:v>
      </x:c>
      <x:c r="D1514" t="str">
        <x:v>present</x:v>
      </x:c>
      <x:c r="E1514" t="str">
        <x:v>baseline</x:v>
      </x:c>
      <x:c r="F1514" s="11" t="n">
        <x:v>46252.68496519676</x:v>
      </x:c>
      <x:c r="G1514" t="str">
        <x:v>byt</x:v>
      </x:c>
      <x:c r="H1514" s="12" t="n">
        <x:v>1</x:v>
      </x:c>
      <x:c r="I1514" s="13" t="n">
        <x:v>2</x:v>
      </x:c>
      <x:c r="J1514" t="str">
        <x:v>Š86</x:v>
      </x:c>
      <x:c r="K1514" s="14" t="n">
        <x:v>30.03</x:v>
      </x:c>
      <x:c r="L1514" s="14" t="n">
        <x:v>3.39</x:v>
      </x:c>
      <x:c r="M1514" s="14"/>
      <x:c r="N1514" s="14"/>
      <x:c r="O1514" s="14"/>
      <x:c r="P1514" s="14" t="n">
        <x:v>3.39</x:v>
      </x:c>
      <x:c r="Q1514" s="14" t="n">
        <x:v>33.42</x:v>
      </x:c>
      <x:c r="R1514" s="15" t="n">
        <x:v>217400</x:v>
      </x:c>
      <x:c r="S1514" s="15" t="n">
        <x:v>226100</x:v>
      </x:c>
      <x:c r="T1514" s="15" t="n">
        <x:v>217400</x:v>
      </x:c>
      <x:c r="U1514" s="16" t="n">
        <x:v>7239.43</x:v>
      </x:c>
      <x:c r="V1514" t="str">
        <x:v>EDVIN Properties</x:v>
      </x:c>
      <x:c r="W1514" t="str">
        <x:v>Staré Mesto</x:v>
      </x:c>
      <x:c r="X1514" s="11" t="str">
        <x:v>Voľný</x:v>
      </x:c>
      <x:c r="Y1514" s="11" t="str">
        <x:v>https://www.mytna37.sk/ponuka</x:v>
      </x:c>
      <x:c r="Z1514" s="11" t="n">
        <x:v>46252.68496519676</x:v>
      </x:c>
      <x:c r="AA1514" s="11" t="n">
        <x:v>46254.51251577547</x:v>
      </x:c>
      <x:c r="AB1514" s="11" t="n">
        <x:v>46254.51251577547</x:v>
      </x:c>
      <x:c r="AC1514" t="str">
        <x:v>mytna_37</x:v>
      </x:c>
    </x:row>
    <x:row r="1515" ht="22" customHeight="1">
      <x:c r="A1515" t="str">
        <x:v>Mýtna 37</x:v>
      </x:c>
      <x:c r="B1515" t="str">
        <x:v>A2.8</x:v>
      </x:c>
      <x:c r="C1515" t="str">
        <x:v>available</x:v>
      </x:c>
      <x:c r="D1515" t="str">
        <x:v>present</x:v>
      </x:c>
      <x:c r="E1515" t="str">
        <x:v>baseline</x:v>
      </x:c>
      <x:c r="F1515" s="11" t="n">
        <x:v>46252.68496519676</x:v>
      </x:c>
      <x:c r="G1515" t="str">
        <x:v>byt</x:v>
      </x:c>
      <x:c r="H1515" s="12" t="n">
        <x:v>1</x:v>
      </x:c>
      <x:c r="I1515" s="13" t="n">
        <x:v>2</x:v>
      </x:c>
      <x:c r="J1515" t="str">
        <x:v>Š86</x:v>
      </x:c>
      <x:c r="K1515" s="14" t="n">
        <x:v>44.05</x:v>
      </x:c>
      <x:c r="L1515" s="14" t="n">
        <x:v>3.32</x:v>
      </x:c>
      <x:c r="M1515" s="14"/>
      <x:c r="N1515" s="14"/>
      <x:c r="O1515" s="14"/>
      <x:c r="P1515" s="14" t="n">
        <x:v>3.32</x:v>
      </x:c>
      <x:c r="Q1515" s="14" t="n">
        <x:v>47.37</x:v>
      </x:c>
      <x:c r="R1515" s="15" t="n">
        <x:v>277600</x:v>
      </x:c>
      <x:c r="S1515" s="15" t="n">
        <x:v>288800</x:v>
      </x:c>
      <x:c r="T1515" s="15" t="n">
        <x:v>277600</x:v>
      </x:c>
      <x:c r="U1515" s="16" t="n">
        <x:v>6301.93</x:v>
      </x:c>
      <x:c r="V1515" t="str">
        <x:v>EDVIN Properties</x:v>
      </x:c>
      <x:c r="W1515" t="str">
        <x:v>Staré Mesto</x:v>
      </x:c>
      <x:c r="X1515" s="11" t="str">
        <x:v>Voľný</x:v>
      </x:c>
      <x:c r="Y1515" s="11" t="str">
        <x:v>https://www.mytna37.sk/ponuka</x:v>
      </x:c>
      <x:c r="Z1515" s="11" t="n">
        <x:v>46252.68496519676</x:v>
      </x:c>
      <x:c r="AA1515" s="11" t="n">
        <x:v>46254.51251577547</x:v>
      </x:c>
      <x:c r="AB1515" s="11" t="n">
        <x:v>46254.51251577547</x:v>
      </x:c>
      <x:c r="AC1515" t="str">
        <x:v>mytna_37</x:v>
      </x:c>
    </x:row>
    <x:row r="1516" ht="22" customHeight="1">
      <x:c r="A1516" t="str">
        <x:v>Mýtna 37</x:v>
      </x:c>
      <x:c r="B1516" t="str">
        <x:v>A3.1</x:v>
      </x:c>
      <x:c r="C1516" t="str">
        <x:v>sold</x:v>
      </x:c>
      <x:c r="D1516" t="str">
        <x:v>present</x:v>
      </x:c>
      <x:c r="E1516" t="str">
        <x:v>baseline</x:v>
      </x:c>
      <x:c r="F1516" s="11" t="n">
        <x:v>46252.68496519676</x:v>
      </x:c>
      <x:c r="G1516" t="str">
        <x:v>byt</x:v>
      </x:c>
      <x:c r="H1516" s="12" t="n">
        <x:v>2</x:v>
      </x:c>
      <x:c r="I1516" s="13" t="n">
        <x:v>3</x:v>
      </x:c>
      <x:c r="J1516" t="str">
        <x:v>Š86</x:v>
      </x:c>
      <x:c r="K1516" s="14" t="n">
        <x:v>50.9</x:v>
      </x:c>
      <x:c r="L1516" s="14" t="n">
        <x:v>8.26</x:v>
      </x:c>
      <x:c r="M1516" s="14"/>
      <x:c r="N1516" s="14"/>
      <x:c r="O1516" s="14"/>
      <x:c r="P1516" s="14" t="n">
        <x:v>8.26</x:v>
      </x:c>
      <x:c r="Q1516" s="14" t="n">
        <x:v>59.16</x:v>
      </x:c>
      <x:c r="R1516" s="15"/>
      <x:c r="S1516" s="15"/>
      <x:c r="T1516" s="15"/>
      <x:c r="U1516" s="16"/>
      <x:c r="V1516" t="str">
        <x:v>EDVIN Properties</x:v>
      </x:c>
      <x:c r="W1516" t="str">
        <x:v>Staré Mesto</x:v>
      </x:c>
      <x:c r="X1516" s="11" t="str">
        <x:v>Predaný</x:v>
      </x:c>
      <x:c r="Y1516" s="11" t="str">
        <x:v>https://www.mytna37.sk/ponuka</x:v>
      </x:c>
      <x:c r="Z1516" s="11" t="n">
        <x:v>46252.68496519676</x:v>
      </x:c>
      <x:c r="AA1516" s="11" t="n">
        <x:v>46254.51251577547</x:v>
      </x:c>
      <x:c r="AB1516" s="11" t="n">
        <x:v>46254.51251577547</x:v>
      </x:c>
      <x:c r="AC1516" t="str">
        <x:v>mytna_37</x:v>
      </x:c>
    </x:row>
    <x:row r="1517" ht="22" customHeight="1">
      <x:c r="A1517" t="str">
        <x:v>Mýtna 37</x:v>
      </x:c>
      <x:c r="B1517" t="str">
        <x:v>A3.2</x:v>
      </x:c>
      <x:c r="C1517" t="str">
        <x:v>available</x:v>
      </x:c>
      <x:c r="D1517" t="str">
        <x:v>present</x:v>
      </x:c>
      <x:c r="E1517" t="str">
        <x:v>baseline</x:v>
      </x:c>
      <x:c r="F1517" s="11" t="n">
        <x:v>46252.68496519676</x:v>
      </x:c>
      <x:c r="G1517" t="str">
        <x:v>byt</x:v>
      </x:c>
      <x:c r="H1517" s="12" t="n">
        <x:v>2</x:v>
      </x:c>
      <x:c r="I1517" s="13" t="n">
        <x:v>3</x:v>
      </x:c>
      <x:c r="J1517" t="str">
        <x:v>Š86</x:v>
      </x:c>
      <x:c r="K1517" s="14" t="n">
        <x:v>51.63</x:v>
      </x:c>
      <x:c r="L1517" s="14" t="n">
        <x:v>12.35</x:v>
      </x:c>
      <x:c r="M1517" s="14"/>
      <x:c r="N1517" s="14"/>
      <x:c r="O1517" s="14"/>
      <x:c r="P1517" s="14" t="n">
        <x:v>12.35</x:v>
      </x:c>
      <x:c r="Q1517" s="14" t="n">
        <x:v>63.98</x:v>
      </x:c>
      <x:c r="R1517" s="15" t="n">
        <x:v>363600</x:v>
      </x:c>
      <x:c r="S1517" s="15" t="n">
        <x:v>378200</x:v>
      </x:c>
      <x:c r="T1517" s="15" t="n">
        <x:v>363600</x:v>
      </x:c>
      <x:c r="U1517" s="16" t="n">
        <x:v>7042.42</x:v>
      </x:c>
      <x:c r="V1517" t="str">
        <x:v>EDVIN Properties</x:v>
      </x:c>
      <x:c r="W1517" t="str">
        <x:v>Staré Mesto</x:v>
      </x:c>
      <x:c r="X1517" s="11" t="str">
        <x:v>Voľný</x:v>
      </x:c>
      <x:c r="Y1517" s="11" t="str">
        <x:v>https://www.mytna37.sk/ponuka</x:v>
      </x:c>
      <x:c r="Z1517" s="11" t="n">
        <x:v>46252.68496519676</x:v>
      </x:c>
      <x:c r="AA1517" s="11" t="n">
        <x:v>46254.51251577547</x:v>
      </x:c>
      <x:c r="AB1517" s="11" t="n">
        <x:v>46254.51251577547</x:v>
      </x:c>
      <x:c r="AC1517" t="str">
        <x:v>mytna_37</x:v>
      </x:c>
    </x:row>
    <x:row r="1518" ht="22" customHeight="1">
      <x:c r="A1518" t="str">
        <x:v>Mýtna 37</x:v>
      </x:c>
      <x:c r="B1518" t="str">
        <x:v>A3.3</x:v>
      </x:c>
      <x:c r="C1518" t="str">
        <x:v>available</x:v>
      </x:c>
      <x:c r="D1518" t="str">
        <x:v>present</x:v>
      </x:c>
      <x:c r="E1518" t="str">
        <x:v>baseline</x:v>
      </x:c>
      <x:c r="F1518" s="11" t="n">
        <x:v>46252.68496519676</x:v>
      </x:c>
      <x:c r="G1518" t="str">
        <x:v>byt</x:v>
      </x:c>
      <x:c r="H1518" s="12" t="n">
        <x:v>2</x:v>
      </x:c>
      <x:c r="I1518" s="13" t="n">
        <x:v>3</x:v>
      </x:c>
      <x:c r="J1518" t="str">
        <x:v>Š86</x:v>
      </x:c>
      <x:c r="K1518" s="14" t="n">
        <x:v>48.79</x:v>
      </x:c>
      <x:c r="L1518" s="14" t="n">
        <x:v>11.21</x:v>
      </x:c>
      <x:c r="M1518" s="14"/>
      <x:c r="N1518" s="14"/>
      <x:c r="O1518" s="14"/>
      <x:c r="P1518" s="14" t="n">
        <x:v>11.21</x:v>
      </x:c>
      <x:c r="Q1518" s="14" t="n">
        <x:v>60</x:v>
      </x:c>
      <x:c r="R1518" s="15" t="n">
        <x:v>355600</x:v>
      </x:c>
      <x:c r="S1518" s="15" t="n">
        <x:v>369900</x:v>
      </x:c>
      <x:c r="T1518" s="15" t="n">
        <x:v>355600</x:v>
      </x:c>
      <x:c r="U1518" s="16" t="n">
        <x:v>7288.38</x:v>
      </x:c>
      <x:c r="V1518" t="str">
        <x:v>EDVIN Properties</x:v>
      </x:c>
      <x:c r="W1518" t="str">
        <x:v>Staré Mesto</x:v>
      </x:c>
      <x:c r="X1518" s="11" t="str">
        <x:v>Voľný</x:v>
      </x:c>
      <x:c r="Y1518" s="11" t="str">
        <x:v>https://www.mytna37.sk/ponuka</x:v>
      </x:c>
      <x:c r="Z1518" s="11" t="n">
        <x:v>46252.68496519676</x:v>
      </x:c>
      <x:c r="AA1518" s="11" t="n">
        <x:v>46254.51251577547</x:v>
      </x:c>
      <x:c r="AB1518" s="11" t="n">
        <x:v>46254.51251577547</x:v>
      </x:c>
      <x:c r="AC1518" t="str">
        <x:v>mytna_37</x:v>
      </x:c>
    </x:row>
    <x:row r="1519" ht="22" customHeight="1">
      <x:c r="A1519" t="str">
        <x:v>Mýtna 37</x:v>
      </x:c>
      <x:c r="B1519" t="str">
        <x:v>A3.4</x:v>
      </x:c>
      <x:c r="C1519" t="str">
        <x:v>available</x:v>
      </x:c>
      <x:c r="D1519" t="str">
        <x:v>present</x:v>
      </x:c>
      <x:c r="E1519" t="str">
        <x:v>baseline</x:v>
      </x:c>
      <x:c r="F1519" s="11" t="n">
        <x:v>46252.68496519676</x:v>
      </x:c>
      <x:c r="G1519" t="str">
        <x:v>byt</x:v>
      </x:c>
      <x:c r="H1519" s="12" t="n">
        <x:v>1</x:v>
      </x:c>
      <x:c r="I1519" s="13" t="n">
        <x:v>3</x:v>
      </x:c>
      <x:c r="J1519" t="str">
        <x:v>Š86</x:v>
      </x:c>
      <x:c r="K1519" s="14" t="n">
        <x:v>31.64</x:v>
      </x:c>
      <x:c r="L1519" s="14" t="n">
        <x:v>3.3</x:v>
      </x:c>
      <x:c r="M1519" s="14"/>
      <x:c r="N1519" s="14"/>
      <x:c r="O1519" s="14"/>
      <x:c r="P1519" s="14" t="n">
        <x:v>3.3</x:v>
      </x:c>
      <x:c r="Q1519" s="14" t="n">
        <x:v>34.94</x:v>
      </x:c>
      <x:c r="R1519" s="15" t="n">
        <x:v>228300</x:v>
      </x:c>
      <x:c r="S1519" s="15" t="n">
        <x:v>237500</x:v>
      </x:c>
      <x:c r="T1519" s="15" t="n">
        <x:v>228300</x:v>
      </x:c>
      <x:c r="U1519" s="16" t="n">
        <x:v>7215.55</x:v>
      </x:c>
      <x:c r="V1519" t="str">
        <x:v>EDVIN Properties</x:v>
      </x:c>
      <x:c r="W1519" t="str">
        <x:v>Staré Mesto</x:v>
      </x:c>
      <x:c r="X1519" s="11" t="str">
        <x:v>Voľný</x:v>
      </x:c>
      <x:c r="Y1519" s="11" t="str">
        <x:v>https://www.mytna37.sk/ponuka</x:v>
      </x:c>
      <x:c r="Z1519" s="11" t="n">
        <x:v>46252.68496519676</x:v>
      </x:c>
      <x:c r="AA1519" s="11" t="n">
        <x:v>46254.51251577547</x:v>
      </x:c>
      <x:c r="AB1519" s="11" t="n">
        <x:v>46254.51251577547</x:v>
      </x:c>
      <x:c r="AC1519" t="str">
        <x:v>mytna_37</x:v>
      </x:c>
    </x:row>
    <x:row r="1520" ht="22" customHeight="1">
      <x:c r="A1520" t="str">
        <x:v>Mýtna 37</x:v>
      </x:c>
      <x:c r="B1520" t="str">
        <x:v>A3.5</x:v>
      </x:c>
      <x:c r="C1520" t="str">
        <x:v>available</x:v>
      </x:c>
      <x:c r="D1520" t="str">
        <x:v>present</x:v>
      </x:c>
      <x:c r="E1520" t="str">
        <x:v>baseline</x:v>
      </x:c>
      <x:c r="F1520" s="11" t="n">
        <x:v>46252.68496519676</x:v>
      </x:c>
      <x:c r="G1520" t="str">
        <x:v>byt</x:v>
      </x:c>
      <x:c r="H1520" s="12" t="n">
        <x:v>1</x:v>
      </x:c>
      <x:c r="I1520" s="13" t="n">
        <x:v>3</x:v>
      </x:c>
      <x:c r="J1520" t="str">
        <x:v>Š86</x:v>
      </x:c>
      <x:c r="K1520" s="14" t="n">
        <x:v>30.15</x:v>
      </x:c>
      <x:c r="L1520" s="14" t="n">
        <x:v>3.39</x:v>
      </x:c>
      <x:c r="M1520" s="14"/>
      <x:c r="N1520" s="14"/>
      <x:c r="O1520" s="14"/>
      <x:c r="P1520" s="14" t="n">
        <x:v>3.39</x:v>
      </x:c>
      <x:c r="Q1520" s="14" t="n">
        <x:v>33.54</x:v>
      </x:c>
      <x:c r="R1520" s="15" t="n">
        <x:v>220600</x:v>
      </x:c>
      <x:c r="S1520" s="15" t="n">
        <x:v>229500</x:v>
      </x:c>
      <x:c r="T1520" s="15" t="n">
        <x:v>220600</x:v>
      </x:c>
      <x:c r="U1520" s="16" t="n">
        <x:v>7316.75</x:v>
      </x:c>
      <x:c r="V1520" t="str">
        <x:v>EDVIN Properties</x:v>
      </x:c>
      <x:c r="W1520" t="str">
        <x:v>Staré Mesto</x:v>
      </x:c>
      <x:c r="X1520" s="11" t="str">
        <x:v>Voľný</x:v>
      </x:c>
      <x:c r="Y1520" s="11" t="str">
        <x:v>https://www.mytna37.sk/ponuka</x:v>
      </x:c>
      <x:c r="Z1520" s="11" t="n">
        <x:v>46252.68496519676</x:v>
      </x:c>
      <x:c r="AA1520" s="11" t="n">
        <x:v>46254.51251577547</x:v>
      </x:c>
      <x:c r="AB1520" s="11" t="n">
        <x:v>46254.51251577547</x:v>
      </x:c>
      <x:c r="AC1520" t="str">
        <x:v>mytna_37</x:v>
      </x:c>
    </x:row>
    <x:row r="1521" ht="22" customHeight="1">
      <x:c r="A1521" t="str">
        <x:v>Mýtna 37</x:v>
      </x:c>
      <x:c r="B1521" t="str">
        <x:v>A3.6</x:v>
      </x:c>
      <x:c r="C1521" t="str">
        <x:v>coming_soon</x:v>
      </x:c>
      <x:c r="D1521" t="str">
        <x:v>present</x:v>
      </x:c>
      <x:c r="E1521" t="str">
        <x:v>baseline</x:v>
      </x:c>
      <x:c r="F1521" s="11" t="n">
        <x:v>46252.68496519676</x:v>
      </x:c>
      <x:c r="G1521" t="str">
        <x:v>byt</x:v>
      </x:c>
      <x:c r="H1521" s="12" t="n">
        <x:v>1</x:v>
      </x:c>
      <x:c r="I1521" s="13" t="n">
        <x:v>3</x:v>
      </x:c>
      <x:c r="J1521" t="str">
        <x:v>Š86</x:v>
      </x:c>
      <x:c r="K1521" s="14" t="n">
        <x:v>30.15</x:v>
      </x:c>
      <x:c r="L1521" s="14" t="n">
        <x:v>3.39</x:v>
      </x:c>
      <x:c r="M1521" s="14"/>
      <x:c r="N1521" s="14"/>
      <x:c r="O1521" s="14"/>
      <x:c r="P1521" s="14" t="n">
        <x:v>3.39</x:v>
      </x:c>
      <x:c r="Q1521" s="14" t="n">
        <x:v>33.54</x:v>
      </x:c>
      <x:c r="R1521" s="15"/>
      <x:c r="S1521" s="15"/>
      <x:c r="T1521" s="15"/>
      <x:c r="U1521" s="16"/>
      <x:c r="V1521" t="str">
        <x:v>EDVIN Properties</x:v>
      </x:c>
      <x:c r="W1521" t="str">
        <x:v>Staré Mesto</x:v>
      </x:c>
      <x:c r="X1521" s="11" t="str">
        <x:v>Čoskoro v predaji</x:v>
      </x:c>
      <x:c r="Y1521" s="11" t="str">
        <x:v>https://www.mytna37.sk/ponuka</x:v>
      </x:c>
      <x:c r="Z1521" s="11" t="n">
        <x:v>46252.68496519676</x:v>
      </x:c>
      <x:c r="AA1521" s="11" t="n">
        <x:v>46254.51251577547</x:v>
      </x:c>
      <x:c r="AB1521" s="11" t="n">
        <x:v>46254.51251577547</x:v>
      </x:c>
      <x:c r="AC1521" t="str">
        <x:v>mytna_37</x:v>
      </x:c>
    </x:row>
    <x:row r="1522" ht="22" customHeight="1">
      <x:c r="A1522" t="str">
        <x:v>Mýtna 37</x:v>
      </x:c>
      <x:c r="B1522" t="str">
        <x:v>A3.7</x:v>
      </x:c>
      <x:c r="C1522" t="str">
        <x:v>coming_soon</x:v>
      </x:c>
      <x:c r="D1522" t="str">
        <x:v>present</x:v>
      </x:c>
      <x:c r="E1522" t="str">
        <x:v>baseline</x:v>
      </x:c>
      <x:c r="F1522" s="11" t="n">
        <x:v>46252.68496519676</x:v>
      </x:c>
      <x:c r="G1522" t="str">
        <x:v>byt</x:v>
      </x:c>
      <x:c r="H1522" s="12" t="n">
        <x:v>1</x:v>
      </x:c>
      <x:c r="I1522" s="13" t="n">
        <x:v>3</x:v>
      </x:c>
      <x:c r="J1522" t="str">
        <x:v>Š86</x:v>
      </x:c>
      <x:c r="K1522" s="14" t="n">
        <x:v>30.03</x:v>
      </x:c>
      <x:c r="L1522" s="14" t="n">
        <x:v>3.39</x:v>
      </x:c>
      <x:c r="M1522" s="14"/>
      <x:c r="N1522" s="14"/>
      <x:c r="O1522" s="14"/>
      <x:c r="P1522" s="14" t="n">
        <x:v>3.39</x:v>
      </x:c>
      <x:c r="Q1522" s="14" t="n">
        <x:v>33.42</x:v>
      </x:c>
      <x:c r="R1522" s="15"/>
      <x:c r="S1522" s="15"/>
      <x:c r="T1522" s="15"/>
      <x:c r="U1522" s="16"/>
      <x:c r="V1522" t="str">
        <x:v>EDVIN Properties</x:v>
      </x:c>
      <x:c r="W1522" t="str">
        <x:v>Staré Mesto</x:v>
      </x:c>
      <x:c r="X1522" s="11" t="str">
        <x:v>Čoskoro v predaji</x:v>
      </x:c>
      <x:c r="Y1522" s="11" t="str">
        <x:v>https://www.mytna37.sk/ponuka</x:v>
      </x:c>
      <x:c r="Z1522" s="11" t="n">
        <x:v>46252.68496519676</x:v>
      </x:c>
      <x:c r="AA1522" s="11" t="n">
        <x:v>46254.51251577547</x:v>
      </x:c>
      <x:c r="AB1522" s="11" t="n">
        <x:v>46254.51251577547</x:v>
      </x:c>
      <x:c r="AC1522" t="str">
        <x:v>mytna_37</x:v>
      </x:c>
    </x:row>
    <x:row r="1523" ht="22" customHeight="1">
      <x:c r="A1523" t="str">
        <x:v>Mýtna 37</x:v>
      </x:c>
      <x:c r="B1523" t="str">
        <x:v>A3.8</x:v>
      </x:c>
      <x:c r="C1523" t="str">
        <x:v>available</x:v>
      </x:c>
      <x:c r="D1523" t="str">
        <x:v>present</x:v>
      </x:c>
      <x:c r="E1523" t="str">
        <x:v>baseline</x:v>
      </x:c>
      <x:c r="F1523" s="11" t="n">
        <x:v>46252.68496519676</x:v>
      </x:c>
      <x:c r="G1523" t="str">
        <x:v>byt</x:v>
      </x:c>
      <x:c r="H1523" s="12" t="n">
        <x:v>1</x:v>
      </x:c>
      <x:c r="I1523" s="13" t="n">
        <x:v>3</x:v>
      </x:c>
      <x:c r="J1523" t="str">
        <x:v>Š86</x:v>
      </x:c>
      <x:c r="K1523" s="14" t="n">
        <x:v>44.05</x:v>
      </x:c>
      <x:c r="L1523" s="14" t="n">
        <x:v>3.32</x:v>
      </x:c>
      <x:c r="M1523" s="14"/>
      <x:c r="N1523" s="14"/>
      <x:c r="O1523" s="14"/>
      <x:c r="P1523" s="14" t="n">
        <x:v>3.32</x:v>
      </x:c>
      <x:c r="Q1523" s="14" t="n">
        <x:v>47.37</x:v>
      </x:c>
      <x:c r="R1523" s="15" t="n">
        <x:v>281600</x:v>
      </x:c>
      <x:c r="S1523" s="15" t="n">
        <x:v>292900</x:v>
      </x:c>
      <x:c r="T1523" s="15" t="n">
        <x:v>281600</x:v>
      </x:c>
      <x:c r="U1523" s="16" t="n">
        <x:v>6392.74</x:v>
      </x:c>
      <x:c r="V1523" t="str">
        <x:v>EDVIN Properties</x:v>
      </x:c>
      <x:c r="W1523" t="str">
        <x:v>Staré Mesto</x:v>
      </x:c>
      <x:c r="X1523" s="11" t="str">
        <x:v>Voľný</x:v>
      </x:c>
      <x:c r="Y1523" s="11" t="str">
        <x:v>https://www.mytna37.sk/ponuka</x:v>
      </x:c>
      <x:c r="Z1523" s="11" t="n">
        <x:v>46252.68496519676</x:v>
      </x:c>
      <x:c r="AA1523" s="11" t="n">
        <x:v>46254.51251577547</x:v>
      </x:c>
      <x:c r="AB1523" s="11" t="n">
        <x:v>46254.51251577547</x:v>
      </x:c>
      <x:c r="AC1523" t="str">
        <x:v>mytna_37</x:v>
      </x:c>
    </x:row>
    <x:row r="1524" ht="22" customHeight="1">
      <x:c r="A1524" t="str">
        <x:v>Mýtna 37</x:v>
      </x:c>
      <x:c r="B1524" t="str">
        <x:v>A4.1</x:v>
      </x:c>
      <x:c r="C1524" t="str">
        <x:v>sold</x:v>
      </x:c>
      <x:c r="D1524" t="str">
        <x:v>present</x:v>
      </x:c>
      <x:c r="E1524" t="str">
        <x:v>baseline</x:v>
      </x:c>
      <x:c r="F1524" s="11" t="n">
        <x:v>46252.68496519676</x:v>
      </x:c>
      <x:c r="G1524" t="str">
        <x:v>byt</x:v>
      </x:c>
      <x:c r="H1524" s="12" t="n">
        <x:v>2</x:v>
      </x:c>
      <x:c r="I1524" s="13" t="n">
        <x:v>4</x:v>
      </x:c>
      <x:c r="J1524" t="str">
        <x:v>Š86</x:v>
      </x:c>
      <x:c r="K1524" s="14" t="n">
        <x:v>50.61</x:v>
      </x:c>
      <x:c r="L1524" s="14" t="n">
        <x:v>8.26</x:v>
      </x:c>
      <x:c r="M1524" s="14"/>
      <x:c r="N1524" s="14"/>
      <x:c r="O1524" s="14"/>
      <x:c r="P1524" s="14" t="n">
        <x:v>8.26</x:v>
      </x:c>
      <x:c r="Q1524" s="14" t="n">
        <x:v>58.87</x:v>
      </x:c>
      <x:c r="R1524" s="15"/>
      <x:c r="S1524" s="15"/>
      <x:c r="T1524" s="15"/>
      <x:c r="U1524" s="16"/>
      <x:c r="V1524" t="str">
        <x:v>EDVIN Properties</x:v>
      </x:c>
      <x:c r="W1524" t="str">
        <x:v>Staré Mesto</x:v>
      </x:c>
      <x:c r="X1524" s="11" t="str">
        <x:v>Predaný</x:v>
      </x:c>
      <x:c r="Y1524" s="11" t="str">
        <x:v>https://www.mytna37.sk/ponuka</x:v>
      </x:c>
      <x:c r="Z1524" s="11" t="n">
        <x:v>46252.68496519676</x:v>
      </x:c>
      <x:c r="AA1524" s="11" t="n">
        <x:v>46254.51251577547</x:v>
      </x:c>
      <x:c r="AB1524" s="11" t="n">
        <x:v>46254.51251577547</x:v>
      </x:c>
      <x:c r="AC1524" t="str">
        <x:v>mytna_37</x:v>
      </x:c>
    </x:row>
    <x:row r="1525" ht="22" customHeight="1">
      <x:c r="A1525" t="str">
        <x:v>Mýtna 37</x:v>
      </x:c>
      <x:c r="B1525" t="str">
        <x:v>A4.2</x:v>
      </x:c>
      <x:c r="C1525" t="str">
        <x:v>sold</x:v>
      </x:c>
      <x:c r="D1525" t="str">
        <x:v>present</x:v>
      </x:c>
      <x:c r="E1525" t="str">
        <x:v>baseline</x:v>
      </x:c>
      <x:c r="F1525" s="11" t="n">
        <x:v>46252.68496519676</x:v>
      </x:c>
      <x:c r="G1525" t="str">
        <x:v>byt</x:v>
      </x:c>
      <x:c r="H1525" s="12" t="n">
        <x:v>2</x:v>
      </x:c>
      <x:c r="I1525" s="13" t="n">
        <x:v>4</x:v>
      </x:c>
      <x:c r="J1525" t="str">
        <x:v>Š86</x:v>
      </x:c>
      <x:c r="K1525" s="14" t="n">
        <x:v>51.64</x:v>
      </x:c>
      <x:c r="L1525" s="14" t="n">
        <x:v>12.35</x:v>
      </x:c>
      <x:c r="M1525" s="14"/>
      <x:c r="N1525" s="14"/>
      <x:c r="O1525" s="14"/>
      <x:c r="P1525" s="14" t="n">
        <x:v>12.35</x:v>
      </x:c>
      <x:c r="Q1525" s="14" t="n">
        <x:v>63.99</x:v>
      </x:c>
      <x:c r="R1525" s="15"/>
      <x:c r="S1525" s="15"/>
      <x:c r="T1525" s="15"/>
      <x:c r="U1525" s="16"/>
      <x:c r="V1525" t="str">
        <x:v>EDVIN Properties</x:v>
      </x:c>
      <x:c r="W1525" t="str">
        <x:v>Staré Mesto</x:v>
      </x:c>
      <x:c r="X1525" s="11" t="str">
        <x:v>Predaný</x:v>
      </x:c>
      <x:c r="Y1525" s="11" t="str">
        <x:v>https://www.mytna37.sk/ponuka</x:v>
      </x:c>
      <x:c r="Z1525" s="11" t="n">
        <x:v>46252.68496519676</x:v>
      </x:c>
      <x:c r="AA1525" s="11" t="n">
        <x:v>46254.51251577547</x:v>
      </x:c>
      <x:c r="AB1525" s="11" t="n">
        <x:v>46254.51251577547</x:v>
      </x:c>
      <x:c r="AC1525" t="str">
        <x:v>mytna_37</x:v>
      </x:c>
    </x:row>
    <x:row r="1526" ht="22" customHeight="1">
      <x:c r="A1526" t="str">
        <x:v>Mýtna 37</x:v>
      </x:c>
      <x:c r="B1526" t="str">
        <x:v>A4.3</x:v>
      </x:c>
      <x:c r="C1526" t="str">
        <x:v>sold</x:v>
      </x:c>
      <x:c r="D1526" t="str">
        <x:v>present</x:v>
      </x:c>
      <x:c r="E1526" t="str">
        <x:v>baseline</x:v>
      </x:c>
      <x:c r="F1526" s="11" t="n">
        <x:v>46252.68496519676</x:v>
      </x:c>
      <x:c r="G1526" t="str">
        <x:v>byt</x:v>
      </x:c>
      <x:c r="H1526" s="12" t="n">
        <x:v>2</x:v>
      </x:c>
      <x:c r="I1526" s="13" t="n">
        <x:v>4</x:v>
      </x:c>
      <x:c r="J1526" t="str">
        <x:v>Š86</x:v>
      </x:c>
      <x:c r="K1526" s="14" t="n">
        <x:v>48.58</x:v>
      </x:c>
      <x:c r="L1526" s="14" t="n">
        <x:v>11.21</x:v>
      </x:c>
      <x:c r="M1526" s="14"/>
      <x:c r="N1526" s="14"/>
      <x:c r="O1526" s="14"/>
      <x:c r="P1526" s="14" t="n">
        <x:v>11.21</x:v>
      </x:c>
      <x:c r="Q1526" s="14" t="n">
        <x:v>59.79</x:v>
      </x:c>
      <x:c r="R1526" s="15"/>
      <x:c r="S1526" s="15"/>
      <x:c r="T1526" s="15"/>
      <x:c r="U1526" s="16"/>
      <x:c r="V1526" t="str">
        <x:v>EDVIN Properties</x:v>
      </x:c>
      <x:c r="W1526" t="str">
        <x:v>Staré Mesto</x:v>
      </x:c>
      <x:c r="X1526" s="11" t="str">
        <x:v>Predaný</x:v>
      </x:c>
      <x:c r="Y1526" s="11" t="str">
        <x:v>https://www.mytna37.sk/ponuka</x:v>
      </x:c>
      <x:c r="Z1526" s="11" t="n">
        <x:v>46252.68496519676</x:v>
      </x:c>
      <x:c r="AA1526" s="11" t="n">
        <x:v>46254.51251577547</x:v>
      </x:c>
      <x:c r="AB1526" s="11" t="n">
        <x:v>46254.51251577547</x:v>
      </x:c>
      <x:c r="AC1526" t="str">
        <x:v>mytna_37</x:v>
      </x:c>
    </x:row>
    <x:row r="1527" ht="22" customHeight="1">
      <x:c r="A1527" t="str">
        <x:v>Mýtna 37</x:v>
      </x:c>
      <x:c r="B1527" t="str">
        <x:v>A4.4</x:v>
      </x:c>
      <x:c r="C1527" t="str">
        <x:v>coming_soon</x:v>
      </x:c>
      <x:c r="D1527" t="str">
        <x:v>present</x:v>
      </x:c>
      <x:c r="E1527" t="str">
        <x:v>baseline</x:v>
      </x:c>
      <x:c r="F1527" s="11" t="n">
        <x:v>46252.68496519676</x:v>
      </x:c>
      <x:c r="G1527" t="str">
        <x:v>byt</x:v>
      </x:c>
      <x:c r="H1527" s="12" t="n">
        <x:v>1</x:v>
      </x:c>
      <x:c r="I1527" s="13" t="n">
        <x:v>4</x:v>
      </x:c>
      <x:c r="J1527" t="str">
        <x:v>Š86</x:v>
      </x:c>
      <x:c r="K1527" s="14" t="n">
        <x:v>31.64</x:v>
      </x:c>
      <x:c r="L1527" s="14" t="n">
        <x:v>3.3</x:v>
      </x:c>
      <x:c r="M1527" s="14"/>
      <x:c r="N1527" s="14"/>
      <x:c r="O1527" s="14"/>
      <x:c r="P1527" s="14" t="n">
        <x:v>3.3</x:v>
      </x:c>
      <x:c r="Q1527" s="14" t="n">
        <x:v>34.94</x:v>
      </x:c>
      <x:c r="R1527" s="15"/>
      <x:c r="S1527" s="15"/>
      <x:c r="T1527" s="15"/>
      <x:c r="U1527" s="16"/>
      <x:c r="V1527" t="str">
        <x:v>EDVIN Properties</x:v>
      </x:c>
      <x:c r="W1527" t="str">
        <x:v>Staré Mesto</x:v>
      </x:c>
      <x:c r="X1527" s="11" t="str">
        <x:v>Čoskoro v predaji</x:v>
      </x:c>
      <x:c r="Y1527" s="11" t="str">
        <x:v>https://www.mytna37.sk/ponuka</x:v>
      </x:c>
      <x:c r="Z1527" s="11" t="n">
        <x:v>46252.68496519676</x:v>
      </x:c>
      <x:c r="AA1527" s="11" t="n">
        <x:v>46254.51251577547</x:v>
      </x:c>
      <x:c r="AB1527" s="11" t="n">
        <x:v>46254.51251577547</x:v>
      </x:c>
      <x:c r="AC1527" t="str">
        <x:v>mytna_37</x:v>
      </x:c>
    </x:row>
    <x:row r="1528" ht="22" customHeight="1">
      <x:c r="A1528" t="str">
        <x:v>Mýtna 37</x:v>
      </x:c>
      <x:c r="B1528" t="str">
        <x:v>A4.5</x:v>
      </x:c>
      <x:c r="C1528" t="str">
        <x:v>sold</x:v>
      </x:c>
      <x:c r="D1528" t="str">
        <x:v>present</x:v>
      </x:c>
      <x:c r="E1528" t="str">
        <x:v>baseline</x:v>
      </x:c>
      <x:c r="F1528" s="11" t="n">
        <x:v>46252.68496519676</x:v>
      </x:c>
      <x:c r="G1528" t="str">
        <x:v>byt</x:v>
      </x:c>
      <x:c r="H1528" s="12" t="n">
        <x:v>1</x:v>
      </x:c>
      <x:c r="I1528" s="13" t="n">
        <x:v>4</x:v>
      </x:c>
      <x:c r="J1528" t="str">
        <x:v>Š86</x:v>
      </x:c>
      <x:c r="K1528" s="14" t="n">
        <x:v>30.16</x:v>
      </x:c>
      <x:c r="L1528" s="14" t="n">
        <x:v>3.39</x:v>
      </x:c>
      <x:c r="M1528" s="14"/>
      <x:c r="N1528" s="14"/>
      <x:c r="O1528" s="14"/>
      <x:c r="P1528" s="14" t="n">
        <x:v>3.39</x:v>
      </x:c>
      <x:c r="Q1528" s="14" t="n">
        <x:v>33.55</x:v>
      </x:c>
      <x:c r="R1528" s="15"/>
      <x:c r="S1528" s="15"/>
      <x:c r="T1528" s="15"/>
      <x:c r="U1528" s="16"/>
      <x:c r="V1528" t="str">
        <x:v>EDVIN Properties</x:v>
      </x:c>
      <x:c r="W1528" t="str">
        <x:v>Staré Mesto</x:v>
      </x:c>
      <x:c r="X1528" s="11" t="str">
        <x:v>Predaný</x:v>
      </x:c>
      <x:c r="Y1528" s="11" t="str">
        <x:v>https://www.mytna37.sk/ponuka</x:v>
      </x:c>
      <x:c r="Z1528" s="11" t="n">
        <x:v>46252.68496519676</x:v>
      </x:c>
      <x:c r="AA1528" s="11" t="n">
        <x:v>46254.51251577547</x:v>
      </x:c>
      <x:c r="AB1528" s="11" t="n">
        <x:v>46254.51251577547</x:v>
      </x:c>
      <x:c r="AC1528" t="str">
        <x:v>mytna_37</x:v>
      </x:c>
    </x:row>
    <x:row r="1529" ht="22" customHeight="1">
      <x:c r="A1529" t="str">
        <x:v>Mýtna 37</x:v>
      </x:c>
      <x:c r="B1529" t="str">
        <x:v>A4.6</x:v>
      </x:c>
      <x:c r="C1529" t="str">
        <x:v>reserved</x:v>
      </x:c>
      <x:c r="D1529" t="str">
        <x:v>present</x:v>
      </x:c>
      <x:c r="E1529" t="str">
        <x:v>baseline</x:v>
      </x:c>
      <x:c r="F1529" s="11" t="n">
        <x:v>46252.68496519676</x:v>
      </x:c>
      <x:c r="G1529" t="str">
        <x:v>byt</x:v>
      </x:c>
      <x:c r="H1529" s="12" t="n">
        <x:v>1</x:v>
      </x:c>
      <x:c r="I1529" s="13" t="n">
        <x:v>4</x:v>
      </x:c>
      <x:c r="J1529" t="str">
        <x:v>Š86</x:v>
      </x:c>
      <x:c r="K1529" s="14" t="n">
        <x:v>30.16</x:v>
      </x:c>
      <x:c r="L1529" s="14" t="n">
        <x:v>3.39</x:v>
      </x:c>
      <x:c r="M1529" s="14"/>
      <x:c r="N1529" s="14"/>
      <x:c r="O1529" s="14"/>
      <x:c r="P1529" s="14" t="n">
        <x:v>3.39</x:v>
      </x:c>
      <x:c r="Q1529" s="14" t="n">
        <x:v>33.55</x:v>
      </x:c>
      <x:c r="R1529" s="15" t="n">
        <x:v>223400</x:v>
      </x:c>
      <x:c r="S1529" s="15" t="n">
        <x:v>232400</x:v>
      </x:c>
      <x:c r="T1529" s="15" t="n">
        <x:v>223400</x:v>
      </x:c>
      <x:c r="U1529" s="16" t="n">
        <x:v>7407.16</x:v>
      </x:c>
      <x:c r="V1529" t="str">
        <x:v>EDVIN Properties</x:v>
      </x:c>
      <x:c r="W1529" t="str">
        <x:v>Staré Mesto</x:v>
      </x:c>
      <x:c r="X1529" s="11" t="str">
        <x:v>Rezervovaný</x:v>
      </x:c>
      <x:c r="Y1529" s="11" t="str">
        <x:v>https://www.mytna37.sk/ponuka</x:v>
      </x:c>
      <x:c r="Z1529" s="11" t="n">
        <x:v>46252.68496519676</x:v>
      </x:c>
      <x:c r="AA1529" s="11" t="n">
        <x:v>46254.51251577547</x:v>
      </x:c>
      <x:c r="AB1529" s="11" t="n">
        <x:v>46254.51251577547</x:v>
      </x:c>
      <x:c r="AC1529" t="str">
        <x:v>mytna_37</x:v>
      </x:c>
    </x:row>
    <x:row r="1530" ht="22" customHeight="1">
      <x:c r="A1530" t="str">
        <x:v>Mýtna 37</x:v>
      </x:c>
      <x:c r="B1530" t="str">
        <x:v>A4.7</x:v>
      </x:c>
      <x:c r="C1530" t="str">
        <x:v>coming_soon</x:v>
      </x:c>
      <x:c r="D1530" t="str">
        <x:v>present</x:v>
      </x:c>
      <x:c r="E1530" t="str">
        <x:v>baseline</x:v>
      </x:c>
      <x:c r="F1530" s="11" t="n">
        <x:v>46252.68496519676</x:v>
      </x:c>
      <x:c r="G1530" t="str">
        <x:v>byt</x:v>
      </x:c>
      <x:c r="H1530" s="12" t="n">
        <x:v>1</x:v>
      </x:c>
      <x:c r="I1530" s="13" t="n">
        <x:v>4</x:v>
      </x:c>
      <x:c r="J1530" t="str">
        <x:v>Š86</x:v>
      </x:c>
      <x:c r="K1530" s="14" t="n">
        <x:v>30.03</x:v>
      </x:c>
      <x:c r="L1530" s="14" t="n">
        <x:v>3.39</x:v>
      </x:c>
      <x:c r="M1530" s="14"/>
      <x:c r="N1530" s="14"/>
      <x:c r="O1530" s="14"/>
      <x:c r="P1530" s="14" t="n">
        <x:v>3.39</x:v>
      </x:c>
      <x:c r="Q1530" s="14" t="n">
        <x:v>33.42</x:v>
      </x:c>
      <x:c r="R1530" s="15"/>
      <x:c r="S1530" s="15"/>
      <x:c r="T1530" s="15"/>
      <x:c r="U1530" s="16"/>
      <x:c r="V1530" t="str">
        <x:v>EDVIN Properties</x:v>
      </x:c>
      <x:c r="W1530" t="str">
        <x:v>Staré Mesto</x:v>
      </x:c>
      <x:c r="X1530" s="11" t="str">
        <x:v>Čoskoro v predaji</x:v>
      </x:c>
      <x:c r="Y1530" s="11" t="str">
        <x:v>https://www.mytna37.sk/ponuka</x:v>
      </x:c>
      <x:c r="Z1530" s="11" t="n">
        <x:v>46252.68496519676</x:v>
      </x:c>
      <x:c r="AA1530" s="11" t="n">
        <x:v>46254.51251577547</x:v>
      </x:c>
      <x:c r="AB1530" s="11" t="n">
        <x:v>46254.51251577547</x:v>
      </x:c>
      <x:c r="AC1530" t="str">
        <x:v>mytna_37</x:v>
      </x:c>
    </x:row>
    <x:row r="1531" ht="22" customHeight="1">
      <x:c r="A1531" t="str">
        <x:v>Mýtna 37</x:v>
      </x:c>
      <x:c r="B1531" t="str">
        <x:v>A4.8</x:v>
      </x:c>
      <x:c r="C1531" t="str">
        <x:v>coming_soon</x:v>
      </x:c>
      <x:c r="D1531" t="str">
        <x:v>present</x:v>
      </x:c>
      <x:c r="E1531" t="str">
        <x:v>baseline</x:v>
      </x:c>
      <x:c r="F1531" s="11" t="n">
        <x:v>46252.68496519676</x:v>
      </x:c>
      <x:c r="G1531" t="str">
        <x:v>byt</x:v>
      </x:c>
      <x:c r="H1531" s="12" t="n">
        <x:v>1</x:v>
      </x:c>
      <x:c r="I1531" s="13" t="n">
        <x:v>4</x:v>
      </x:c>
      <x:c r="J1531" t="str">
        <x:v>Š86</x:v>
      </x:c>
      <x:c r="K1531" s="14" t="n">
        <x:v>44.05</x:v>
      </x:c>
      <x:c r="L1531" s="14" t="n">
        <x:v>3.32</x:v>
      </x:c>
      <x:c r="M1531" s="14"/>
      <x:c r="N1531" s="14"/>
      <x:c r="O1531" s="14"/>
      <x:c r="P1531" s="14" t="n">
        <x:v>3.32</x:v>
      </x:c>
      <x:c r="Q1531" s="14" t="n">
        <x:v>47.37</x:v>
      </x:c>
      <x:c r="R1531" s="15"/>
      <x:c r="S1531" s="15"/>
      <x:c r="T1531" s="15"/>
      <x:c r="U1531" s="16"/>
      <x:c r="V1531" t="str">
        <x:v>EDVIN Properties</x:v>
      </x:c>
      <x:c r="W1531" t="str">
        <x:v>Staré Mesto</x:v>
      </x:c>
      <x:c r="X1531" s="11" t="str">
        <x:v>Čoskoro v predaji</x:v>
      </x:c>
      <x:c r="Y1531" s="11" t="str">
        <x:v>https://www.mytna37.sk/ponuka</x:v>
      </x:c>
      <x:c r="Z1531" s="11" t="n">
        <x:v>46252.68496519676</x:v>
      </x:c>
      <x:c r="AA1531" s="11" t="n">
        <x:v>46254.51251577547</x:v>
      </x:c>
      <x:c r="AB1531" s="11" t="n">
        <x:v>46254.51251577547</x:v>
      </x:c>
      <x:c r="AC1531" t="str">
        <x:v>mytna_37</x:v>
      </x:c>
    </x:row>
    <x:row r="1532" ht="22" customHeight="1">
      <x:c r="A1532" t="str">
        <x:v>Mýtna 37</x:v>
      </x:c>
      <x:c r="B1532" t="str">
        <x:v>A5.1</x:v>
      </x:c>
      <x:c r="C1532" t="str">
        <x:v>sold</x:v>
      </x:c>
      <x:c r="D1532" t="str">
        <x:v>present</x:v>
      </x:c>
      <x:c r="E1532" t="str">
        <x:v>baseline</x:v>
      </x:c>
      <x:c r="F1532" s="11" t="n">
        <x:v>46252.68496519676</x:v>
      </x:c>
      <x:c r="G1532" t="str">
        <x:v>byt</x:v>
      </x:c>
      <x:c r="H1532" s="12" t="n">
        <x:v>2</x:v>
      </x:c>
      <x:c r="I1532" s="13" t="n">
        <x:v>5</x:v>
      </x:c>
      <x:c r="J1532" t="str">
        <x:v>Š86</x:v>
      </x:c>
      <x:c r="K1532" s="14" t="n">
        <x:v>50.57</x:v>
      </x:c>
      <x:c r="L1532" s="14" t="n">
        <x:v>8.26</x:v>
      </x:c>
      <x:c r="M1532" s="14"/>
      <x:c r="N1532" s="14"/>
      <x:c r="O1532" s="14"/>
      <x:c r="P1532" s="14" t="n">
        <x:v>8.26</x:v>
      </x:c>
      <x:c r="Q1532" s="14" t="n">
        <x:v>58.83</x:v>
      </x:c>
      <x:c r="R1532" s="15"/>
      <x:c r="S1532" s="15"/>
      <x:c r="T1532" s="15"/>
      <x:c r="U1532" s="16"/>
      <x:c r="V1532" t="str">
        <x:v>EDVIN Properties</x:v>
      </x:c>
      <x:c r="W1532" t="str">
        <x:v>Staré Mesto</x:v>
      </x:c>
      <x:c r="X1532" s="11" t="str">
        <x:v>Predaný</x:v>
      </x:c>
      <x:c r="Y1532" s="11" t="str">
        <x:v>https://www.mytna37.sk/ponuka</x:v>
      </x:c>
      <x:c r="Z1532" s="11" t="n">
        <x:v>46252.68496519676</x:v>
      </x:c>
      <x:c r="AA1532" s="11" t="n">
        <x:v>46254.51251577547</x:v>
      </x:c>
      <x:c r="AB1532" s="11" t="n">
        <x:v>46254.51251577547</x:v>
      </x:c>
      <x:c r="AC1532" t="str">
        <x:v>mytna_37</x:v>
      </x:c>
    </x:row>
    <x:row r="1533" ht="22" customHeight="1">
      <x:c r="A1533" t="str">
        <x:v>Mýtna 37</x:v>
      </x:c>
      <x:c r="B1533" t="str">
        <x:v>A5.2</x:v>
      </x:c>
      <x:c r="C1533" t="str">
        <x:v>available</x:v>
      </x:c>
      <x:c r="D1533" t="str">
        <x:v>present</x:v>
      </x:c>
      <x:c r="E1533" t="str">
        <x:v>baseline</x:v>
      </x:c>
      <x:c r="F1533" s="11" t="n">
        <x:v>46252.68496519676</x:v>
      </x:c>
      <x:c r="G1533" t="str">
        <x:v>byt</x:v>
      </x:c>
      <x:c r="H1533" s="12" t="n">
        <x:v>4</x:v>
      </x:c>
      <x:c r="I1533" s="13" t="n">
        <x:v>5</x:v>
      </x:c>
      <x:c r="J1533" t="str">
        <x:v>Š86</x:v>
      </x:c>
      <x:c r="K1533" s="14" t="n">
        <x:v>100.93</x:v>
      </x:c>
      <x:c r="L1533" s="14" t="n">
        <x:v>23.55</x:v>
      </x:c>
      <x:c r="M1533" s="14"/>
      <x:c r="N1533" s="14"/>
      <x:c r="O1533" s="14"/>
      <x:c r="P1533" s="14" t="n">
        <x:v>23.55</x:v>
      </x:c>
      <x:c r="Q1533" s="14" t="n">
        <x:v>124.48</x:v>
      </x:c>
      <x:c r="R1533" s="15" t="n">
        <x:v>750100</x:v>
      </x:c>
      <x:c r="S1533" s="15" t="n">
        <x:v>780200</x:v>
      </x:c>
      <x:c r="T1533" s="15" t="n">
        <x:v>750100</x:v>
      </x:c>
      <x:c r="U1533" s="16" t="n">
        <x:v>7431.88</x:v>
      </x:c>
      <x:c r="V1533" t="str">
        <x:v>EDVIN Properties</x:v>
      </x:c>
      <x:c r="W1533" t="str">
        <x:v>Staré Mesto</x:v>
      </x:c>
      <x:c r="X1533" s="11" t="str">
        <x:v>Voľný</x:v>
      </x:c>
      <x:c r="Y1533" s="11" t="str">
        <x:v>https://www.mytna37.sk/ponuka</x:v>
      </x:c>
      <x:c r="Z1533" s="11" t="n">
        <x:v>46252.68496519676</x:v>
      </x:c>
      <x:c r="AA1533" s="11" t="n">
        <x:v>46254.51251577547</x:v>
      </x:c>
      <x:c r="AB1533" s="11" t="n">
        <x:v>46254.51251577547</x:v>
      </x:c>
      <x:c r="AC1533" t="str">
        <x:v>mytna_37</x:v>
      </x:c>
    </x:row>
    <x:row r="1534" ht="22" customHeight="1">
      <x:c r="A1534" t="str">
        <x:v>Mýtna 37</x:v>
      </x:c>
      <x:c r="B1534" t="str">
        <x:v>A5.3</x:v>
      </x:c>
      <x:c r="C1534" t="str">
        <x:v>available</x:v>
      </x:c>
      <x:c r="D1534" t="str">
        <x:v>present</x:v>
      </x:c>
      <x:c r="E1534" t="str">
        <x:v>baseline</x:v>
      </x:c>
      <x:c r="F1534" s="11" t="n">
        <x:v>46252.68496519676</x:v>
      </x:c>
      <x:c r="G1534" t="str">
        <x:v>byt</x:v>
      </x:c>
      <x:c r="H1534" s="12" t="n">
        <x:v>1</x:v>
      </x:c>
      <x:c r="I1534" s="13" t="n">
        <x:v>5</x:v>
      </x:c>
      <x:c r="J1534" t="str">
        <x:v>Š86</x:v>
      </x:c>
      <x:c r="K1534" s="14" t="n">
        <x:v>31.65</x:v>
      </x:c>
      <x:c r="L1534" s="14" t="n">
        <x:v>3.3</x:v>
      </x:c>
      <x:c r="M1534" s="14"/>
      <x:c r="N1534" s="14"/>
      <x:c r="O1534" s="14"/>
      <x:c r="P1534" s="14" t="n">
        <x:v>3.3</x:v>
      </x:c>
      <x:c r="Q1534" s="14" t="n">
        <x:v>34.95</x:v>
      </x:c>
      <x:c r="R1534" s="15" t="n">
        <x:v>234000</x:v>
      </x:c>
      <x:c r="S1534" s="15" t="n">
        <x:v>243400</x:v>
      </x:c>
      <x:c r="T1534" s="15" t="n">
        <x:v>234000</x:v>
      </x:c>
      <x:c r="U1534" s="16" t="n">
        <x:v>7393.36</x:v>
      </x:c>
      <x:c r="V1534" t="str">
        <x:v>EDVIN Properties</x:v>
      </x:c>
      <x:c r="W1534" t="str">
        <x:v>Staré Mesto</x:v>
      </x:c>
      <x:c r="X1534" s="11" t="str">
        <x:v>Voľný</x:v>
      </x:c>
      <x:c r="Y1534" s="11" t="str">
        <x:v>https://www.mytna37.sk/ponuka</x:v>
      </x:c>
      <x:c r="Z1534" s="11" t="n">
        <x:v>46252.68496519676</x:v>
      </x:c>
      <x:c r="AA1534" s="11" t="n">
        <x:v>46254.51251577547</x:v>
      </x:c>
      <x:c r="AB1534" s="11" t="n">
        <x:v>46254.51251577547</x:v>
      </x:c>
      <x:c r="AC1534" t="str">
        <x:v>mytna_37</x:v>
      </x:c>
    </x:row>
    <x:row r="1535" ht="22" customHeight="1">
      <x:c r="A1535" t="str">
        <x:v>Mýtna 37</x:v>
      </x:c>
      <x:c r="B1535" t="str">
        <x:v>A5.4</x:v>
      </x:c>
      <x:c r="C1535" t="str">
        <x:v>available</x:v>
      </x:c>
      <x:c r="D1535" t="str">
        <x:v>present</x:v>
      </x:c>
      <x:c r="E1535" t="str">
        <x:v>baseline</x:v>
      </x:c>
      <x:c r="F1535" s="11" t="n">
        <x:v>46252.68496519676</x:v>
      </x:c>
      <x:c r="G1535" t="str">
        <x:v>byt</x:v>
      </x:c>
      <x:c r="H1535" s="12" t="n">
        <x:v>1</x:v>
      </x:c>
      <x:c r="I1535" s="13" t="n">
        <x:v>5</x:v>
      </x:c>
      <x:c r="J1535" t="str">
        <x:v>Š86</x:v>
      </x:c>
      <x:c r="K1535" s="14" t="n">
        <x:v>30.15</x:v>
      </x:c>
      <x:c r="L1535" s="14" t="n">
        <x:v>3.39</x:v>
      </x:c>
      <x:c r="M1535" s="14"/>
      <x:c r="N1535" s="14"/>
      <x:c r="O1535" s="14"/>
      <x:c r="P1535" s="14" t="n">
        <x:v>3.39</x:v>
      </x:c>
      <x:c r="Q1535" s="14" t="n">
        <x:v>33.54</x:v>
      </x:c>
      <x:c r="R1535" s="15" t="n">
        <x:v>226100</x:v>
      </x:c>
      <x:c r="S1535" s="15" t="n">
        <x:v>235200</x:v>
      </x:c>
      <x:c r="T1535" s="15" t="n">
        <x:v>226100</x:v>
      </x:c>
      <x:c r="U1535" s="16" t="n">
        <x:v>7499.17</x:v>
      </x:c>
      <x:c r="V1535" t="str">
        <x:v>EDVIN Properties</x:v>
      </x:c>
      <x:c r="W1535" t="str">
        <x:v>Staré Mesto</x:v>
      </x:c>
      <x:c r="X1535" s="11" t="str">
        <x:v>Voľný</x:v>
      </x:c>
      <x:c r="Y1535" s="11" t="str">
        <x:v>https://www.mytna37.sk/ponuka</x:v>
      </x:c>
      <x:c r="Z1535" s="11" t="n">
        <x:v>46252.68496519676</x:v>
      </x:c>
      <x:c r="AA1535" s="11" t="n">
        <x:v>46254.51251577547</x:v>
      </x:c>
      <x:c r="AB1535" s="11" t="n">
        <x:v>46254.51251577547</x:v>
      </x:c>
      <x:c r="AC1535" t="str">
        <x:v>mytna_37</x:v>
      </x:c>
    </x:row>
    <x:row r="1536" ht="22" customHeight="1">
      <x:c r="A1536" t="str">
        <x:v>Mýtna 37</x:v>
      </x:c>
      <x:c r="B1536" t="str">
        <x:v>A5.5</x:v>
      </x:c>
      <x:c r="C1536" t="str">
        <x:v>reserved</x:v>
      </x:c>
      <x:c r="D1536" t="str">
        <x:v>present</x:v>
      </x:c>
      <x:c r="E1536" t="str">
        <x:v>baseline</x:v>
      </x:c>
      <x:c r="F1536" s="11" t="n">
        <x:v>46252.68496519676</x:v>
      </x:c>
      <x:c r="G1536" t="str">
        <x:v>byt</x:v>
      </x:c>
      <x:c r="H1536" s="12" t="n">
        <x:v>1</x:v>
      </x:c>
      <x:c r="I1536" s="13" t="n">
        <x:v>5</x:v>
      </x:c>
      <x:c r="J1536" t="str">
        <x:v>Š86</x:v>
      </x:c>
      <x:c r="K1536" s="14" t="n">
        <x:v>30.16</x:v>
      </x:c>
      <x:c r="L1536" s="14" t="n">
        <x:v>3.39</x:v>
      </x:c>
      <x:c r="M1536" s="14"/>
      <x:c r="N1536" s="14"/>
      <x:c r="O1536" s="14"/>
      <x:c r="P1536" s="14" t="n">
        <x:v>3.39</x:v>
      </x:c>
      <x:c r="Q1536" s="14" t="n">
        <x:v>33.55</x:v>
      </x:c>
      <x:c r="R1536" s="15" t="n">
        <x:v>226100</x:v>
      </x:c>
      <x:c r="S1536" s="15" t="n">
        <x:v>235200</x:v>
      </x:c>
      <x:c r="T1536" s="15" t="n">
        <x:v>226100</x:v>
      </x:c>
      <x:c r="U1536" s="16" t="n">
        <x:v>7496.68</x:v>
      </x:c>
      <x:c r="V1536" t="str">
        <x:v>EDVIN Properties</x:v>
      </x:c>
      <x:c r="W1536" t="str">
        <x:v>Staré Mesto</x:v>
      </x:c>
      <x:c r="X1536" s="11" t="str">
        <x:v>Rezervovaný</x:v>
      </x:c>
      <x:c r="Y1536" s="11" t="str">
        <x:v>https://www.mytna37.sk/ponuka</x:v>
      </x:c>
      <x:c r="Z1536" s="11" t="n">
        <x:v>46252.68496519676</x:v>
      </x:c>
      <x:c r="AA1536" s="11" t="n">
        <x:v>46254.51251577547</x:v>
      </x:c>
      <x:c r="AB1536" s="11" t="n">
        <x:v>46254.51251577547</x:v>
      </x:c>
      <x:c r="AC1536" t="str">
        <x:v>mytna_37</x:v>
      </x:c>
    </x:row>
    <x:row r="1537" ht="22" customHeight="1">
      <x:c r="A1537" t="str">
        <x:v>Mýtna 37</x:v>
      </x:c>
      <x:c r="B1537" t="str">
        <x:v>A5.6</x:v>
      </x:c>
      <x:c r="C1537" t="str">
        <x:v>available</x:v>
      </x:c>
      <x:c r="D1537" t="str">
        <x:v>present</x:v>
      </x:c>
      <x:c r="E1537" t="str">
        <x:v>baseline</x:v>
      </x:c>
      <x:c r="F1537" s="11" t="n">
        <x:v>46252.68496519676</x:v>
      </x:c>
      <x:c r="G1537" t="str">
        <x:v>byt</x:v>
      </x:c>
      <x:c r="H1537" s="12" t="n">
        <x:v>1</x:v>
      </x:c>
      <x:c r="I1537" s="13" t="n">
        <x:v>5</x:v>
      </x:c>
      <x:c r="J1537" t="str">
        <x:v>Š86</x:v>
      </x:c>
      <x:c r="K1537" s="14" t="n">
        <x:v>30.03</x:v>
      </x:c>
      <x:c r="L1537" s="14" t="n">
        <x:v>3.39</x:v>
      </x:c>
      <x:c r="M1537" s="14"/>
      <x:c r="N1537" s="14"/>
      <x:c r="O1537" s="14"/>
      <x:c r="P1537" s="14" t="n">
        <x:v>3.39</x:v>
      </x:c>
      <x:c r="Q1537" s="14" t="n">
        <x:v>33.42</x:v>
      </x:c>
      <x:c r="R1537" s="15" t="n">
        <x:v>225600</x:v>
      </x:c>
      <x:c r="S1537" s="15" t="n">
        <x:v>234700</x:v>
      </x:c>
      <x:c r="T1537" s="15" t="n">
        <x:v>225600</x:v>
      </x:c>
      <x:c r="U1537" s="16" t="n">
        <x:v>7512.49</x:v>
      </x:c>
      <x:c r="V1537" t="str">
        <x:v>EDVIN Properties</x:v>
      </x:c>
      <x:c r="W1537" t="str">
        <x:v>Staré Mesto</x:v>
      </x:c>
      <x:c r="X1537" s="11" t="str">
        <x:v>Voľný</x:v>
      </x:c>
      <x:c r="Y1537" s="11" t="str">
        <x:v>https://www.mytna37.sk/ponuka</x:v>
      </x:c>
      <x:c r="Z1537" s="11" t="n">
        <x:v>46252.68496519676</x:v>
      </x:c>
      <x:c r="AA1537" s="11" t="n">
        <x:v>46254.51251577547</x:v>
      </x:c>
      <x:c r="AB1537" s="11" t="n">
        <x:v>46254.51251577547</x:v>
      </x:c>
      <x:c r="AC1537" t="str">
        <x:v>mytna_37</x:v>
      </x:c>
    </x:row>
    <x:row r="1538" ht="22" customHeight="1">
      <x:c r="A1538" t="str">
        <x:v>Mýtna 37</x:v>
      </x:c>
      <x:c r="B1538" t="str">
        <x:v>A5.7</x:v>
      </x:c>
      <x:c r="C1538" t="str">
        <x:v>available</x:v>
      </x:c>
      <x:c r="D1538" t="str">
        <x:v>present</x:v>
      </x:c>
      <x:c r="E1538" t="str">
        <x:v>baseline</x:v>
      </x:c>
      <x:c r="F1538" s="11" t="n">
        <x:v>46252.68496519676</x:v>
      </x:c>
      <x:c r="G1538" t="str">
        <x:v>byt</x:v>
      </x:c>
      <x:c r="H1538" s="12" t="n">
        <x:v>1</x:v>
      </x:c>
      <x:c r="I1538" s="13" t="n">
        <x:v>5</x:v>
      </x:c>
      <x:c r="J1538" t="str">
        <x:v>Š86</x:v>
      </x:c>
      <x:c r="K1538" s="14" t="n">
        <x:v>44.05</x:v>
      </x:c>
      <x:c r="L1538" s="14" t="n">
        <x:v>3.32</x:v>
      </x:c>
      <x:c r="M1538" s="14"/>
      <x:c r="N1538" s="14"/>
      <x:c r="O1538" s="14"/>
      <x:c r="P1538" s="14" t="n">
        <x:v>3.32</x:v>
      </x:c>
      <x:c r="Q1538" s="14" t="n">
        <x:v>47.37</x:v>
      </x:c>
      <x:c r="R1538" s="15" t="n">
        <x:v>289500</x:v>
      </x:c>
      <x:c r="S1538" s="15" t="n">
        <x:v>301100</x:v>
      </x:c>
      <x:c r="T1538" s="15" t="n">
        <x:v>289500</x:v>
      </x:c>
      <x:c r="U1538" s="16" t="n">
        <x:v>6572.08</x:v>
      </x:c>
      <x:c r="V1538" t="str">
        <x:v>EDVIN Properties</x:v>
      </x:c>
      <x:c r="W1538" t="str">
        <x:v>Staré Mesto</x:v>
      </x:c>
      <x:c r="X1538" s="11" t="str">
        <x:v>Voľný</x:v>
      </x:c>
      <x:c r="Y1538" s="11" t="str">
        <x:v>https://www.mytna37.sk/ponuka</x:v>
      </x:c>
      <x:c r="Z1538" s="11" t="n">
        <x:v>46252.68496519676</x:v>
      </x:c>
      <x:c r="AA1538" s="11" t="n">
        <x:v>46254.51251577547</x:v>
      </x:c>
      <x:c r="AB1538" s="11" t="n">
        <x:v>46254.51251577547</x:v>
      </x:c>
      <x:c r="AC1538" t="str">
        <x:v>mytna_37</x:v>
      </x:c>
    </x:row>
    <x:row r="1539" ht="22" customHeight="1">
      <x:c r="A1539" t="str">
        <x:v>Mýtna 37</x:v>
      </x:c>
      <x:c r="B1539" t="str">
        <x:v>A6.1</x:v>
      </x:c>
      <x:c r="C1539" t="str">
        <x:v>sold</x:v>
      </x:c>
      <x:c r="D1539" t="str">
        <x:v>present</x:v>
      </x:c>
      <x:c r="E1539" t="str">
        <x:v>baseline</x:v>
      </x:c>
      <x:c r="F1539" s="11" t="n">
        <x:v>46252.68496519676</x:v>
      </x:c>
      <x:c r="G1539" t="str">
        <x:v>byt</x:v>
      </x:c>
      <x:c r="H1539" s="12" t="n">
        <x:v>2</x:v>
      </x:c>
      <x:c r="I1539" s="13" t="n">
        <x:v>6</x:v>
      </x:c>
      <x:c r="J1539" t="str">
        <x:v>Š86</x:v>
      </x:c>
      <x:c r="K1539" s="14" t="n">
        <x:v>50.57</x:v>
      </x:c>
      <x:c r="L1539" s="14" t="n">
        <x:v>8.26</x:v>
      </x:c>
      <x:c r="M1539" s="14"/>
      <x:c r="N1539" s="14"/>
      <x:c r="O1539" s="14"/>
      <x:c r="P1539" s="14" t="n">
        <x:v>8.26</x:v>
      </x:c>
      <x:c r="Q1539" s="14" t="n">
        <x:v>58.83</x:v>
      </x:c>
      <x:c r="R1539" s="15"/>
      <x:c r="S1539" s="15"/>
      <x:c r="T1539" s="15"/>
      <x:c r="U1539" s="16"/>
      <x:c r="V1539" t="str">
        <x:v>EDVIN Properties</x:v>
      </x:c>
      <x:c r="W1539" t="str">
        <x:v>Staré Mesto</x:v>
      </x:c>
      <x:c r="X1539" s="11" t="str">
        <x:v>Predaný</x:v>
      </x:c>
      <x:c r="Y1539" s="11" t="str">
        <x:v>https://www.mytna37.sk/ponuka</x:v>
      </x:c>
      <x:c r="Z1539" s="11" t="n">
        <x:v>46252.68496519676</x:v>
      </x:c>
      <x:c r="AA1539" s="11" t="n">
        <x:v>46254.51251577547</x:v>
      </x:c>
      <x:c r="AB1539" s="11" t="n">
        <x:v>46254.51251577547</x:v>
      </x:c>
      <x:c r="AC1539" t="str">
        <x:v>mytna_37</x:v>
      </x:c>
    </x:row>
    <x:row r="1540" ht="22" customHeight="1">
      <x:c r="A1540" t="str">
        <x:v>Mýtna 37</x:v>
      </x:c>
      <x:c r="B1540" t="str">
        <x:v>A6.2</x:v>
      </x:c>
      <x:c r="C1540" t="str">
        <x:v>coming_soon</x:v>
      </x:c>
      <x:c r="D1540" t="str">
        <x:v>present</x:v>
      </x:c>
      <x:c r="E1540" t="str">
        <x:v>baseline</x:v>
      </x:c>
      <x:c r="F1540" s="11" t="n">
        <x:v>46252.68496519676</x:v>
      </x:c>
      <x:c r="G1540" t="str">
        <x:v>byt</x:v>
      </x:c>
      <x:c r="H1540" s="12" t="n">
        <x:v>4</x:v>
      </x:c>
      <x:c r="I1540" s="13" t="n">
        <x:v>6</x:v>
      </x:c>
      <x:c r="J1540" t="str">
        <x:v>Š86</x:v>
      </x:c>
      <x:c r="K1540" s="14" t="n">
        <x:v>100.95</x:v>
      </x:c>
      <x:c r="L1540" s="14" t="n">
        <x:v>23.55</x:v>
      </x:c>
      <x:c r="M1540" s="14"/>
      <x:c r="N1540" s="14"/>
      <x:c r="O1540" s="14"/>
      <x:c r="P1540" s="14" t="n">
        <x:v>23.55</x:v>
      </x:c>
      <x:c r="Q1540" s="14" t="n">
        <x:v>124.5</x:v>
      </x:c>
      <x:c r="R1540" s="15"/>
      <x:c r="S1540" s="15"/>
      <x:c r="T1540" s="15"/>
      <x:c r="U1540" s="16"/>
      <x:c r="V1540" t="str">
        <x:v>EDVIN Properties</x:v>
      </x:c>
      <x:c r="W1540" t="str">
        <x:v>Staré Mesto</x:v>
      </x:c>
      <x:c r="X1540" s="11" t="str">
        <x:v>Čoskoro v predaji</x:v>
      </x:c>
      <x:c r="Y1540" s="11" t="str">
        <x:v>https://www.mytna37.sk/ponuka</x:v>
      </x:c>
      <x:c r="Z1540" s="11" t="n">
        <x:v>46252.68496519676</x:v>
      </x:c>
      <x:c r="AA1540" s="11" t="n">
        <x:v>46254.51251577547</x:v>
      </x:c>
      <x:c r="AB1540" s="11" t="n">
        <x:v>46254.51251577547</x:v>
      </x:c>
      <x:c r="AC1540" t="str">
        <x:v>mytna_37</x:v>
      </x:c>
    </x:row>
    <x:row r="1541" ht="22" customHeight="1">
      <x:c r="A1541" t="str">
        <x:v>Mýtna 37</x:v>
      </x:c>
      <x:c r="B1541" t="str">
        <x:v>A6.3</x:v>
      </x:c>
      <x:c r="C1541" t="str">
        <x:v>coming_soon</x:v>
      </x:c>
      <x:c r="D1541" t="str">
        <x:v>present</x:v>
      </x:c>
      <x:c r="E1541" t="str">
        <x:v>baseline</x:v>
      </x:c>
      <x:c r="F1541" s="11" t="n">
        <x:v>46252.68496519676</x:v>
      </x:c>
      <x:c r="G1541" t="str">
        <x:v>byt</x:v>
      </x:c>
      <x:c r="H1541" s="12" t="n">
        <x:v>1</x:v>
      </x:c>
      <x:c r="I1541" s="13" t="n">
        <x:v>6</x:v>
      </x:c>
      <x:c r="J1541" t="str">
        <x:v>Š86</x:v>
      </x:c>
      <x:c r="K1541" s="14" t="n">
        <x:v>31.64</x:v>
      </x:c>
      <x:c r="L1541" s="14" t="n">
        <x:v>3.3</x:v>
      </x:c>
      <x:c r="M1541" s="14"/>
      <x:c r="N1541" s="14"/>
      <x:c r="O1541" s="14"/>
      <x:c r="P1541" s="14" t="n">
        <x:v>3.3</x:v>
      </x:c>
      <x:c r="Q1541" s="14" t="n">
        <x:v>34.94</x:v>
      </x:c>
      <x:c r="R1541" s="15"/>
      <x:c r="S1541" s="15"/>
      <x:c r="T1541" s="15"/>
      <x:c r="U1541" s="16"/>
      <x:c r="V1541" t="str">
        <x:v>EDVIN Properties</x:v>
      </x:c>
      <x:c r="W1541" t="str">
        <x:v>Staré Mesto</x:v>
      </x:c>
      <x:c r="X1541" s="11" t="str">
        <x:v>Čoskoro v predaji</x:v>
      </x:c>
      <x:c r="Y1541" s="11" t="str">
        <x:v>https://www.mytna37.sk/ponuka</x:v>
      </x:c>
      <x:c r="Z1541" s="11" t="n">
        <x:v>46252.68496519676</x:v>
      </x:c>
      <x:c r="AA1541" s="11" t="n">
        <x:v>46254.51251577547</x:v>
      </x:c>
      <x:c r="AB1541" s="11" t="n">
        <x:v>46254.51251577547</x:v>
      </x:c>
      <x:c r="AC1541" t="str">
        <x:v>mytna_37</x:v>
      </x:c>
    </x:row>
    <x:row r="1542" ht="22" customHeight="1">
      <x:c r="A1542" t="str">
        <x:v>Mýtna 37</x:v>
      </x:c>
      <x:c r="B1542" t="str">
        <x:v>A6.4</x:v>
      </x:c>
      <x:c r="C1542" t="str">
        <x:v>coming_soon</x:v>
      </x:c>
      <x:c r="D1542" t="str">
        <x:v>present</x:v>
      </x:c>
      <x:c r="E1542" t="str">
        <x:v>baseline</x:v>
      </x:c>
      <x:c r="F1542" s="11" t="n">
        <x:v>46252.68496519676</x:v>
      </x:c>
      <x:c r="G1542" t="str">
        <x:v>byt</x:v>
      </x:c>
      <x:c r="H1542" s="12" t="n">
        <x:v>1</x:v>
      </x:c>
      <x:c r="I1542" s="13" t="n">
        <x:v>6</x:v>
      </x:c>
      <x:c r="J1542" t="str">
        <x:v>Š86</x:v>
      </x:c>
      <x:c r="K1542" s="14" t="n">
        <x:v>30.16</x:v>
      </x:c>
      <x:c r="L1542" s="14" t="n">
        <x:v>3.39</x:v>
      </x:c>
      <x:c r="M1542" s="14"/>
      <x:c r="N1542" s="14"/>
      <x:c r="O1542" s="14"/>
      <x:c r="P1542" s="14" t="n">
        <x:v>3.39</x:v>
      </x:c>
      <x:c r="Q1542" s="14" t="n">
        <x:v>33.55</x:v>
      </x:c>
      <x:c r="R1542" s="15"/>
      <x:c r="S1542" s="15"/>
      <x:c r="T1542" s="15"/>
      <x:c r="U1542" s="16"/>
      <x:c r="V1542" t="str">
        <x:v>EDVIN Properties</x:v>
      </x:c>
      <x:c r="W1542" t="str">
        <x:v>Staré Mesto</x:v>
      </x:c>
      <x:c r="X1542" s="11" t="str">
        <x:v>Čoskoro v predaji</x:v>
      </x:c>
      <x:c r="Y1542" s="11" t="str">
        <x:v>https://www.mytna37.sk/ponuka</x:v>
      </x:c>
      <x:c r="Z1542" s="11" t="n">
        <x:v>46252.68496519676</x:v>
      </x:c>
      <x:c r="AA1542" s="11" t="n">
        <x:v>46254.51251577547</x:v>
      </x:c>
      <x:c r="AB1542" s="11" t="n">
        <x:v>46254.51251577547</x:v>
      </x:c>
      <x:c r="AC1542" t="str">
        <x:v>mytna_37</x:v>
      </x:c>
    </x:row>
    <x:row r="1543" ht="22" customHeight="1">
      <x:c r="A1543" t="str">
        <x:v>Mýtna 37</x:v>
      </x:c>
      <x:c r="B1543" t="str">
        <x:v>A6.5</x:v>
      </x:c>
      <x:c r="C1543" t="str">
        <x:v>coming_soon</x:v>
      </x:c>
      <x:c r="D1543" t="str">
        <x:v>present</x:v>
      </x:c>
      <x:c r="E1543" t="str">
        <x:v>baseline</x:v>
      </x:c>
      <x:c r="F1543" s="11" t="n">
        <x:v>46252.68496519676</x:v>
      </x:c>
      <x:c r="G1543" t="str">
        <x:v>byt</x:v>
      </x:c>
      <x:c r="H1543" s="12" t="n">
        <x:v>1</x:v>
      </x:c>
      <x:c r="I1543" s="13" t="n">
        <x:v>6</x:v>
      </x:c>
      <x:c r="J1543" t="str">
        <x:v>Š86</x:v>
      </x:c>
      <x:c r="K1543" s="14" t="n">
        <x:v>30.16</x:v>
      </x:c>
      <x:c r="L1543" s="14" t="n">
        <x:v>3.39</x:v>
      </x:c>
      <x:c r="M1543" s="14"/>
      <x:c r="N1543" s="14"/>
      <x:c r="O1543" s="14"/>
      <x:c r="P1543" s="14" t="n">
        <x:v>3.39</x:v>
      </x:c>
      <x:c r="Q1543" s="14" t="n">
        <x:v>33.55</x:v>
      </x:c>
      <x:c r="R1543" s="15"/>
      <x:c r="S1543" s="15"/>
      <x:c r="T1543" s="15"/>
      <x:c r="U1543" s="16"/>
      <x:c r="V1543" t="str">
        <x:v>EDVIN Properties</x:v>
      </x:c>
      <x:c r="W1543" t="str">
        <x:v>Staré Mesto</x:v>
      </x:c>
      <x:c r="X1543" s="11" t="str">
        <x:v>Čoskoro v predaji</x:v>
      </x:c>
      <x:c r="Y1543" s="11" t="str">
        <x:v>https://www.mytna37.sk/ponuka</x:v>
      </x:c>
      <x:c r="Z1543" s="11" t="n">
        <x:v>46252.68496519676</x:v>
      </x:c>
      <x:c r="AA1543" s="11" t="n">
        <x:v>46254.51251577547</x:v>
      </x:c>
      <x:c r="AB1543" s="11" t="n">
        <x:v>46254.51251577547</x:v>
      </x:c>
      <x:c r="AC1543" t="str">
        <x:v>mytna_37</x:v>
      </x:c>
    </x:row>
    <x:row r="1544" ht="22" customHeight="1">
      <x:c r="A1544" t="str">
        <x:v>Mýtna 37</x:v>
      </x:c>
      <x:c r="B1544" t="str">
        <x:v>A6.6</x:v>
      </x:c>
      <x:c r="C1544" t="str">
        <x:v>coming_soon</x:v>
      </x:c>
      <x:c r="D1544" t="str">
        <x:v>present</x:v>
      </x:c>
      <x:c r="E1544" t="str">
        <x:v>baseline</x:v>
      </x:c>
      <x:c r="F1544" s="11" t="n">
        <x:v>46252.68496519676</x:v>
      </x:c>
      <x:c r="G1544" t="str">
        <x:v>byt</x:v>
      </x:c>
      <x:c r="H1544" s="12" t="n">
        <x:v>1</x:v>
      </x:c>
      <x:c r="I1544" s="13" t="n">
        <x:v>6</x:v>
      </x:c>
      <x:c r="J1544" t="str">
        <x:v>Š86</x:v>
      </x:c>
      <x:c r="K1544" s="14" t="n">
        <x:v>30.03</x:v>
      </x:c>
      <x:c r="L1544" s="14" t="n">
        <x:v>3.39</x:v>
      </x:c>
      <x:c r="M1544" s="14"/>
      <x:c r="N1544" s="14"/>
      <x:c r="O1544" s="14"/>
      <x:c r="P1544" s="14" t="n">
        <x:v>3.39</x:v>
      </x:c>
      <x:c r="Q1544" s="14" t="n">
        <x:v>33.42</x:v>
      </x:c>
      <x:c r="R1544" s="15"/>
      <x:c r="S1544" s="15"/>
      <x:c r="T1544" s="15"/>
      <x:c r="U1544" s="16"/>
      <x:c r="V1544" t="str">
        <x:v>EDVIN Properties</x:v>
      </x:c>
      <x:c r="W1544" t="str">
        <x:v>Staré Mesto</x:v>
      </x:c>
      <x:c r="X1544" s="11" t="str">
        <x:v>Čoskoro v predaji</x:v>
      </x:c>
      <x:c r="Y1544" s="11" t="str">
        <x:v>https://www.mytna37.sk/ponuka</x:v>
      </x:c>
      <x:c r="Z1544" s="11" t="n">
        <x:v>46252.68496519676</x:v>
      </x:c>
      <x:c r="AA1544" s="11" t="n">
        <x:v>46254.51251577547</x:v>
      </x:c>
      <x:c r="AB1544" s="11" t="n">
        <x:v>46254.51251577547</x:v>
      </x:c>
      <x:c r="AC1544" t="str">
        <x:v>mytna_37</x:v>
      </x:c>
    </x:row>
    <x:row r="1545" ht="22" customHeight="1">
      <x:c r="A1545" t="str">
        <x:v>Mýtna 37</x:v>
      </x:c>
      <x:c r="B1545" t="str">
        <x:v>A6.7</x:v>
      </x:c>
      <x:c r="C1545" t="str">
        <x:v>coming_soon</x:v>
      </x:c>
      <x:c r="D1545" t="str">
        <x:v>present</x:v>
      </x:c>
      <x:c r="E1545" t="str">
        <x:v>baseline</x:v>
      </x:c>
      <x:c r="F1545" s="11" t="n">
        <x:v>46252.68496519676</x:v>
      </x:c>
      <x:c r="G1545" t="str">
        <x:v>byt</x:v>
      </x:c>
      <x:c r="H1545" s="12" t="n">
        <x:v>1</x:v>
      </x:c>
      <x:c r="I1545" s="13" t="n">
        <x:v>6</x:v>
      </x:c>
      <x:c r="J1545" t="str">
        <x:v>Š86</x:v>
      </x:c>
      <x:c r="K1545" s="14" t="n">
        <x:v>44.05</x:v>
      </x:c>
      <x:c r="L1545" s="14" t="n">
        <x:v>3.32</x:v>
      </x:c>
      <x:c r="M1545" s="14"/>
      <x:c r="N1545" s="14"/>
      <x:c r="O1545" s="14"/>
      <x:c r="P1545" s="14" t="n">
        <x:v>3.32</x:v>
      </x:c>
      <x:c r="Q1545" s="14" t="n">
        <x:v>47.37</x:v>
      </x:c>
      <x:c r="R1545" s="15"/>
      <x:c r="S1545" s="15"/>
      <x:c r="T1545" s="15"/>
      <x:c r="U1545" s="16"/>
      <x:c r="V1545" t="str">
        <x:v>EDVIN Properties</x:v>
      </x:c>
      <x:c r="W1545" t="str">
        <x:v>Staré Mesto</x:v>
      </x:c>
      <x:c r="X1545" s="11" t="str">
        <x:v>Čoskoro v predaji</x:v>
      </x:c>
      <x:c r="Y1545" s="11" t="str">
        <x:v>https://www.mytna37.sk/ponuka</x:v>
      </x:c>
      <x:c r="Z1545" s="11" t="n">
        <x:v>46252.68496519676</x:v>
      </x:c>
      <x:c r="AA1545" s="11" t="n">
        <x:v>46254.51251577547</x:v>
      </x:c>
      <x:c r="AB1545" s="11" t="n">
        <x:v>46254.51251577547</x:v>
      </x:c>
      <x:c r="AC1545" t="str">
        <x:v>mytna_37</x:v>
      </x:c>
    </x:row>
    <x:row r="1546" ht="22" customHeight="1">
      <x:c r="A1546" t="str">
        <x:v>Mýtna 37</x:v>
      </x:c>
      <x:c r="B1546" t="str">
        <x:v>A7.1</x:v>
      </x:c>
      <x:c r="C1546" t="str">
        <x:v>sold</x:v>
      </x:c>
      <x:c r="D1546" t="str">
        <x:v>present</x:v>
      </x:c>
      <x:c r="E1546" t="str">
        <x:v>baseline</x:v>
      </x:c>
      <x:c r="F1546" s="11" t="n">
        <x:v>46252.68496519676</x:v>
      </x:c>
      <x:c r="G1546" t="str">
        <x:v>byt</x:v>
      </x:c>
      <x:c r="H1546" s="12" t="n">
        <x:v>2</x:v>
      </x:c>
      <x:c r="I1546" s="13" t="n">
        <x:v>7</x:v>
      </x:c>
      <x:c r="J1546" t="str">
        <x:v>Š86</x:v>
      </x:c>
      <x:c r="K1546" s="14" t="n">
        <x:v>50.57</x:v>
      </x:c>
      <x:c r="L1546" s="14" t="n">
        <x:v>8.26</x:v>
      </x:c>
      <x:c r="M1546" s="14"/>
      <x:c r="N1546" s="14"/>
      <x:c r="O1546" s="14"/>
      <x:c r="P1546" s="14" t="n">
        <x:v>8.26</x:v>
      </x:c>
      <x:c r="Q1546" s="14" t="n">
        <x:v>58.83</x:v>
      </x:c>
      <x:c r="R1546" s="15"/>
      <x:c r="S1546" s="15"/>
      <x:c r="T1546" s="15"/>
      <x:c r="U1546" s="16"/>
      <x:c r="V1546" t="str">
        <x:v>EDVIN Properties</x:v>
      </x:c>
      <x:c r="W1546" t="str">
        <x:v>Staré Mesto</x:v>
      </x:c>
      <x:c r="X1546" s="11" t="str">
        <x:v>Predaný</x:v>
      </x:c>
      <x:c r="Y1546" s="11" t="str">
        <x:v>https://www.mytna37.sk/ponuka</x:v>
      </x:c>
      <x:c r="Z1546" s="11" t="n">
        <x:v>46252.68496519676</x:v>
      </x:c>
      <x:c r="AA1546" s="11" t="n">
        <x:v>46254.51251577547</x:v>
      </x:c>
      <x:c r="AB1546" s="11" t="n">
        <x:v>46254.51251577547</x:v>
      </x:c>
      <x:c r="AC1546" t="str">
        <x:v>mytna_37</x:v>
      </x:c>
    </x:row>
    <x:row r="1547" ht="22" customHeight="1">
      <x:c r="A1547" t="str">
        <x:v>Mýtna 37</x:v>
      </x:c>
      <x:c r="B1547" t="str">
        <x:v>A7.2</x:v>
      </x:c>
      <x:c r="C1547" t="str">
        <x:v>coming_soon</x:v>
      </x:c>
      <x:c r="D1547" t="str">
        <x:v>present</x:v>
      </x:c>
      <x:c r="E1547" t="str">
        <x:v>baseline</x:v>
      </x:c>
      <x:c r="F1547" s="11" t="n">
        <x:v>46252.68496519676</x:v>
      </x:c>
      <x:c r="G1547" t="str">
        <x:v>byt</x:v>
      </x:c>
      <x:c r="H1547" s="12" t="n">
        <x:v>4</x:v>
      </x:c>
      <x:c r="I1547" s="13" t="n">
        <x:v>7</x:v>
      </x:c>
      <x:c r="J1547" t="str">
        <x:v>Š86</x:v>
      </x:c>
      <x:c r="K1547" s="14" t="n">
        <x:v>100.95</x:v>
      </x:c>
      <x:c r="L1547" s="14" t="n">
        <x:v>23.55</x:v>
      </x:c>
      <x:c r="M1547" s="14"/>
      <x:c r="N1547" s="14"/>
      <x:c r="O1547" s="14"/>
      <x:c r="P1547" s="14" t="n">
        <x:v>23.55</x:v>
      </x:c>
      <x:c r="Q1547" s="14" t="n">
        <x:v>124.5</x:v>
      </x:c>
      <x:c r="R1547" s="15"/>
      <x:c r="S1547" s="15"/>
      <x:c r="T1547" s="15"/>
      <x:c r="U1547" s="16"/>
      <x:c r="V1547" t="str">
        <x:v>EDVIN Properties</x:v>
      </x:c>
      <x:c r="W1547" t="str">
        <x:v>Staré Mesto</x:v>
      </x:c>
      <x:c r="X1547" s="11" t="str">
        <x:v>Čoskoro v predaji</x:v>
      </x:c>
      <x:c r="Y1547" s="11" t="str">
        <x:v>https://www.mytna37.sk/ponuka</x:v>
      </x:c>
      <x:c r="Z1547" s="11" t="n">
        <x:v>46252.68496519676</x:v>
      </x:c>
      <x:c r="AA1547" s="11" t="n">
        <x:v>46254.51251577547</x:v>
      </x:c>
      <x:c r="AB1547" s="11" t="n">
        <x:v>46254.51251577547</x:v>
      </x:c>
      <x:c r="AC1547" t="str">
        <x:v>mytna_37</x:v>
      </x:c>
    </x:row>
    <x:row r="1548" ht="22" customHeight="1">
      <x:c r="A1548" t="str">
        <x:v>Mýtna 37</x:v>
      </x:c>
      <x:c r="B1548" t="str">
        <x:v>A7.3</x:v>
      </x:c>
      <x:c r="C1548" t="str">
        <x:v>coming_soon</x:v>
      </x:c>
      <x:c r="D1548" t="str">
        <x:v>present</x:v>
      </x:c>
      <x:c r="E1548" t="str">
        <x:v>baseline</x:v>
      </x:c>
      <x:c r="F1548" s="11" t="n">
        <x:v>46252.68496519676</x:v>
      </x:c>
      <x:c r="G1548" t="str">
        <x:v>byt</x:v>
      </x:c>
      <x:c r="H1548" s="12" t="n">
        <x:v>1</x:v>
      </x:c>
      <x:c r="I1548" s="13" t="n">
        <x:v>7</x:v>
      </x:c>
      <x:c r="J1548" t="str">
        <x:v>Š86</x:v>
      </x:c>
      <x:c r="K1548" s="14" t="n">
        <x:v>31.89</x:v>
      </x:c>
      <x:c r="L1548" s="14" t="n">
        <x:v>3.3</x:v>
      </x:c>
      <x:c r="M1548" s="14"/>
      <x:c r="N1548" s="14"/>
      <x:c r="O1548" s="14"/>
      <x:c r="P1548" s="14" t="n">
        <x:v>3.3</x:v>
      </x:c>
      <x:c r="Q1548" s="14" t="n">
        <x:v>35.19</x:v>
      </x:c>
      <x:c r="R1548" s="15"/>
      <x:c r="S1548" s="15"/>
      <x:c r="T1548" s="15"/>
      <x:c r="U1548" s="16"/>
      <x:c r="V1548" t="str">
        <x:v>EDVIN Properties</x:v>
      </x:c>
      <x:c r="W1548" t="str">
        <x:v>Staré Mesto</x:v>
      </x:c>
      <x:c r="X1548" s="11" t="str">
        <x:v>Čoskoro v predaji</x:v>
      </x:c>
      <x:c r="Y1548" s="11" t="str">
        <x:v>https://www.mytna37.sk/ponuka</x:v>
      </x:c>
      <x:c r="Z1548" s="11" t="n">
        <x:v>46252.68496519676</x:v>
      </x:c>
      <x:c r="AA1548" s="11" t="n">
        <x:v>46254.51251577547</x:v>
      </x:c>
      <x:c r="AB1548" s="11" t="n">
        <x:v>46254.51251577547</x:v>
      </x:c>
      <x:c r="AC1548" t="str">
        <x:v>mytna_37</x:v>
      </x:c>
    </x:row>
    <x:row r="1549" ht="22" customHeight="1">
      <x:c r="A1549" t="str">
        <x:v>Mýtna 37</x:v>
      </x:c>
      <x:c r="B1549" t="str">
        <x:v>A7.4</x:v>
      </x:c>
      <x:c r="C1549" t="str">
        <x:v>reserved</x:v>
      </x:c>
      <x:c r="D1549" t="str">
        <x:v>present</x:v>
      </x:c>
      <x:c r="E1549" t="str">
        <x:v>baseline</x:v>
      </x:c>
      <x:c r="F1549" s="11" t="n">
        <x:v>46252.68496519676</x:v>
      </x:c>
      <x:c r="G1549" t="str">
        <x:v>byt</x:v>
      </x:c>
      <x:c r="H1549" s="12" t="n">
        <x:v>1</x:v>
      </x:c>
      <x:c r="I1549" s="13" t="n">
        <x:v>7</x:v>
      </x:c>
      <x:c r="J1549" t="str">
        <x:v>Š86</x:v>
      </x:c>
      <x:c r="K1549" s="14" t="n">
        <x:v>30.15</x:v>
      </x:c>
      <x:c r="L1549" s="14" t="n">
        <x:v>3.39</x:v>
      </x:c>
      <x:c r="M1549" s="14"/>
      <x:c r="N1549" s="14"/>
      <x:c r="O1549" s="14"/>
      <x:c r="P1549" s="14" t="n">
        <x:v>3.39</x:v>
      </x:c>
      <x:c r="Q1549" s="14" t="n">
        <x:v>33.54</x:v>
      </x:c>
      <x:c r="R1549" s="15" t="n">
        <x:v>231658</x:v>
      </x:c>
      <x:c r="S1549" s="15" t="n">
        <x:v>241000</x:v>
      </x:c>
      <x:c r="T1549" s="15" t="n">
        <x:v>231658</x:v>
      </x:c>
      <x:c r="U1549" s="16" t="n">
        <x:v>7683.52</x:v>
      </x:c>
      <x:c r="V1549" t="str">
        <x:v>EDVIN Properties</x:v>
      </x:c>
      <x:c r="W1549" t="str">
        <x:v>Staré Mesto</x:v>
      </x:c>
      <x:c r="X1549" s="11" t="str">
        <x:v>Rezervovaný</x:v>
      </x:c>
      <x:c r="Y1549" s="11" t="str">
        <x:v>https://www.mytna37.sk/ponuka</x:v>
      </x:c>
      <x:c r="Z1549" s="11" t="n">
        <x:v>46252.68496519676</x:v>
      </x:c>
      <x:c r="AA1549" s="11" t="n">
        <x:v>46254.51251577547</x:v>
      </x:c>
      <x:c r="AB1549" s="11" t="n">
        <x:v>46254.51251577547</x:v>
      </x:c>
      <x:c r="AC1549" t="str">
        <x:v>mytna_37</x:v>
      </x:c>
    </x:row>
    <x:row r="1550" ht="22" customHeight="1">
      <x:c r="A1550" t="str">
        <x:v>Mýtna 37</x:v>
      </x:c>
      <x:c r="B1550" t="str">
        <x:v>A7.5</x:v>
      </x:c>
      <x:c r="C1550" t="str">
        <x:v>coming_soon</x:v>
      </x:c>
      <x:c r="D1550" t="str">
        <x:v>present</x:v>
      </x:c>
      <x:c r="E1550" t="str">
        <x:v>baseline</x:v>
      </x:c>
      <x:c r="F1550" s="11" t="n">
        <x:v>46252.68496519676</x:v>
      </x:c>
      <x:c r="G1550" t="str">
        <x:v>byt</x:v>
      </x:c>
      <x:c r="H1550" s="12" t="n">
        <x:v>1</x:v>
      </x:c>
      <x:c r="I1550" s="13" t="n">
        <x:v>7</x:v>
      </x:c>
      <x:c r="J1550" t="str">
        <x:v>Š86</x:v>
      </x:c>
      <x:c r="K1550" s="14" t="n">
        <x:v>30.41</x:v>
      </x:c>
      <x:c r="L1550" s="14" t="n">
        <x:v>3.39</x:v>
      </x:c>
      <x:c r="M1550" s="14"/>
      <x:c r="N1550" s="14"/>
      <x:c r="O1550" s="14"/>
      <x:c r="P1550" s="14" t="n">
        <x:v>3.39</x:v>
      </x:c>
      <x:c r="Q1550" s="14" t="n">
        <x:v>33.8</x:v>
      </x:c>
      <x:c r="R1550" s="15"/>
      <x:c r="S1550" s="15"/>
      <x:c r="T1550" s="15"/>
      <x:c r="U1550" s="16"/>
      <x:c r="V1550" t="str">
        <x:v>EDVIN Properties</x:v>
      </x:c>
      <x:c r="W1550" t="str">
        <x:v>Staré Mesto</x:v>
      </x:c>
      <x:c r="X1550" s="11" t="str">
        <x:v>Čoskoro v predaji</x:v>
      </x:c>
      <x:c r="Y1550" s="11" t="str">
        <x:v>https://www.mytna37.sk/ponuka</x:v>
      </x:c>
      <x:c r="Z1550" s="11" t="n">
        <x:v>46252.68496519676</x:v>
      </x:c>
      <x:c r="AA1550" s="11" t="n">
        <x:v>46254.51251577547</x:v>
      </x:c>
      <x:c r="AB1550" s="11" t="n">
        <x:v>46254.51251577547</x:v>
      </x:c>
      <x:c r="AC1550" t="str">
        <x:v>mytna_37</x:v>
      </x:c>
    </x:row>
    <x:row r="1551" ht="22" customHeight="1">
      <x:c r="A1551" t="str">
        <x:v>Mýtna 37</x:v>
      </x:c>
      <x:c r="B1551" t="str">
        <x:v>A7.6</x:v>
      </x:c>
      <x:c r="C1551" t="str">
        <x:v>coming_soon</x:v>
      </x:c>
      <x:c r="D1551" t="str">
        <x:v>present</x:v>
      </x:c>
      <x:c r="E1551" t="str">
        <x:v>baseline</x:v>
      </x:c>
      <x:c r="F1551" s="11" t="n">
        <x:v>46252.68496519676</x:v>
      </x:c>
      <x:c r="G1551" t="str">
        <x:v>byt</x:v>
      </x:c>
      <x:c r="H1551" s="12" t="n">
        <x:v>1</x:v>
      </x:c>
      <x:c r="I1551" s="13" t="n">
        <x:v>7</x:v>
      </x:c>
      <x:c r="J1551" t="str">
        <x:v>Š86</x:v>
      </x:c>
      <x:c r="K1551" s="14" t="n">
        <x:v>30.03</x:v>
      </x:c>
      <x:c r="L1551" s="14" t="n">
        <x:v>3.39</x:v>
      </x:c>
      <x:c r="M1551" s="14"/>
      <x:c r="N1551" s="14"/>
      <x:c r="O1551" s="14"/>
      <x:c r="P1551" s="14" t="n">
        <x:v>3.39</x:v>
      </x:c>
      <x:c r="Q1551" s="14" t="n">
        <x:v>33.42</x:v>
      </x:c>
      <x:c r="R1551" s="15"/>
      <x:c r="S1551" s="15"/>
      <x:c r="T1551" s="15"/>
      <x:c r="U1551" s="16"/>
      <x:c r="V1551" t="str">
        <x:v>EDVIN Properties</x:v>
      </x:c>
      <x:c r="W1551" t="str">
        <x:v>Staré Mesto</x:v>
      </x:c>
      <x:c r="X1551" s="11" t="str">
        <x:v>Čoskoro v predaji</x:v>
      </x:c>
      <x:c r="Y1551" s="11" t="str">
        <x:v>https://www.mytna37.sk/ponuka</x:v>
      </x:c>
      <x:c r="Z1551" s="11" t="n">
        <x:v>46252.68496519676</x:v>
      </x:c>
      <x:c r="AA1551" s="11" t="n">
        <x:v>46254.51251577547</x:v>
      </x:c>
      <x:c r="AB1551" s="11" t="n">
        <x:v>46254.51251577547</x:v>
      </x:c>
      <x:c r="AC1551" t="str">
        <x:v>mytna_37</x:v>
      </x:c>
    </x:row>
    <x:row r="1552" ht="22" customHeight="1">
      <x:c r="A1552" t="str">
        <x:v>Mýtna 37</x:v>
      </x:c>
      <x:c r="B1552" t="str">
        <x:v>A7.7</x:v>
      </x:c>
      <x:c r="C1552" t="str">
        <x:v>available</x:v>
      </x:c>
      <x:c r="D1552" t="str">
        <x:v>present</x:v>
      </x:c>
      <x:c r="E1552" t="str">
        <x:v>baseline</x:v>
      </x:c>
      <x:c r="F1552" s="11" t="n">
        <x:v>46252.68496519676</x:v>
      </x:c>
      <x:c r="G1552" t="str">
        <x:v>byt</x:v>
      </x:c>
      <x:c r="H1552" s="12" t="n">
        <x:v>1</x:v>
      </x:c>
      <x:c r="I1552" s="13" t="n">
        <x:v>7</x:v>
      </x:c>
      <x:c r="J1552" t="str">
        <x:v>Š86</x:v>
      </x:c>
      <x:c r="K1552" s="14" t="n">
        <x:v>44.25</x:v>
      </x:c>
      <x:c r="L1552" s="14" t="n">
        <x:v>3.32</x:v>
      </x:c>
      <x:c r="M1552" s="14"/>
      <x:c r="N1552" s="14"/>
      <x:c r="O1552" s="14"/>
      <x:c r="P1552" s="14" t="n">
        <x:v>3.32</x:v>
      </x:c>
      <x:c r="Q1552" s="14" t="n">
        <x:v>47.57</x:v>
      </x:c>
      <x:c r="R1552" s="15" t="n">
        <x:v>297500</x:v>
      </x:c>
      <x:c r="S1552" s="15" t="n">
        <x:v>309400</x:v>
      </x:c>
      <x:c r="T1552" s="15" t="n">
        <x:v>297500</x:v>
      </x:c>
      <x:c r="U1552" s="16" t="n">
        <x:v>6723.16</x:v>
      </x:c>
      <x:c r="V1552" t="str">
        <x:v>EDVIN Properties</x:v>
      </x:c>
      <x:c r="W1552" t="str">
        <x:v>Staré Mesto</x:v>
      </x:c>
      <x:c r="X1552" s="11" t="str">
        <x:v>Voľný</x:v>
      </x:c>
      <x:c r="Y1552" s="11" t="str">
        <x:v>https://www.mytna37.sk/ponuka</x:v>
      </x:c>
      <x:c r="Z1552" s="11" t="n">
        <x:v>46252.68496519676</x:v>
      </x:c>
      <x:c r="AA1552" s="11" t="n">
        <x:v>46254.51251577547</x:v>
      </x:c>
      <x:c r="AB1552" s="11" t="n">
        <x:v>46254.51251577547</x:v>
      </x:c>
      <x:c r="AC1552" t="str">
        <x:v>mytna_37</x:v>
      </x:c>
    </x:row>
    <x:row r="1553" ht="22" customHeight="1">
      <x:c r="A1553" t="str">
        <x:v>Mýtna 37</x:v>
      </x:c>
      <x:c r="B1553" t="str">
        <x:v>A8.1</x:v>
      </x:c>
      <x:c r="C1553" t="str">
        <x:v>coming_soon</x:v>
      </x:c>
      <x:c r="D1553" t="str">
        <x:v>present</x:v>
      </x:c>
      <x:c r="E1553" t="str">
        <x:v>baseline</x:v>
      </x:c>
      <x:c r="F1553" s="11" t="n">
        <x:v>46252.68496519676</x:v>
      </x:c>
      <x:c r="G1553" t="str">
        <x:v>byt</x:v>
      </x:c>
      <x:c r="H1553" s="12" t="n">
        <x:v>3</x:v>
      </x:c>
      <x:c r="I1553" s="13" t="n">
        <x:v>8</x:v>
      </x:c>
      <x:c r="J1553" t="str">
        <x:v>Š86</x:v>
      </x:c>
      <x:c r="K1553" s="14" t="n">
        <x:v>110.6</x:v>
      </x:c>
      <x:c r="L1553" s="14" t="n">
        <x:v>0</x:v>
      </x:c>
      <x:c r="M1553" s="14"/>
      <x:c r="N1553" s="14" t="n">
        <x:v>60.87</x:v>
      </x:c>
      <x:c r="O1553" s="14"/>
      <x:c r="P1553" s="14" t="n">
        <x:v>60.87</x:v>
      </x:c>
      <x:c r="Q1553" s="14" t="n">
        <x:v>171.47</x:v>
      </x:c>
      <x:c r="R1553" s="15"/>
      <x:c r="S1553" s="15"/>
      <x:c r="T1553" s="15"/>
      <x:c r="U1553" s="16"/>
      <x:c r="V1553" t="str">
        <x:v>EDVIN Properties</x:v>
      </x:c>
      <x:c r="W1553" t="str">
        <x:v>Staré Mesto</x:v>
      </x:c>
      <x:c r="X1553" s="11" t="str">
        <x:v>Čoskoro v predaji</x:v>
      </x:c>
      <x:c r="Y1553" s="11" t="str">
        <x:v>https://www.mytna37.sk/ponuka</x:v>
      </x:c>
      <x:c r="Z1553" s="11" t="n">
        <x:v>46252.68496519676</x:v>
      </x:c>
      <x:c r="AA1553" s="11" t="n">
        <x:v>46254.51251577547</x:v>
      </x:c>
      <x:c r="AB1553" s="11" t="n">
        <x:v>46254.51251577547</x:v>
      </x:c>
      <x:c r="AC1553" t="str">
        <x:v>mytna_37</x:v>
      </x:c>
    </x:row>
    <x:row r="1554" ht="22" customHeight="1">
      <x:c r="A1554" t="str">
        <x:v>Mýtna 37</x:v>
      </x:c>
      <x:c r="B1554" t="str">
        <x:v>A8.2</x:v>
      </x:c>
      <x:c r="C1554" t="str">
        <x:v>coming_soon</x:v>
      </x:c>
      <x:c r="D1554" t="str">
        <x:v>present</x:v>
      </x:c>
      <x:c r="E1554" t="str">
        <x:v>baseline</x:v>
      </x:c>
      <x:c r="F1554" s="11" t="n">
        <x:v>46252.68496519676</x:v>
      </x:c>
      <x:c r="G1554" t="str">
        <x:v>byt</x:v>
      </x:c>
      <x:c r="H1554" s="12" t="n">
        <x:v>4</x:v>
      </x:c>
      <x:c r="I1554" s="13" t="n">
        <x:v>8</x:v>
      </x:c>
      <x:c r="J1554" t="str">
        <x:v>Š86</x:v>
      </x:c>
      <x:c r="K1554" s="14" t="n">
        <x:v>158.31</x:v>
      </x:c>
      <x:c r="L1554" s="14" t="n">
        <x:v>32.74</x:v>
      </x:c>
      <x:c r="M1554" s="14"/>
      <x:c r="N1554" s="14" t="n">
        <x:v>36.98</x:v>
      </x:c>
      <x:c r="O1554" s="14"/>
      <x:c r="P1554" s="14" t="n">
        <x:v>69.72</x:v>
      </x:c>
      <x:c r="Q1554" s="14" t="n">
        <x:v>228.03</x:v>
      </x:c>
      <x:c r="R1554" s="15"/>
      <x:c r="S1554" s="15"/>
      <x:c r="T1554" s="15"/>
      <x:c r="U1554" s="16"/>
      <x:c r="V1554" t="str">
        <x:v>EDVIN Properties</x:v>
      </x:c>
      <x:c r="W1554" t="str">
        <x:v>Staré Mesto</x:v>
      </x:c>
      <x:c r="X1554" s="11" t="str">
        <x:v>Čoskoro v predaji</x:v>
      </x:c>
      <x:c r="Y1554" s="11" t="str">
        <x:v>https://www.mytna37.sk/ponuka</x:v>
      </x:c>
      <x:c r="Z1554" s="11" t="n">
        <x:v>46252.68496519676</x:v>
      </x:c>
      <x:c r="AA1554" s="11" t="n">
        <x:v>46254.51251577547</x:v>
      </x:c>
      <x:c r="AB1554" s="11" t="n">
        <x:v>46254.51251577547</x:v>
      </x:c>
      <x:c r="AC1554" t="str">
        <x:v>mytna_37</x:v>
      </x:c>
    </x:row>
    <x:row r="1555" ht="22" customHeight="1">
      <x:c r="A1555" t="str">
        <x:v>Mýtna 37</x:v>
      </x:c>
      <x:c r="B1555" t="str">
        <x:v>B2.1</x:v>
      </x:c>
      <x:c r="C1555" t="str">
        <x:v>available</x:v>
      </x:c>
      <x:c r="D1555" t="str">
        <x:v>present</x:v>
      </x:c>
      <x:c r="E1555" t="str">
        <x:v>baseline</x:v>
      </x:c>
      <x:c r="F1555" s="11" t="n">
        <x:v>46252.68496519676</x:v>
      </x:c>
      <x:c r="G1555" t="str">
        <x:v>byt</x:v>
      </x:c>
      <x:c r="H1555" s="12" t="n">
        <x:v>3</x:v>
      </x:c>
      <x:c r="I1555" s="13" t="n">
        <x:v>2</x:v>
      </x:c>
      <x:c r="J1555" t="str">
        <x:v>M37</x:v>
      </x:c>
      <x:c r="K1555" s="14" t="n">
        <x:v>72.71</x:v>
      </x:c>
      <x:c r="L1555" s="14" t="n">
        <x:v>5</x:v>
      </x:c>
      <x:c r="M1555" s="14"/>
      <x:c r="N1555" s="14"/>
      <x:c r="O1555" s="14"/>
      <x:c r="P1555" s="14" t="n">
        <x:v>5</x:v>
      </x:c>
      <x:c r="Q1555" s="14" t="n">
        <x:v>77.71</x:v>
      </x:c>
      <x:c r="R1555" s="15" t="n">
        <x:v>472900</x:v>
      </x:c>
      <x:c r="S1555" s="15" t="n">
        <x:v>491900</x:v>
      </x:c>
      <x:c r="T1555" s="15" t="n">
        <x:v>472900</x:v>
      </x:c>
      <x:c r="U1555" s="16" t="n">
        <x:v>6503.92</x:v>
      </x:c>
      <x:c r="V1555" t="str">
        <x:v>EDVIN Properties</x:v>
      </x:c>
      <x:c r="W1555" t="str">
        <x:v>Staré Mesto</x:v>
      </x:c>
      <x:c r="X1555" s="11" t="str">
        <x:v>Voľný</x:v>
      </x:c>
      <x:c r="Y1555" s="11" t="str">
        <x:v>https://www.mytna37.sk/ponuka</x:v>
      </x:c>
      <x:c r="Z1555" s="11" t="n">
        <x:v>46252.68496519676</x:v>
      </x:c>
      <x:c r="AA1555" s="11" t="n">
        <x:v>46254.51251577547</x:v>
      </x:c>
      <x:c r="AB1555" s="11" t="n">
        <x:v>46254.51251577547</x:v>
      </x:c>
      <x:c r="AC1555" t="str">
        <x:v>mytna_37</x:v>
      </x:c>
    </x:row>
    <x:row r="1556" ht="22" customHeight="1">
      <x:c r="A1556" t="str">
        <x:v>Mýtna 37</x:v>
      </x:c>
      <x:c r="B1556" t="str">
        <x:v>B2.2</x:v>
      </x:c>
      <x:c r="C1556" t="str">
        <x:v>available</x:v>
      </x:c>
      <x:c r="D1556" t="str">
        <x:v>present</x:v>
      </x:c>
      <x:c r="E1556" t="str">
        <x:v>baseline</x:v>
      </x:c>
      <x:c r="F1556" s="11" t="n">
        <x:v>46252.68496519676</x:v>
      </x:c>
      <x:c r="G1556" t="str">
        <x:v>byt</x:v>
      </x:c>
      <x:c r="H1556" s="12" t="n">
        <x:v>2</x:v>
      </x:c>
      <x:c r="I1556" s="13" t="n">
        <x:v>2</x:v>
      </x:c>
      <x:c r="J1556" t="str">
        <x:v>M37</x:v>
      </x:c>
      <x:c r="K1556" s="14" t="n">
        <x:v>45.57</x:v>
      </x:c>
      <x:c r="L1556" s="14" t="n">
        <x:v>4.28</x:v>
      </x:c>
      <x:c r="M1556" s="14"/>
      <x:c r="N1556" s="14"/>
      <x:c r="O1556" s="14"/>
      <x:c r="P1556" s="14" t="n">
        <x:v>4.28</x:v>
      </x:c>
      <x:c r="Q1556" s="14" t="n">
        <x:v>49.85</x:v>
      </x:c>
      <x:c r="R1556" s="15" t="n">
        <x:v>336400</x:v>
      </x:c>
      <x:c r="S1556" s="15" t="n">
        <x:v>349900</x:v>
      </x:c>
      <x:c r="T1556" s="15" t="n">
        <x:v>336400</x:v>
      </x:c>
      <x:c r="U1556" s="16" t="n">
        <x:v>7382.05</x:v>
      </x:c>
      <x:c r="V1556" t="str">
        <x:v>EDVIN Properties</x:v>
      </x:c>
      <x:c r="W1556" t="str">
        <x:v>Staré Mesto</x:v>
      </x:c>
      <x:c r="X1556" s="11" t="str">
        <x:v>Voľný</x:v>
      </x:c>
      <x:c r="Y1556" s="11" t="str">
        <x:v>https://www.mytna37.sk/ponuka</x:v>
      </x:c>
      <x:c r="Z1556" s="11" t="n">
        <x:v>46252.68496519676</x:v>
      </x:c>
      <x:c r="AA1556" s="11" t="n">
        <x:v>46254.51251577547</x:v>
      </x:c>
      <x:c r="AB1556" s="11" t="n">
        <x:v>46254.51251577547</x:v>
      </x:c>
      <x:c r="AC1556" t="str">
        <x:v>mytna_37</x:v>
      </x:c>
    </x:row>
    <x:row r="1557" ht="22" customHeight="1">
      <x:c r="A1557" t="str">
        <x:v>Mýtna 37</x:v>
      </x:c>
      <x:c r="B1557" t="str">
        <x:v>B2.3</x:v>
      </x:c>
      <x:c r="C1557" t="str">
        <x:v>available</x:v>
      </x:c>
      <x:c r="D1557" t="str">
        <x:v>present</x:v>
      </x:c>
      <x:c r="E1557" t="str">
        <x:v>baseline</x:v>
      </x:c>
      <x:c r="F1557" s="11" t="n">
        <x:v>46252.68496519676</x:v>
      </x:c>
      <x:c r="G1557" t="str">
        <x:v>byt</x:v>
      </x:c>
      <x:c r="H1557" s="12" t="n">
        <x:v>2</x:v>
      </x:c>
      <x:c r="I1557" s="13" t="n">
        <x:v>2</x:v>
      </x:c>
      <x:c r="J1557" t="str">
        <x:v>M37</x:v>
      </x:c>
      <x:c r="K1557" s="14" t="n">
        <x:v>45.37</x:v>
      </x:c>
      <x:c r="L1557" s="14" t="n">
        <x:v>4.25</x:v>
      </x:c>
      <x:c r="M1557" s="14"/>
      <x:c r="N1557" s="14"/>
      <x:c r="O1557" s="14"/>
      <x:c r="P1557" s="14" t="n">
        <x:v>4.25</x:v>
      </x:c>
      <x:c r="Q1557" s="14" t="n">
        <x:v>49.62</x:v>
      </x:c>
      <x:c r="R1557" s="15" t="n">
        <x:v>337600</x:v>
      </x:c>
      <x:c r="S1557" s="15" t="n">
        <x:v>351200</x:v>
      </x:c>
      <x:c r="T1557" s="15" t="n">
        <x:v>337600</x:v>
      </x:c>
      <x:c r="U1557" s="16" t="n">
        <x:v>7441.04</x:v>
      </x:c>
      <x:c r="V1557" t="str">
        <x:v>EDVIN Properties</x:v>
      </x:c>
      <x:c r="W1557" t="str">
        <x:v>Staré Mesto</x:v>
      </x:c>
      <x:c r="X1557" s="11" t="str">
        <x:v>Voľný</x:v>
      </x:c>
      <x:c r="Y1557" s="11" t="str">
        <x:v>https://www.mytna37.sk/ponuka</x:v>
      </x:c>
      <x:c r="Z1557" s="11" t="n">
        <x:v>46252.68496519676</x:v>
      </x:c>
      <x:c r="AA1557" s="11" t="n">
        <x:v>46254.51251577547</x:v>
      </x:c>
      <x:c r="AB1557" s="11" t="n">
        <x:v>46254.51251577547</x:v>
      </x:c>
      <x:c r="AC1557" t="str">
        <x:v>mytna_37</x:v>
      </x:c>
    </x:row>
    <x:row r="1558" ht="22" customHeight="1">
      <x:c r="A1558" t="str">
        <x:v>Mýtna 37</x:v>
      </x:c>
      <x:c r="B1558" t="str">
        <x:v>B2.4</x:v>
      </x:c>
      <x:c r="C1558" t="str">
        <x:v>available</x:v>
      </x:c>
      <x:c r="D1558" t="str">
        <x:v>present</x:v>
      </x:c>
      <x:c r="E1558" t="str">
        <x:v>baseline</x:v>
      </x:c>
      <x:c r="F1558" s="11" t="n">
        <x:v>46252.68496519676</x:v>
      </x:c>
      <x:c r="G1558" t="str">
        <x:v>byt</x:v>
      </x:c>
      <x:c r="H1558" s="12" t="n">
        <x:v>3</x:v>
      </x:c>
      <x:c r="I1558" s="13" t="n">
        <x:v>2</x:v>
      </x:c>
      <x:c r="J1558" t="str">
        <x:v>M37</x:v>
      </x:c>
      <x:c r="K1558" s="14" t="n">
        <x:v>76.37</x:v>
      </x:c>
      <x:c r="L1558" s="14" t="n">
        <x:v>5</x:v>
      </x:c>
      <x:c r="M1558" s="14"/>
      <x:c r="N1558" s="14"/>
      <x:c r="O1558" s="14"/>
      <x:c r="P1558" s="14" t="n">
        <x:v>5</x:v>
      </x:c>
      <x:c r="Q1558" s="14" t="n">
        <x:v>81.37</x:v>
      </x:c>
      <x:c r="R1558" s="15" t="n">
        <x:v>492700</x:v>
      </x:c>
      <x:c r="S1558" s="15" t="n">
        <x:v>512500</x:v>
      </x:c>
      <x:c r="T1558" s="15" t="n">
        <x:v>492700</x:v>
      </x:c>
      <x:c r="U1558" s="16" t="n">
        <x:v>6451.49</x:v>
      </x:c>
      <x:c r="V1558" t="str">
        <x:v>EDVIN Properties</x:v>
      </x:c>
      <x:c r="W1558" t="str">
        <x:v>Staré Mesto</x:v>
      </x:c>
      <x:c r="X1558" s="11" t="str">
        <x:v>Voľný</x:v>
      </x:c>
      <x:c r="Y1558" s="11" t="str">
        <x:v>https://www.mytna37.sk/ponuka</x:v>
      </x:c>
      <x:c r="Z1558" s="11" t="n">
        <x:v>46252.68496519676</x:v>
      </x:c>
      <x:c r="AA1558" s="11" t="n">
        <x:v>46254.51251577547</x:v>
      </x:c>
      <x:c r="AB1558" s="11" t="n">
        <x:v>46254.51251577547</x:v>
      </x:c>
      <x:c r="AC1558" t="str">
        <x:v>mytna_37</x:v>
      </x:c>
    </x:row>
    <x:row r="1559" ht="22" customHeight="1">
      <x:c r="A1559" t="str">
        <x:v>Mýtna 37</x:v>
      </x:c>
      <x:c r="B1559" t="str">
        <x:v>B3.1</x:v>
      </x:c>
      <x:c r="C1559" t="str">
        <x:v>available</x:v>
      </x:c>
      <x:c r="D1559" t="str">
        <x:v>present</x:v>
      </x:c>
      <x:c r="E1559" t="str">
        <x:v>baseline</x:v>
      </x:c>
      <x:c r="F1559" s="11" t="n">
        <x:v>46252.68496519676</x:v>
      </x:c>
      <x:c r="G1559" t="str">
        <x:v>byt</x:v>
      </x:c>
      <x:c r="H1559" s="12" t="n">
        <x:v>3</x:v>
      </x:c>
      <x:c r="I1559" s="13" t="n">
        <x:v>3</x:v>
      </x:c>
      <x:c r="J1559" t="str">
        <x:v>M37</x:v>
      </x:c>
      <x:c r="K1559" s="14" t="n">
        <x:v>72.85</x:v>
      </x:c>
      <x:c r="L1559" s="14" t="n">
        <x:v>5</x:v>
      </x:c>
      <x:c r="M1559" s="14"/>
      <x:c r="N1559" s="14"/>
      <x:c r="O1559" s="14"/>
      <x:c r="P1559" s="14" t="n">
        <x:v>5</x:v>
      </x:c>
      <x:c r="Q1559" s="14" t="n">
        <x:v>77.85</x:v>
      </x:c>
      <x:c r="R1559" s="15" t="n">
        <x:v>479500</x:v>
      </x:c>
      <x:c r="S1559" s="15" t="n">
        <x:v>498700</x:v>
      </x:c>
      <x:c r="T1559" s="15" t="n">
        <x:v>479500</x:v>
      </x:c>
      <x:c r="U1559" s="16" t="n">
        <x:v>6582.02</x:v>
      </x:c>
      <x:c r="V1559" t="str">
        <x:v>EDVIN Properties</x:v>
      </x:c>
      <x:c r="W1559" t="str">
        <x:v>Staré Mesto</x:v>
      </x:c>
      <x:c r="X1559" s="11" t="str">
        <x:v>Voľný</x:v>
      </x:c>
      <x:c r="Y1559" s="11" t="str">
        <x:v>https://www.mytna37.sk/ponuka</x:v>
      </x:c>
      <x:c r="Z1559" s="11" t="n">
        <x:v>46252.68496519676</x:v>
      </x:c>
      <x:c r="AA1559" s="11" t="n">
        <x:v>46254.51251577547</x:v>
      </x:c>
      <x:c r="AB1559" s="11" t="n">
        <x:v>46254.51251577547</x:v>
      </x:c>
      <x:c r="AC1559" t="str">
        <x:v>mytna_37</x:v>
      </x:c>
    </x:row>
    <x:row r="1560" ht="22" customHeight="1">
      <x:c r="A1560" t="str">
        <x:v>Mýtna 37</x:v>
      </x:c>
      <x:c r="B1560" t="str">
        <x:v>B3.2</x:v>
      </x:c>
      <x:c r="C1560" t="str">
        <x:v>available</x:v>
      </x:c>
      <x:c r="D1560" t="str">
        <x:v>present</x:v>
      </x:c>
      <x:c r="E1560" t="str">
        <x:v>baseline</x:v>
      </x:c>
      <x:c r="F1560" s="11" t="n">
        <x:v>46252.68496519676</x:v>
      </x:c>
      <x:c r="G1560" t="str">
        <x:v>byt</x:v>
      </x:c>
      <x:c r="H1560" s="12" t="n">
        <x:v>2</x:v>
      </x:c>
      <x:c r="I1560" s="13" t="n">
        <x:v>3</x:v>
      </x:c>
      <x:c r="J1560" t="str">
        <x:v>M37</x:v>
      </x:c>
      <x:c r="K1560" s="14" t="n">
        <x:v>45.57</x:v>
      </x:c>
      <x:c r="L1560" s="14" t="n">
        <x:v>4.28</x:v>
      </x:c>
      <x:c r="M1560" s="14"/>
      <x:c r="N1560" s="14"/>
      <x:c r="O1560" s="14"/>
      <x:c r="P1560" s="14" t="n">
        <x:v>4.28</x:v>
      </x:c>
      <x:c r="Q1560" s="14" t="n">
        <x:v>49.85</x:v>
      </x:c>
      <x:c r="R1560" s="15" t="n">
        <x:v>340625</x:v>
      </x:c>
      <x:c r="S1560" s="15" t="n">
        <x:v>354300</x:v>
      </x:c>
      <x:c r="T1560" s="15" t="n">
        <x:v>340625</x:v>
      </x:c>
      <x:c r="U1560" s="16" t="n">
        <x:v>7474.76</x:v>
      </x:c>
      <x:c r="V1560" t="str">
        <x:v>EDVIN Properties</x:v>
      </x:c>
      <x:c r="W1560" t="str">
        <x:v>Staré Mesto</x:v>
      </x:c>
      <x:c r="X1560" s="11" t="str">
        <x:v>Voľný</x:v>
      </x:c>
      <x:c r="Y1560" s="11" t="str">
        <x:v>https://www.mytna37.sk/ponuka</x:v>
      </x:c>
      <x:c r="Z1560" s="11" t="n">
        <x:v>46252.68496519676</x:v>
      </x:c>
      <x:c r="AA1560" s="11" t="n">
        <x:v>46254.51251577547</x:v>
      </x:c>
      <x:c r="AB1560" s="11" t="n">
        <x:v>46254.51251577547</x:v>
      </x:c>
      <x:c r="AC1560" t="str">
        <x:v>mytna_37</x:v>
      </x:c>
    </x:row>
    <x:row r="1561" ht="22" customHeight="1">
      <x:c r="A1561" t="str">
        <x:v>Mýtna 37</x:v>
      </x:c>
      <x:c r="B1561" t="str">
        <x:v>B3.3</x:v>
      </x:c>
      <x:c r="C1561" t="str">
        <x:v>available</x:v>
      </x:c>
      <x:c r="D1561" t="str">
        <x:v>present</x:v>
      </x:c>
      <x:c r="E1561" t="str">
        <x:v>baseline</x:v>
      </x:c>
      <x:c r="F1561" s="11" t="n">
        <x:v>46252.68496519676</x:v>
      </x:c>
      <x:c r="G1561" t="str">
        <x:v>byt</x:v>
      </x:c>
      <x:c r="H1561" s="12" t="n">
        <x:v>2</x:v>
      </x:c>
      <x:c r="I1561" s="13" t="n">
        <x:v>3</x:v>
      </x:c>
      <x:c r="J1561" t="str">
        <x:v>M37</x:v>
      </x:c>
      <x:c r="K1561" s="14" t="n">
        <x:v>45.37</x:v>
      </x:c>
      <x:c r="L1561" s="14" t="n">
        <x:v>4.25</x:v>
      </x:c>
      <x:c r="M1561" s="14"/>
      <x:c r="N1561" s="14"/>
      <x:c r="O1561" s="14"/>
      <x:c r="P1561" s="14" t="n">
        <x:v>4.25</x:v>
      </x:c>
      <x:c r="Q1561" s="14" t="n">
        <x:v>49.62</x:v>
      </x:c>
      <x:c r="R1561" s="15" t="n">
        <x:v>341772</x:v>
      </x:c>
      <x:c r="S1561" s="15" t="n">
        <x:v>355500</x:v>
      </x:c>
      <x:c r="T1561" s="15" t="n">
        <x:v>341772</x:v>
      </x:c>
      <x:c r="U1561" s="16" t="n">
        <x:v>7533</x:v>
      </x:c>
      <x:c r="V1561" t="str">
        <x:v>EDVIN Properties</x:v>
      </x:c>
      <x:c r="W1561" t="str">
        <x:v>Staré Mesto</x:v>
      </x:c>
      <x:c r="X1561" s="11" t="str">
        <x:v>Voľný</x:v>
      </x:c>
      <x:c r="Y1561" s="11" t="str">
        <x:v>https://www.mytna37.sk/ponuka</x:v>
      </x:c>
      <x:c r="Z1561" s="11" t="n">
        <x:v>46252.68496519676</x:v>
      </x:c>
      <x:c r="AA1561" s="11" t="n">
        <x:v>46254.51251577547</x:v>
      </x:c>
      <x:c r="AB1561" s="11" t="n">
        <x:v>46254.51251577547</x:v>
      </x:c>
      <x:c r="AC1561" t="str">
        <x:v>mytna_37</x:v>
      </x:c>
    </x:row>
    <x:row r="1562" ht="22" customHeight="1">
      <x:c r="A1562" t="str">
        <x:v>Mýtna 37</x:v>
      </x:c>
      <x:c r="B1562" t="str">
        <x:v>B3.4</x:v>
      </x:c>
      <x:c r="C1562" t="str">
        <x:v>available</x:v>
      </x:c>
      <x:c r="D1562" t="str">
        <x:v>present</x:v>
      </x:c>
      <x:c r="E1562" t="str">
        <x:v>baseline</x:v>
      </x:c>
      <x:c r="F1562" s="11" t="n">
        <x:v>46252.68496519676</x:v>
      </x:c>
      <x:c r="G1562" t="str">
        <x:v>byt</x:v>
      </x:c>
      <x:c r="H1562" s="12" t="n">
        <x:v>3</x:v>
      </x:c>
      <x:c r="I1562" s="13" t="n">
        <x:v>3</x:v>
      </x:c>
      <x:c r="J1562" t="str">
        <x:v>M37</x:v>
      </x:c>
      <x:c r="K1562" s="14" t="n">
        <x:v>76.51</x:v>
      </x:c>
      <x:c r="L1562" s="14" t="n">
        <x:v>5</x:v>
      </x:c>
      <x:c r="M1562" s="14"/>
      <x:c r="N1562" s="14"/>
      <x:c r="O1562" s="14"/>
      <x:c r="P1562" s="14" t="n">
        <x:v>5</x:v>
      </x:c>
      <x:c r="Q1562" s="14" t="n">
        <x:v>81.51</x:v>
      </x:c>
      <x:c r="R1562" s="15" t="n">
        <x:v>499600</x:v>
      </x:c>
      <x:c r="S1562" s="15" t="n">
        <x:v>519600</x:v>
      </x:c>
      <x:c r="T1562" s="15" t="n">
        <x:v>499600</x:v>
      </x:c>
      <x:c r="U1562" s="16" t="n">
        <x:v>6529.87</x:v>
      </x:c>
      <x:c r="V1562" t="str">
        <x:v>EDVIN Properties</x:v>
      </x:c>
      <x:c r="W1562" t="str">
        <x:v>Staré Mesto</x:v>
      </x:c>
      <x:c r="X1562" s="11" t="str">
        <x:v>Voľný</x:v>
      </x:c>
      <x:c r="Y1562" s="11" t="str">
        <x:v>https://www.mytna37.sk/ponuka</x:v>
      </x:c>
      <x:c r="Z1562" s="11" t="n">
        <x:v>46252.68496519676</x:v>
      </x:c>
      <x:c r="AA1562" s="11" t="n">
        <x:v>46254.51251577547</x:v>
      </x:c>
      <x:c r="AB1562" s="11" t="n">
        <x:v>46254.51251577547</x:v>
      </x:c>
      <x:c r="AC1562" t="str">
        <x:v>mytna_37</x:v>
      </x:c>
    </x:row>
    <x:row r="1563" ht="22" customHeight="1">
      <x:c r="A1563" t="str">
        <x:v>Mýtna 37</x:v>
      </x:c>
      <x:c r="B1563" t="str">
        <x:v>B4.1</x:v>
      </x:c>
      <x:c r="C1563" t="str">
        <x:v>coming_soon</x:v>
      </x:c>
      <x:c r="D1563" t="str">
        <x:v>present</x:v>
      </x:c>
      <x:c r="E1563" t="str">
        <x:v>baseline</x:v>
      </x:c>
      <x:c r="F1563" s="11" t="n">
        <x:v>46252.68496519676</x:v>
      </x:c>
      <x:c r="G1563" t="str">
        <x:v>byt</x:v>
      </x:c>
      <x:c r="H1563" s="12" t="n">
        <x:v>3</x:v>
      </x:c>
      <x:c r="I1563" s="13" t="n">
        <x:v>4</x:v>
      </x:c>
      <x:c r="J1563" t="str">
        <x:v>M37</x:v>
      </x:c>
      <x:c r="K1563" s="14" t="n">
        <x:v>72.85</x:v>
      </x:c>
      <x:c r="L1563" s="14" t="n">
        <x:v>5</x:v>
      </x:c>
      <x:c r="M1563" s="14"/>
      <x:c r="N1563" s="14"/>
      <x:c r="O1563" s="14"/>
      <x:c r="P1563" s="14" t="n">
        <x:v>5</x:v>
      </x:c>
      <x:c r="Q1563" s="14" t="n">
        <x:v>77.85</x:v>
      </x:c>
      <x:c r="R1563" s="15"/>
      <x:c r="S1563" s="15"/>
      <x:c r="T1563" s="15"/>
      <x:c r="U1563" s="16"/>
      <x:c r="V1563" t="str">
        <x:v>EDVIN Properties</x:v>
      </x:c>
      <x:c r="W1563" t="str">
        <x:v>Staré Mesto</x:v>
      </x:c>
      <x:c r="X1563" s="11" t="str">
        <x:v>Čoskoro v predaji</x:v>
      </x:c>
      <x:c r="Y1563" s="11" t="str">
        <x:v>https://www.mytna37.sk/ponuka</x:v>
      </x:c>
      <x:c r="Z1563" s="11" t="n">
        <x:v>46252.68496519676</x:v>
      </x:c>
      <x:c r="AA1563" s="11" t="n">
        <x:v>46254.51251577547</x:v>
      </x:c>
      <x:c r="AB1563" s="11" t="n">
        <x:v>46254.51251577547</x:v>
      </x:c>
      <x:c r="AC1563" t="str">
        <x:v>mytna_37</x:v>
      </x:c>
    </x:row>
    <x:row r="1564" ht="22" customHeight="1">
      <x:c r="A1564" t="str">
        <x:v>Mýtna 37</x:v>
      </x:c>
      <x:c r="B1564" t="str">
        <x:v>B4.2</x:v>
      </x:c>
      <x:c r="C1564" t="str">
        <x:v>sold</x:v>
      </x:c>
      <x:c r="D1564" t="str">
        <x:v>present</x:v>
      </x:c>
      <x:c r="E1564" t="str">
        <x:v>baseline</x:v>
      </x:c>
      <x:c r="F1564" s="11" t="n">
        <x:v>46252.68496519676</x:v>
      </x:c>
      <x:c r="G1564" t="str">
        <x:v>byt</x:v>
      </x:c>
      <x:c r="H1564" s="12" t="n">
        <x:v>2</x:v>
      </x:c>
      <x:c r="I1564" s="13" t="n">
        <x:v>4</x:v>
      </x:c>
      <x:c r="J1564" t="str">
        <x:v>M37</x:v>
      </x:c>
      <x:c r="K1564" s="14" t="n">
        <x:v>45.54</x:v>
      </x:c>
      <x:c r="L1564" s="14" t="n">
        <x:v>4.28</x:v>
      </x:c>
      <x:c r="M1564" s="14"/>
      <x:c r="N1564" s="14"/>
      <x:c r="O1564" s="14"/>
      <x:c r="P1564" s="14" t="n">
        <x:v>4.28</x:v>
      </x:c>
      <x:c r="Q1564" s="14" t="n">
        <x:v>49.82</x:v>
      </x:c>
      <x:c r="R1564" s="15"/>
      <x:c r="S1564" s="15"/>
      <x:c r="T1564" s="15"/>
      <x:c r="U1564" s="16"/>
      <x:c r="V1564" t="str">
        <x:v>EDVIN Properties</x:v>
      </x:c>
      <x:c r="W1564" t="str">
        <x:v>Staré Mesto</x:v>
      </x:c>
      <x:c r="X1564" s="11" t="str">
        <x:v>Predaný</x:v>
      </x:c>
      <x:c r="Y1564" s="11" t="str">
        <x:v>https://www.mytna37.sk/ponuka</x:v>
      </x:c>
      <x:c r="Z1564" s="11" t="n">
        <x:v>46252.68496519676</x:v>
      </x:c>
      <x:c r="AA1564" s="11" t="n">
        <x:v>46254.51251577547</x:v>
      </x:c>
      <x:c r="AB1564" s="11" t="n">
        <x:v>46254.51251577547</x:v>
      </x:c>
      <x:c r="AC1564" t="str">
        <x:v>mytna_37</x:v>
      </x:c>
    </x:row>
    <x:row r="1565" ht="22" customHeight="1">
      <x:c r="A1565" t="str">
        <x:v>Mýtna 37</x:v>
      </x:c>
      <x:c r="B1565" t="str">
        <x:v>B4.3</x:v>
      </x:c>
      <x:c r="C1565" t="str">
        <x:v>sold</x:v>
      </x:c>
      <x:c r="D1565" t="str">
        <x:v>present</x:v>
      </x:c>
      <x:c r="E1565" t="str">
        <x:v>baseline</x:v>
      </x:c>
      <x:c r="F1565" s="11" t="n">
        <x:v>46252.68496519676</x:v>
      </x:c>
      <x:c r="G1565" t="str">
        <x:v>byt</x:v>
      </x:c>
      <x:c r="H1565" s="12" t="n">
        <x:v>2</x:v>
      </x:c>
      <x:c r="I1565" s="13" t="n">
        <x:v>4</x:v>
      </x:c>
      <x:c r="J1565" t="str">
        <x:v>M37</x:v>
      </x:c>
      <x:c r="K1565" s="14" t="n">
        <x:v>45.36</x:v>
      </x:c>
      <x:c r="L1565" s="14" t="n">
        <x:v>4.25</x:v>
      </x:c>
      <x:c r="M1565" s="14"/>
      <x:c r="N1565" s="14"/>
      <x:c r="O1565" s="14"/>
      <x:c r="P1565" s="14" t="n">
        <x:v>4.25</x:v>
      </x:c>
      <x:c r="Q1565" s="14" t="n">
        <x:v>49.61</x:v>
      </x:c>
      <x:c r="R1565" s="15"/>
      <x:c r="S1565" s="15"/>
      <x:c r="T1565" s="15"/>
      <x:c r="U1565" s="16"/>
      <x:c r="V1565" t="str">
        <x:v>EDVIN Properties</x:v>
      </x:c>
      <x:c r="W1565" t="str">
        <x:v>Staré Mesto</x:v>
      </x:c>
      <x:c r="X1565" s="11" t="str">
        <x:v>Predaný</x:v>
      </x:c>
      <x:c r="Y1565" s="11" t="str">
        <x:v>https://www.mytna37.sk/ponuka</x:v>
      </x:c>
      <x:c r="Z1565" s="11" t="n">
        <x:v>46252.68496519676</x:v>
      </x:c>
      <x:c r="AA1565" s="11" t="n">
        <x:v>46254.51251577547</x:v>
      </x:c>
      <x:c r="AB1565" s="11" t="n">
        <x:v>46254.51251577547</x:v>
      </x:c>
      <x:c r="AC1565" t="str">
        <x:v>mytna_37</x:v>
      </x:c>
    </x:row>
    <x:row r="1566" ht="22" customHeight="1">
      <x:c r="A1566" t="str">
        <x:v>Mýtna 37</x:v>
      </x:c>
      <x:c r="B1566" t="str">
        <x:v>B4.4</x:v>
      </x:c>
      <x:c r="C1566" t="str">
        <x:v>sold</x:v>
      </x:c>
      <x:c r="D1566" t="str">
        <x:v>present</x:v>
      </x:c>
      <x:c r="E1566" t="str">
        <x:v>baseline</x:v>
      </x:c>
      <x:c r="F1566" s="11" t="n">
        <x:v>46252.68496519676</x:v>
      </x:c>
      <x:c r="G1566" t="str">
        <x:v>byt</x:v>
      </x:c>
      <x:c r="H1566" s="12" t="n">
        <x:v>3</x:v>
      </x:c>
      <x:c r="I1566" s="13" t="n">
        <x:v>4</x:v>
      </x:c>
      <x:c r="J1566" t="str">
        <x:v>M37</x:v>
      </x:c>
      <x:c r="K1566" s="14" t="n">
        <x:v>76.51</x:v>
      </x:c>
      <x:c r="L1566" s="14" t="n">
        <x:v>5</x:v>
      </x:c>
      <x:c r="M1566" s="14"/>
      <x:c r="N1566" s="14"/>
      <x:c r="O1566" s="14"/>
      <x:c r="P1566" s="14" t="n">
        <x:v>5</x:v>
      </x:c>
      <x:c r="Q1566" s="14" t="n">
        <x:v>81.51</x:v>
      </x:c>
      <x:c r="R1566" s="15"/>
      <x:c r="S1566" s="15"/>
      <x:c r="T1566" s="15"/>
      <x:c r="U1566" s="16"/>
      <x:c r="V1566" t="str">
        <x:v>EDVIN Properties</x:v>
      </x:c>
      <x:c r="W1566" t="str">
        <x:v>Staré Mesto</x:v>
      </x:c>
      <x:c r="X1566" s="11" t="str">
        <x:v>Predaný</x:v>
      </x:c>
      <x:c r="Y1566" s="11" t="str">
        <x:v>https://www.mytna37.sk/ponuka</x:v>
      </x:c>
      <x:c r="Z1566" s="11" t="n">
        <x:v>46252.68496519676</x:v>
      </x:c>
      <x:c r="AA1566" s="11" t="n">
        <x:v>46254.51251577547</x:v>
      </x:c>
      <x:c r="AB1566" s="11" t="n">
        <x:v>46254.51251577547</x:v>
      </x:c>
      <x:c r="AC1566" t="str">
        <x:v>mytna_37</x:v>
      </x:c>
    </x:row>
    <x:row r="1567" ht="22" customHeight="1">
      <x:c r="A1567" t="str">
        <x:v>Mýtna 37</x:v>
      </x:c>
      <x:c r="B1567" t="str">
        <x:v>B5.1</x:v>
      </x:c>
      <x:c r="C1567" t="str">
        <x:v>available</x:v>
      </x:c>
      <x:c r="D1567" t="str">
        <x:v>present</x:v>
      </x:c>
      <x:c r="E1567" t="str">
        <x:v>baseline</x:v>
      </x:c>
      <x:c r="F1567" s="11" t="n">
        <x:v>46252.68496519676</x:v>
      </x:c>
      <x:c r="G1567" t="str">
        <x:v>byt</x:v>
      </x:c>
      <x:c r="H1567" s="12" t="n">
        <x:v>3</x:v>
      </x:c>
      <x:c r="I1567" s="13" t="n">
        <x:v>5</x:v>
      </x:c>
      <x:c r="J1567" t="str">
        <x:v>M37</x:v>
      </x:c>
      <x:c r="K1567" s="14" t="n">
        <x:v>72.86</x:v>
      </x:c>
      <x:c r="L1567" s="14" t="n">
        <x:v>5</x:v>
      </x:c>
      <x:c r="M1567" s="14"/>
      <x:c r="N1567" s="14"/>
      <x:c r="O1567" s="14"/>
      <x:c r="P1567" s="14" t="n">
        <x:v>5</x:v>
      </x:c>
      <x:c r="Q1567" s="14" t="n">
        <x:v>77.86</x:v>
      </x:c>
      <x:c r="R1567" s="15" t="n">
        <x:v>492700</x:v>
      </x:c>
      <x:c r="S1567" s="15" t="n">
        <x:v>512500</x:v>
      </x:c>
      <x:c r="T1567" s="15" t="n">
        <x:v>492700</x:v>
      </x:c>
      <x:c r="U1567" s="16" t="n">
        <x:v>6762.28</x:v>
      </x:c>
      <x:c r="V1567" t="str">
        <x:v>EDVIN Properties</x:v>
      </x:c>
      <x:c r="W1567" t="str">
        <x:v>Staré Mesto</x:v>
      </x:c>
      <x:c r="X1567" s="11" t="str">
        <x:v>Voľný</x:v>
      </x:c>
      <x:c r="Y1567" s="11" t="str">
        <x:v>https://www.mytna37.sk/ponuka</x:v>
      </x:c>
      <x:c r="Z1567" s="11" t="n">
        <x:v>46252.68496519676</x:v>
      </x:c>
      <x:c r="AA1567" s="11" t="n">
        <x:v>46254.51251577547</x:v>
      </x:c>
      <x:c r="AB1567" s="11" t="n">
        <x:v>46254.51251577547</x:v>
      </x:c>
      <x:c r="AC1567" t="str">
        <x:v>mytna_37</x:v>
      </x:c>
    </x:row>
    <x:row r="1568" ht="22" customHeight="1">
      <x:c r="A1568" t="str">
        <x:v>Mýtna 37</x:v>
      </x:c>
      <x:c r="B1568" t="str">
        <x:v>B5.2</x:v>
      </x:c>
      <x:c r="C1568" t="str">
        <x:v>available</x:v>
      </x:c>
      <x:c r="D1568" t="str">
        <x:v>present</x:v>
      </x:c>
      <x:c r="E1568" t="str">
        <x:v>baseline</x:v>
      </x:c>
      <x:c r="F1568" s="11" t="n">
        <x:v>46252.68496519676</x:v>
      </x:c>
      <x:c r="G1568" t="str">
        <x:v>byt</x:v>
      </x:c>
      <x:c r="H1568" s="12" t="n">
        <x:v>2</x:v>
      </x:c>
      <x:c r="I1568" s="13" t="n">
        <x:v>5</x:v>
      </x:c>
      <x:c r="J1568" t="str">
        <x:v>M37</x:v>
      </x:c>
      <x:c r="K1568" s="14" t="n">
        <x:v>45.56</x:v>
      </x:c>
      <x:c r="L1568" s="14" t="n">
        <x:v>4.28</x:v>
      </x:c>
      <x:c r="M1568" s="14"/>
      <x:c r="N1568" s="14"/>
      <x:c r="O1568" s="14"/>
      <x:c r="P1568" s="14" t="n">
        <x:v>4.28</x:v>
      </x:c>
      <x:c r="Q1568" s="14" t="n">
        <x:v>49.84</x:v>
      </x:c>
      <x:c r="R1568" s="15" t="n">
        <x:v>349031</x:v>
      </x:c>
      <x:c r="S1568" s="15" t="n">
        <x:v>363000</x:v>
      </x:c>
      <x:c r="T1568" s="15" t="n">
        <x:v>349031</x:v>
      </x:c>
      <x:c r="U1568" s="16" t="n">
        <x:v>7660.91</x:v>
      </x:c>
      <x:c r="V1568" t="str">
        <x:v>EDVIN Properties</x:v>
      </x:c>
      <x:c r="W1568" t="str">
        <x:v>Staré Mesto</x:v>
      </x:c>
      <x:c r="X1568" s="11" t="str">
        <x:v>Voľný</x:v>
      </x:c>
      <x:c r="Y1568" s="11" t="str">
        <x:v>https://www.mytna37.sk/ponuka</x:v>
      </x:c>
      <x:c r="Z1568" s="11" t="n">
        <x:v>46252.68496519676</x:v>
      </x:c>
      <x:c r="AA1568" s="11" t="n">
        <x:v>46254.51251577547</x:v>
      </x:c>
      <x:c r="AB1568" s="11" t="n">
        <x:v>46254.51251577547</x:v>
      </x:c>
      <x:c r="AC1568" t="str">
        <x:v>mytna_37</x:v>
      </x:c>
    </x:row>
    <x:row r="1569" ht="22" customHeight="1">
      <x:c r="A1569" t="str">
        <x:v>Mýtna 37</x:v>
      </x:c>
      <x:c r="B1569" t="str">
        <x:v>B5.3</x:v>
      </x:c>
      <x:c r="C1569" t="str">
        <x:v>available</x:v>
      </x:c>
      <x:c r="D1569" t="str">
        <x:v>present</x:v>
      </x:c>
      <x:c r="E1569" t="str">
        <x:v>baseline</x:v>
      </x:c>
      <x:c r="F1569" s="11" t="n">
        <x:v>46252.68496519676</x:v>
      </x:c>
      <x:c r="G1569" t="str">
        <x:v>byt</x:v>
      </x:c>
      <x:c r="H1569" s="12" t="n">
        <x:v>2</x:v>
      </x:c>
      <x:c r="I1569" s="13" t="n">
        <x:v>5</x:v>
      </x:c>
      <x:c r="J1569" t="str">
        <x:v>M37</x:v>
      </x:c>
      <x:c r="K1569" s="14" t="n">
        <x:v>45.37</x:v>
      </x:c>
      <x:c r="L1569" s="14" t="n">
        <x:v>4.25</x:v>
      </x:c>
      <x:c r="M1569" s="14"/>
      <x:c r="N1569" s="14"/>
      <x:c r="O1569" s="14"/>
      <x:c r="P1569" s="14" t="n">
        <x:v>4.25</x:v>
      </x:c>
      <x:c r="Q1569" s="14" t="n">
        <x:v>49.62</x:v>
      </x:c>
      <x:c r="R1569" s="15" t="n">
        <x:v>350208</x:v>
      </x:c>
      <x:c r="S1569" s="15" t="n">
        <x:v>364300</x:v>
      </x:c>
      <x:c r="T1569" s="15" t="n">
        <x:v>350208</x:v>
      </x:c>
      <x:c r="U1569" s="16" t="n">
        <x:v>7718.93</x:v>
      </x:c>
      <x:c r="V1569" t="str">
        <x:v>EDVIN Properties</x:v>
      </x:c>
      <x:c r="W1569" t="str">
        <x:v>Staré Mesto</x:v>
      </x:c>
      <x:c r="X1569" s="11" t="str">
        <x:v>Voľný</x:v>
      </x:c>
      <x:c r="Y1569" s="11" t="str">
        <x:v>https://www.mytna37.sk/ponuka</x:v>
      </x:c>
      <x:c r="Z1569" s="11" t="n">
        <x:v>46252.68496519676</x:v>
      </x:c>
      <x:c r="AA1569" s="11" t="n">
        <x:v>46254.51251577547</x:v>
      </x:c>
      <x:c r="AB1569" s="11" t="n">
        <x:v>46254.51251577547</x:v>
      </x:c>
      <x:c r="AC1569" t="str">
        <x:v>mytna_37</x:v>
      </x:c>
    </x:row>
    <x:row r="1570" ht="22" customHeight="1">
      <x:c r="A1570" t="str">
        <x:v>Mýtna 37</x:v>
      </x:c>
      <x:c r="B1570" t="str">
        <x:v>B5.4</x:v>
      </x:c>
      <x:c r="C1570" t="str">
        <x:v>sold</x:v>
      </x:c>
      <x:c r="D1570" t="str">
        <x:v>present</x:v>
      </x:c>
      <x:c r="E1570" t="str">
        <x:v>baseline</x:v>
      </x:c>
      <x:c r="F1570" s="11" t="n">
        <x:v>46252.68496519676</x:v>
      </x:c>
      <x:c r="G1570" t="str">
        <x:v>byt</x:v>
      </x:c>
      <x:c r="H1570" s="12" t="n">
        <x:v>3</x:v>
      </x:c>
      <x:c r="I1570" s="13" t="n">
        <x:v>5</x:v>
      </x:c>
      <x:c r="J1570" t="str">
        <x:v>M37</x:v>
      </x:c>
      <x:c r="K1570" s="14" t="n">
        <x:v>76.51</x:v>
      </x:c>
      <x:c r="L1570" s="14" t="n">
        <x:v>5</x:v>
      </x:c>
      <x:c r="M1570" s="14"/>
      <x:c r="N1570" s="14"/>
      <x:c r="O1570" s="14"/>
      <x:c r="P1570" s="14" t="n">
        <x:v>5</x:v>
      </x:c>
      <x:c r="Q1570" s="14" t="n">
        <x:v>81.51</x:v>
      </x:c>
      <x:c r="R1570" s="15"/>
      <x:c r="S1570" s="15"/>
      <x:c r="T1570" s="15"/>
      <x:c r="U1570" s="16"/>
      <x:c r="V1570" t="str">
        <x:v>EDVIN Properties</x:v>
      </x:c>
      <x:c r="W1570" t="str">
        <x:v>Staré Mesto</x:v>
      </x:c>
      <x:c r="X1570" s="11" t="str">
        <x:v>Predaný</x:v>
      </x:c>
      <x:c r="Y1570" s="11" t="str">
        <x:v>https://www.mytna37.sk/ponuka</x:v>
      </x:c>
      <x:c r="Z1570" s="11" t="n">
        <x:v>46252.68496519676</x:v>
      </x:c>
      <x:c r="AA1570" s="11" t="n">
        <x:v>46254.51251577547</x:v>
      </x:c>
      <x:c r="AB1570" s="11" t="n">
        <x:v>46254.51251577547</x:v>
      </x:c>
      <x:c r="AC1570" t="str">
        <x:v>mytna_37</x:v>
      </x:c>
    </x:row>
    <x:row r="1571" ht="22" customHeight="1">
      <x:c r="A1571" t="str">
        <x:v>Mýtna 37</x:v>
      </x:c>
      <x:c r="B1571" t="str">
        <x:v>B6.1</x:v>
      </x:c>
      <x:c r="C1571" t="str">
        <x:v>coming_soon</x:v>
      </x:c>
      <x:c r="D1571" t="str">
        <x:v>present</x:v>
      </x:c>
      <x:c r="E1571" t="str">
        <x:v>baseline</x:v>
      </x:c>
      <x:c r="F1571" s="11" t="n">
        <x:v>46252.68496519676</x:v>
      </x:c>
      <x:c r="G1571" t="str">
        <x:v>byt</x:v>
      </x:c>
      <x:c r="H1571" s="12" t="n">
        <x:v>3</x:v>
      </x:c>
      <x:c r="I1571" s="13" t="n">
        <x:v>6</x:v>
      </x:c>
      <x:c r="J1571" t="str">
        <x:v>M37</x:v>
      </x:c>
      <x:c r="K1571" s="14" t="n">
        <x:v>72.84</x:v>
      </x:c>
      <x:c r="L1571" s="14" t="n">
        <x:v>5</x:v>
      </x:c>
      <x:c r="M1571" s="14"/>
      <x:c r="N1571" s="14"/>
      <x:c r="O1571" s="14"/>
      <x:c r="P1571" s="14" t="n">
        <x:v>5</x:v>
      </x:c>
      <x:c r="Q1571" s="14" t="n">
        <x:v>77.84</x:v>
      </x:c>
      <x:c r="R1571" s="15"/>
      <x:c r="S1571" s="15"/>
      <x:c r="T1571" s="15"/>
      <x:c r="U1571" s="16"/>
      <x:c r="V1571" t="str">
        <x:v>EDVIN Properties</x:v>
      </x:c>
      <x:c r="W1571" t="str">
        <x:v>Staré Mesto</x:v>
      </x:c>
      <x:c r="X1571" s="11" t="str">
        <x:v>Čoskoro v predaji</x:v>
      </x:c>
      <x:c r="Y1571" s="11" t="str">
        <x:v>https://www.mytna37.sk/ponuka</x:v>
      </x:c>
      <x:c r="Z1571" s="11" t="n">
        <x:v>46252.68496519676</x:v>
      </x:c>
      <x:c r="AA1571" s="11" t="n">
        <x:v>46254.51251577547</x:v>
      </x:c>
      <x:c r="AB1571" s="11" t="n">
        <x:v>46254.51251577547</x:v>
      </x:c>
      <x:c r="AC1571" t="str">
        <x:v>mytna_37</x:v>
      </x:c>
    </x:row>
    <x:row r="1572" ht="22" customHeight="1">
      <x:c r="A1572" t="str">
        <x:v>Mýtna 37</x:v>
      </x:c>
      <x:c r="B1572" t="str">
        <x:v>B6.2</x:v>
      </x:c>
      <x:c r="C1572" t="str">
        <x:v>reserved</x:v>
      </x:c>
      <x:c r="D1572" t="str">
        <x:v>present</x:v>
      </x:c>
      <x:c r="E1572" t="str">
        <x:v>baseline</x:v>
      </x:c>
      <x:c r="F1572" s="11" t="n">
        <x:v>46252.68496519676</x:v>
      </x:c>
      <x:c r="G1572" t="str">
        <x:v>byt</x:v>
      </x:c>
      <x:c r="H1572" s="12" t="n">
        <x:v>2</x:v>
      </x:c>
      <x:c r="I1572" s="13" t="n">
        <x:v>6</x:v>
      </x:c>
      <x:c r="J1572" t="str">
        <x:v>M37</x:v>
      </x:c>
      <x:c r="K1572" s="14" t="n">
        <x:v>45.59</x:v>
      </x:c>
      <x:c r="L1572" s="14" t="n">
        <x:v>4.25</x:v>
      </x:c>
      <x:c r="M1572" s="14"/>
      <x:c r="N1572" s="14"/>
      <x:c r="O1572" s="14"/>
      <x:c r="P1572" s="14" t="n">
        <x:v>4.25</x:v>
      </x:c>
      <x:c r="Q1572" s="14" t="n">
        <x:v>49.84</x:v>
      </x:c>
      <x:c r="R1572" s="15" t="n">
        <x:v>353233</x:v>
      </x:c>
      <x:c r="S1572" s="15" t="n">
        <x:v>367400</x:v>
      </x:c>
      <x:c r="T1572" s="15" t="n">
        <x:v>353233</x:v>
      </x:c>
      <x:c r="U1572" s="16" t="n">
        <x:v>7748.04</x:v>
      </x:c>
      <x:c r="V1572" t="str">
        <x:v>EDVIN Properties</x:v>
      </x:c>
      <x:c r="W1572" t="str">
        <x:v>Staré Mesto</x:v>
      </x:c>
      <x:c r="X1572" s="11" t="str">
        <x:v>Rezervovaný</x:v>
      </x:c>
      <x:c r="Y1572" s="11" t="str">
        <x:v>https://www.mytna37.sk/ponuka</x:v>
      </x:c>
      <x:c r="Z1572" s="11" t="n">
        <x:v>46252.68496519676</x:v>
      </x:c>
      <x:c r="AA1572" s="11" t="n">
        <x:v>46254.51251577547</x:v>
      </x:c>
      <x:c r="AB1572" s="11" t="n">
        <x:v>46254.51251577547</x:v>
      </x:c>
      <x:c r="AC1572" t="str">
        <x:v>mytna_37</x:v>
      </x:c>
    </x:row>
    <x:row r="1573" ht="22" customHeight="1">
      <x:c r="A1573" t="str">
        <x:v>Mýtna 37</x:v>
      </x:c>
      <x:c r="B1573" t="str">
        <x:v>B6.3</x:v>
      </x:c>
      <x:c r="C1573" t="str">
        <x:v>reserved</x:v>
      </x:c>
      <x:c r="D1573" t="str">
        <x:v>present</x:v>
      </x:c>
      <x:c r="E1573" t="str">
        <x:v>baseline</x:v>
      </x:c>
      <x:c r="F1573" s="11" t="n">
        <x:v>46252.68496519676</x:v>
      </x:c>
      <x:c r="G1573" t="str">
        <x:v>byt</x:v>
      </x:c>
      <x:c r="H1573" s="12" t="n">
        <x:v>2</x:v>
      </x:c>
      <x:c r="I1573" s="13" t="n">
        <x:v>6</x:v>
      </x:c>
      <x:c r="J1573" t="str">
        <x:v>M37</x:v>
      </x:c>
      <x:c r="K1573" s="14" t="n">
        <x:v>45.37</x:v>
      </x:c>
      <x:c r="L1573" s="14" t="n">
        <x:v>4.25</x:v>
      </x:c>
      <x:c r="M1573" s="14"/>
      <x:c r="N1573" s="14"/>
      <x:c r="O1573" s="14"/>
      <x:c r="P1573" s="14" t="n">
        <x:v>4.25</x:v>
      </x:c>
      <x:c r="Q1573" s="14" t="n">
        <x:v>49.62</x:v>
      </x:c>
      <x:c r="R1573" s="15" t="n">
        <x:v>354425</x:v>
      </x:c>
      <x:c r="S1573" s="15" t="n">
        <x:v>368700</x:v>
      </x:c>
      <x:c r="T1573" s="15" t="n">
        <x:v>354425</x:v>
      </x:c>
      <x:c r="U1573" s="16" t="n">
        <x:v>7811.88</x:v>
      </x:c>
      <x:c r="V1573" t="str">
        <x:v>EDVIN Properties</x:v>
      </x:c>
      <x:c r="W1573" t="str">
        <x:v>Staré Mesto</x:v>
      </x:c>
      <x:c r="X1573" s="11" t="str">
        <x:v>Rezervovaný</x:v>
      </x:c>
      <x:c r="Y1573" s="11" t="str">
        <x:v>https://www.mytna37.sk/ponuka</x:v>
      </x:c>
      <x:c r="Z1573" s="11" t="n">
        <x:v>46252.68496519676</x:v>
      </x:c>
      <x:c r="AA1573" s="11" t="n">
        <x:v>46254.51251577547</x:v>
      </x:c>
      <x:c r="AB1573" s="11" t="n">
        <x:v>46254.51251577547</x:v>
      </x:c>
      <x:c r="AC1573" t="str">
        <x:v>mytna_37</x:v>
      </x:c>
    </x:row>
    <x:row r="1574" ht="22" customHeight="1">
      <x:c r="A1574" t="str">
        <x:v>Mýtna 37</x:v>
      </x:c>
      <x:c r="B1574" t="str">
        <x:v>B6.4</x:v>
      </x:c>
      <x:c r="C1574" t="str">
        <x:v>coming_soon</x:v>
      </x:c>
      <x:c r="D1574" t="str">
        <x:v>present</x:v>
      </x:c>
      <x:c r="E1574" t="str">
        <x:v>baseline</x:v>
      </x:c>
      <x:c r="F1574" s="11" t="n">
        <x:v>46252.68496519676</x:v>
      </x:c>
      <x:c r="G1574" t="str">
        <x:v>byt</x:v>
      </x:c>
      <x:c r="H1574" s="12" t="n">
        <x:v>3</x:v>
      </x:c>
      <x:c r="I1574" s="13" t="n">
        <x:v>6</x:v>
      </x:c>
      <x:c r="J1574" t="str">
        <x:v>M37</x:v>
      </x:c>
      <x:c r="K1574" s="14" t="n">
        <x:v>76.51</x:v>
      </x:c>
      <x:c r="L1574" s="14" t="n">
        <x:v>5</x:v>
      </x:c>
      <x:c r="M1574" s="14"/>
      <x:c r="N1574" s="14"/>
      <x:c r="O1574" s="14"/>
      <x:c r="P1574" s="14" t="n">
        <x:v>5</x:v>
      </x:c>
      <x:c r="Q1574" s="14" t="n">
        <x:v>81.51</x:v>
      </x:c>
      <x:c r="R1574" s="15"/>
      <x:c r="S1574" s="15"/>
      <x:c r="T1574" s="15"/>
      <x:c r="U1574" s="16"/>
      <x:c r="V1574" t="str">
        <x:v>EDVIN Properties</x:v>
      </x:c>
      <x:c r="W1574" t="str">
        <x:v>Staré Mesto</x:v>
      </x:c>
      <x:c r="X1574" s="11" t="str">
        <x:v>Čoskoro v predaji</x:v>
      </x:c>
      <x:c r="Y1574" s="11" t="str">
        <x:v>https://www.mytna37.sk/ponuka</x:v>
      </x:c>
      <x:c r="Z1574" s="11" t="n">
        <x:v>46252.68496519676</x:v>
      </x:c>
      <x:c r="AA1574" s="11" t="n">
        <x:v>46254.51251577547</x:v>
      </x:c>
      <x:c r="AB1574" s="11" t="n">
        <x:v>46254.51251577547</x:v>
      </x:c>
      <x:c r="AC1574" t="str">
        <x:v>mytna_37</x:v>
      </x:c>
    </x:row>
    <x:row r="1575" ht="22" customHeight="1">
      <x:c r="A1575" t="str">
        <x:v>Mýtna 37</x:v>
      </x:c>
      <x:c r="B1575" t="str">
        <x:v>B7.1</x:v>
      </x:c>
      <x:c r="C1575" t="str">
        <x:v>sold</x:v>
      </x:c>
      <x:c r="D1575" t="str">
        <x:v>present</x:v>
      </x:c>
      <x:c r="E1575" t="str">
        <x:v>baseline</x:v>
      </x:c>
      <x:c r="F1575" s="11" t="n">
        <x:v>46252.68496519676</x:v>
      </x:c>
      <x:c r="G1575" t="str">
        <x:v>byt</x:v>
      </x:c>
      <x:c r="H1575" s="12" t="n">
        <x:v>2</x:v>
      </x:c>
      <x:c r="I1575" s="13" t="n">
        <x:v>7</x:v>
      </x:c>
      <x:c r="J1575" t="str">
        <x:v>M37</x:v>
      </x:c>
      <x:c r="K1575" s="14" t="n">
        <x:v>57.21</x:v>
      </x:c>
      <x:c r="L1575" s="14" t="n">
        <x:v>0</x:v>
      </x:c>
      <x:c r="M1575" s="14"/>
      <x:c r="N1575" s="14" t="n">
        <x:v>19.73</x:v>
      </x:c>
      <x:c r="O1575" s="14"/>
      <x:c r="P1575" s="14" t="n">
        <x:v>19.73</x:v>
      </x:c>
      <x:c r="Q1575" s="14" t="n">
        <x:v>76.94</x:v>
      </x:c>
      <x:c r="R1575" s="15"/>
      <x:c r="S1575" s="15"/>
      <x:c r="T1575" s="15"/>
      <x:c r="U1575" s="16"/>
      <x:c r="V1575" t="str">
        <x:v>EDVIN Properties</x:v>
      </x:c>
      <x:c r="W1575" t="str">
        <x:v>Staré Mesto</x:v>
      </x:c>
      <x:c r="X1575" s="11" t="str">
        <x:v>Predaný</x:v>
      </x:c>
      <x:c r="Y1575" s="11" t="str">
        <x:v>https://www.mytna37.sk/ponuka</x:v>
      </x:c>
      <x:c r="Z1575" s="11" t="n">
        <x:v>46252.68496519676</x:v>
      </x:c>
      <x:c r="AA1575" s="11" t="n">
        <x:v>46254.51251577547</x:v>
      </x:c>
      <x:c r="AB1575" s="11" t="n">
        <x:v>46254.51251577547</x:v>
      </x:c>
      <x:c r="AC1575" t="str">
        <x:v>mytna_37</x:v>
      </x:c>
    </x:row>
    <x:row r="1576" ht="22" customHeight="1">
      <x:c r="A1576" t="str">
        <x:v>Mýtna 37</x:v>
      </x:c>
      <x:c r="B1576" t="str">
        <x:v>B7.2</x:v>
      </x:c>
      <x:c r="C1576" t="str">
        <x:v>coming_soon</x:v>
      </x:c>
      <x:c r="D1576" t="str">
        <x:v>present</x:v>
      </x:c>
      <x:c r="E1576" t="str">
        <x:v>baseline</x:v>
      </x:c>
      <x:c r="F1576" s="11" t="n">
        <x:v>46252.68496519676</x:v>
      </x:c>
      <x:c r="G1576" t="str">
        <x:v>byt</x:v>
      </x:c>
      <x:c r="H1576" s="12" t="n">
        <x:v>4</x:v>
      </x:c>
      <x:c r="I1576" s="13" t="n">
        <x:v>7</x:v>
      </x:c>
      <x:c r="J1576" t="str">
        <x:v>M37</x:v>
      </x:c>
      <x:c r="K1576" s="14" t="n">
        <x:v>109.15</x:v>
      </x:c>
      <x:c r="L1576" s="14" t="n">
        <x:v>0</x:v>
      </x:c>
      <x:c r="M1576" s="14"/>
      <x:c r="N1576" s="14" t="n">
        <x:v>57.96</x:v>
      </x:c>
      <x:c r="O1576" s="14"/>
      <x:c r="P1576" s="14" t="n">
        <x:v>57.96</x:v>
      </x:c>
      <x:c r="Q1576" s="14" t="n">
        <x:v>167.11</x:v>
      </x:c>
      <x:c r="R1576" s="15"/>
      <x:c r="S1576" s="15"/>
      <x:c r="T1576" s="15"/>
      <x:c r="U1576" s="16"/>
      <x:c r="V1576" t="str">
        <x:v>EDVIN Properties</x:v>
      </x:c>
      <x:c r="W1576" t="str">
        <x:v>Staré Mesto</x:v>
      </x:c>
      <x:c r="X1576" s="11" t="str">
        <x:v>Čoskoro v predaji</x:v>
      </x:c>
      <x:c r="Y1576" s="11" t="str">
        <x:v>https://www.mytna37.sk/ponuka</x:v>
      </x:c>
      <x:c r="Z1576" s="11" t="n">
        <x:v>46252.68496519676</x:v>
      </x:c>
      <x:c r="AA1576" s="11" t="n">
        <x:v>46254.51251577547</x:v>
      </x:c>
      <x:c r="AB1576" s="11" t="n">
        <x:v>46254.51251577547</x:v>
      </x:c>
      <x:c r="AC1576" t="str">
        <x:v>mytna_37</x:v>
      </x:c>
    </x:row>
    <x:row r="1577" ht="22" customHeight="1">
      <x:c r="A1577" t="str">
        <x:v>NUPPU</x:v>
      </x:c>
      <x:c r="B1577" t="str">
        <x:v>O131</x:v>
      </x:c>
      <x:c r="C1577" t="str">
        <x:v>available</x:v>
      </x:c>
      <x:c r="D1577" t="str">
        <x:v>present</x:v>
      </x:c>
      <x:c r="E1577" t="str">
        <x:v>baseline</x:v>
      </x:c>
      <x:c r="F1577" s="11" t="n">
        <x:v>46251.740894027775</x:v>
      </x:c>
      <x:c r="G1577" t="str">
        <x:v>Byt</x:v>
      </x:c>
      <x:c r="H1577" s="12" t="n">
        <x:v>3</x:v>
      </x:c>
      <x:c r="I1577" s="13" t="n">
        <x:v>3</x:v>
      </x:c>
      <x:c r="J1577" t="str">
        <x:v>NUPPU Magnolia 4</x:v>
      </x:c>
      <x:c r="K1577" s="14" t="n">
        <x:v>64.42</x:v>
      </x:c>
      <x:c r="L1577" s="14" t="n">
        <x:v>4.68</x:v>
      </x:c>
      <x:c r="M1577" s="14"/>
      <x:c r="N1577" s="14" t="n">
        <x:v>0</x:v>
      </x:c>
      <x:c r="O1577" s="14"/>
      <x:c r="P1577" s="14"/>
      <x:c r="Q1577" s="14" t="n">
        <x:v>69.1</x:v>
      </x:c>
      <x:c r="R1577" s="15" t="n">
        <x:v>326549.42</x:v>
      </x:c>
      <x:c r="S1577" s="15" t="n">
        <x:v>326549.42</x:v>
      </x:c>
      <x:c r="T1577" s="15"/>
      <x:c r="U1577" s="16" t="n">
        <x:v>5069.07</x:v>
      </x:c>
      <x:c r="V1577" t="str">
        <x:v>YIT Slovakia</x:v>
      </x:c>
      <x:c r="W1577" t="str">
        <x:v>Ružinov</x:v>
      </x:c>
      <x:c r="X1577" s="11" t="str">
        <x:v>Voľný</x:v>
      </x:c>
      <x:c r="Y1577" s="11" t="str">
        <x:v>https://www.yit.sk/predaj-bytov/bratislava/ruzinov/nuppu/nuppu-magnolia-4/pdsk105725</x:v>
      </x:c>
      <x:c r="Z1577" s="11" t="n">
        <x:v>46251.740894027775</x:v>
      </x:c>
      <x:c r="AA1577" s="11" t="n">
        <x:v>46254.51251577547</x:v>
      </x:c>
      <x:c r="AB1577" s="11" t="n">
        <x:v>46254.51251577547</x:v>
      </x:c>
      <x:c r="AC1577" t="str">
        <x:v>nuppu</x:v>
      </x:c>
    </x:row>
    <x:row r="1578" ht="22" customHeight="1">
      <x:c r="A1578" t="str">
        <x:v>NUPPU</x:v>
      </x:c>
      <x:c r="B1578" t="str">
        <x:v>O142</x:v>
      </x:c>
      <x:c r="C1578" t="str">
        <x:v>reserved</x:v>
      </x:c>
      <x:c r="D1578" t="str">
        <x:v>present</x:v>
      </x:c>
      <x:c r="E1578" t="str">
        <x:v>baseline</x:v>
      </x:c>
      <x:c r="F1578" s="11" t="n">
        <x:v>46251.740894027775</x:v>
      </x:c>
      <x:c r="G1578" t="str">
        <x:v>Byt</x:v>
      </x:c>
      <x:c r="H1578" s="12" t="n">
        <x:v>2</x:v>
      </x:c>
      <x:c r="I1578" s="13" t="n">
        <x:v>4</x:v>
      </x:c>
      <x:c r="J1578" t="str">
        <x:v>NUPPU Magnolia 4</x:v>
      </x:c>
      <x:c r="K1578" s="14" t="n">
        <x:v>46.26</x:v>
      </x:c>
      <x:c r="L1578" s="14" t="n">
        <x:v>4.68</x:v>
      </x:c>
      <x:c r="M1578" s="14"/>
      <x:c r="N1578" s="14" t="n">
        <x:v>0</x:v>
      </x:c>
      <x:c r="O1578" s="14"/>
      <x:c r="P1578" s="14"/>
      <x:c r="Q1578" s="14" t="n">
        <x:v>50.94</x:v>
      </x:c>
      <x:c r="R1578" s="15" t="n">
        <x:v>259124.1</x:v>
      </x:c>
      <x:c r="S1578" s="15" t="n">
        <x:v>259124.1</x:v>
      </x:c>
      <x:c r="T1578" s="15"/>
      <x:c r="U1578" s="16" t="n">
        <x:v>5601.47</x:v>
      </x:c>
      <x:c r="V1578" t="str">
        <x:v>YIT Slovakia</x:v>
      </x:c>
      <x:c r="W1578" t="str">
        <x:v>Ružinov</x:v>
      </x:c>
      <x:c r="X1578" s="11" t="str">
        <x:v>Nezáväzne rezervované</x:v>
      </x:c>
      <x:c r="Y1578" s="11" t="str">
        <x:v>https://www.yit.sk/predaj-bytov/bratislava/ruzinov/nuppu/nuppu-magnolia-4/pdsk105718</x:v>
      </x:c>
      <x:c r="Z1578" s="11" t="n">
        <x:v>46251.740894027775</x:v>
      </x:c>
      <x:c r="AA1578" s="11" t="n">
        <x:v>46254.51251577547</x:v>
      </x:c>
      <x:c r="AB1578" s="11" t="n">
        <x:v>46254.51251577547</x:v>
      </x:c>
      <x:c r="AC1578" t="str">
        <x:v>nuppu</x:v>
      </x:c>
    </x:row>
    <x:row r="1579" ht="22" customHeight="1">
      <x:c r="A1579" t="str">
        <x:v>NUPPU</x:v>
      </x:c>
      <x:c r="B1579" t="str">
        <x:v>O151</x:v>
      </x:c>
      <x:c r="C1579" t="str">
        <x:v>available</x:v>
      </x:c>
      <x:c r="D1579" t="str">
        <x:v>present</x:v>
      </x:c>
      <x:c r="E1579" t="str">
        <x:v>baseline</x:v>
      </x:c>
      <x:c r="F1579" s="11" t="n">
        <x:v>46251.740894027775</x:v>
      </x:c>
      <x:c r="G1579" t="str">
        <x:v>Byt</x:v>
      </x:c>
      <x:c r="H1579" s="12" t="n">
        <x:v>3</x:v>
      </x:c>
      <x:c r="I1579" s="13" t="n">
        <x:v>5</x:v>
      </x:c>
      <x:c r="J1579" t="str">
        <x:v>NUPPU Magnolia 4</x:v>
      </x:c>
      <x:c r="K1579" s="14" t="n">
        <x:v>64.42</x:v>
      </x:c>
      <x:c r="L1579" s="14" t="n">
        <x:v>4.68</x:v>
      </x:c>
      <x:c r="M1579" s="14"/>
      <x:c r="N1579" s="14" t="n">
        <x:v>0</x:v>
      </x:c>
      <x:c r="O1579" s="14"/>
      <x:c r="P1579" s="14"/>
      <x:c r="Q1579" s="14" t="n">
        <x:v>69.1</x:v>
      </x:c>
      <x:c r="R1579" s="15" t="n">
        <x:v>340139.2</x:v>
      </x:c>
      <x:c r="S1579" s="15" t="n">
        <x:v>340139.2</x:v>
      </x:c>
      <x:c r="T1579" s="15"/>
      <x:c r="U1579" s="16" t="n">
        <x:v>5280.02</x:v>
      </x:c>
      <x:c r="V1579" t="str">
        <x:v>YIT Slovakia</x:v>
      </x:c>
      <x:c r="W1579" t="str">
        <x:v>Ružinov</x:v>
      </x:c>
      <x:c r="X1579" s="11" t="str">
        <x:v>Voľný</x:v>
      </x:c>
      <x:c r="Y1579" s="11" t="str">
        <x:v>https://www.yit.sk/predaj-bytov/bratislava/ruzinov/nuppu/nuppu-magnolia-4/pdsk105713</x:v>
      </x:c>
      <x:c r="Z1579" s="11" t="n">
        <x:v>46251.740894027775</x:v>
      </x:c>
      <x:c r="AA1579" s="11" t="n">
        <x:v>46254.51251577547</x:v>
      </x:c>
      <x:c r="AB1579" s="11" t="n">
        <x:v>46254.51251577547</x:v>
      </x:c>
      <x:c r="AC1579" t="str">
        <x:v>nuppu</x:v>
      </x:c>
    </x:row>
    <x:row r="1580" ht="22" customHeight="1">
      <x:c r="A1580" t="str">
        <x:v>NUPPU</x:v>
      </x:c>
      <x:c r="B1580" t="str">
        <x:v>O154</x:v>
      </x:c>
      <x:c r="C1580" t="str">
        <x:v>available</x:v>
      </x:c>
      <x:c r="D1580" t="str">
        <x:v>present</x:v>
      </x:c>
      <x:c r="E1580" t="str">
        <x:v>baseline</x:v>
      </x:c>
      <x:c r="F1580" s="11" t="n">
        <x:v>46251.740894027775</x:v>
      </x:c>
      <x:c r="G1580" t="str">
        <x:v>Byt</x:v>
      </x:c>
      <x:c r="H1580" s="12" t="n">
        <x:v>1</x:v>
      </x:c>
      <x:c r="I1580" s="13" t="n">
        <x:v>5</x:v>
      </x:c>
      <x:c r="J1580" t="str">
        <x:v>NUPPU Magnolia 4</x:v>
      </x:c>
      <x:c r="K1580" s="14" t="n">
        <x:v>29.16</x:v>
      </x:c>
      <x:c r="L1580" s="14" t="n">
        <x:v>2.6</x:v>
      </x:c>
      <x:c r="M1580" s="14"/>
      <x:c r="N1580" s="14" t="n">
        <x:v>0</x:v>
      </x:c>
      <x:c r="O1580" s="14"/>
      <x:c r="P1580" s="14"/>
      <x:c r="Q1580" s="14" t="n">
        <x:v>31.76</x:v>
      </x:c>
      <x:c r="R1580" s="15" t="n">
        <x:v>198377.6</x:v>
      </x:c>
      <x:c r="S1580" s="15" t="n">
        <x:v>198377.6</x:v>
      </x:c>
      <x:c r="T1580" s="15"/>
      <x:c r="U1580" s="16" t="n">
        <x:v>6803.07</x:v>
      </x:c>
      <x:c r="V1580" t="str">
        <x:v>YIT Slovakia</x:v>
      </x:c>
      <x:c r="W1580" t="str">
        <x:v>Ružinov</x:v>
      </x:c>
      <x:c r="X1580" s="11" t="str">
        <x:v>Voľný</x:v>
      </x:c>
      <x:c r="Y1580" s="11" t="str">
        <x:v>https://www.yit.sk/predaj-bytov/bratislava/ruzinov/nuppu/nuppu-magnolia-4/pdsk105710</x:v>
      </x:c>
      <x:c r="Z1580" s="11" t="n">
        <x:v>46251.740894027775</x:v>
      </x:c>
      <x:c r="AA1580" s="11" t="n">
        <x:v>46254.51251577547</x:v>
      </x:c>
      <x:c r="AB1580" s="11" t="n">
        <x:v>46254.51251577547</x:v>
      </x:c>
      <x:c r="AC1580" t="str">
        <x:v>nuppu</x:v>
      </x:c>
    </x:row>
    <x:row r="1581" ht="22" customHeight="1">
      <x:c r="A1581" t="str">
        <x:v>NUPPU</x:v>
      </x:c>
      <x:c r="B1581" t="str">
        <x:v>O155</x:v>
      </x:c>
      <x:c r="C1581" t="str">
        <x:v>available</x:v>
      </x:c>
      <x:c r="D1581" t="str">
        <x:v>present</x:v>
      </x:c>
      <x:c r="E1581" t="str">
        <x:v>baseline</x:v>
      </x:c>
      <x:c r="F1581" s="11" t="n">
        <x:v>46251.740894027775</x:v>
      </x:c>
      <x:c r="G1581" t="str">
        <x:v>Byt</x:v>
      </x:c>
      <x:c r="H1581" s="12" t="n">
        <x:v>3</x:v>
      </x:c>
      <x:c r="I1581" s="13" t="n">
        <x:v>5</x:v>
      </x:c>
      <x:c r="J1581" t="str">
        <x:v>NUPPU Magnolia 4</x:v>
      </x:c>
      <x:c r="K1581" s="14" t="n">
        <x:v>68.64</x:v>
      </x:c>
      <x:c r="L1581" s="14" t="n">
        <x:v>4.68</x:v>
      </x:c>
      <x:c r="M1581" s="14"/>
      <x:c r="N1581" s="14" t="n">
        <x:v>0</x:v>
      </x:c>
      <x:c r="O1581" s="14"/>
      <x:c r="P1581" s="14"/>
      <x:c r="Q1581" s="14" t="n">
        <x:v>73.32</x:v>
      </x:c>
      <x:c r="R1581" s="15" t="n">
        <x:v>356463.76</x:v>
      </x:c>
      <x:c r="S1581" s="15" t="n">
        <x:v>356463.76</x:v>
      </x:c>
      <x:c r="T1581" s="15"/>
      <x:c r="U1581" s="16" t="n">
        <x:v>5193.24</x:v>
      </x:c>
      <x:c r="V1581" t="str">
        <x:v>YIT Slovakia</x:v>
      </x:c>
      <x:c r="W1581" t="str">
        <x:v>Ružinov</x:v>
      </x:c>
      <x:c r="X1581" s="11" t="str">
        <x:v>Voľný</x:v>
      </x:c>
      <x:c r="Y1581" s="11" t="str">
        <x:v>https://www.yit.sk/predaj-bytov/bratislava/ruzinov/nuppu/nuppu-magnolia-4/pdsk105709</x:v>
      </x:c>
      <x:c r="Z1581" s="11" t="n">
        <x:v>46251.740894027775</x:v>
      </x:c>
      <x:c r="AA1581" s="11" t="n">
        <x:v>46254.51251577547</x:v>
      </x:c>
      <x:c r="AB1581" s="11" t="n">
        <x:v>46254.51251577547</x:v>
      </x:c>
      <x:c r="AC1581" t="str">
        <x:v>nuppu</x:v>
      </x:c>
    </x:row>
    <x:row r="1582" ht="22" customHeight="1">
      <x:c r="A1582" t="str">
        <x:v>NUPPU</x:v>
      </x:c>
      <x:c r="B1582" t="str">
        <x:v>O161</x:v>
      </x:c>
      <x:c r="C1582" t="str">
        <x:v>available</x:v>
      </x:c>
      <x:c r="D1582" t="str">
        <x:v>present</x:v>
      </x:c>
      <x:c r="E1582" t="str">
        <x:v>baseline</x:v>
      </x:c>
      <x:c r="F1582" s="11" t="n">
        <x:v>46251.740894027775</x:v>
      </x:c>
      <x:c r="G1582" t="str">
        <x:v>Byt</x:v>
      </x:c>
      <x:c r="H1582" s="12" t="n">
        <x:v>3</x:v>
      </x:c>
      <x:c r="I1582" s="13" t="n">
        <x:v>6</x:v>
      </x:c>
      <x:c r="J1582" t="str">
        <x:v>NUPPU Magnolia 4</x:v>
      </x:c>
      <x:c r="K1582" s="14" t="n">
        <x:v>64.42</x:v>
      </x:c>
      <x:c r="L1582" s="14" t="n">
        <x:v>4.68</x:v>
      </x:c>
      <x:c r="M1582" s="14"/>
      <x:c r="N1582" s="14" t="n">
        <x:v>0</x:v>
      </x:c>
      <x:c r="O1582" s="14"/>
      <x:c r="P1582" s="14"/>
      <x:c r="Q1582" s="14" t="n">
        <x:v>69.1</x:v>
      </x:c>
      <x:c r="R1582" s="15" t="n">
        <x:v>348596.16</x:v>
      </x:c>
      <x:c r="S1582" s="15" t="n">
        <x:v>348596.16</x:v>
      </x:c>
      <x:c r="T1582" s="15"/>
      <x:c r="U1582" s="16" t="n">
        <x:v>5411.3</x:v>
      </x:c>
      <x:c r="V1582" t="str">
        <x:v>YIT Slovakia</x:v>
      </x:c>
      <x:c r="W1582" t="str">
        <x:v>Ružinov</x:v>
      </x:c>
      <x:c r="X1582" s="11" t="str">
        <x:v>Voľný</x:v>
      </x:c>
      <x:c r="Y1582" s="11" t="str">
        <x:v>https://www.yit.sk/predaj-bytov/bratislava/ruzinov/nuppu/nuppu-magnolia-4/pdsk105707</x:v>
      </x:c>
      <x:c r="Z1582" s="11" t="n">
        <x:v>46251.740894027775</x:v>
      </x:c>
      <x:c r="AA1582" s="11" t="n">
        <x:v>46254.51251577547</x:v>
      </x:c>
      <x:c r="AB1582" s="11" t="n">
        <x:v>46254.51251577547</x:v>
      </x:c>
      <x:c r="AC1582" t="str">
        <x:v>nuppu</x:v>
      </x:c>
    </x:row>
    <x:row r="1583" ht="22" customHeight="1">
      <x:c r="A1583" t="str">
        <x:v>NUPPU</x:v>
      </x:c>
      <x:c r="B1583" t="str">
        <x:v>O165</x:v>
      </x:c>
      <x:c r="C1583" t="str">
        <x:v>available</x:v>
      </x:c>
      <x:c r="D1583" t="str">
        <x:v>present</x:v>
      </x:c>
      <x:c r="E1583" t="str">
        <x:v>baseline</x:v>
      </x:c>
      <x:c r="F1583" s="11" t="n">
        <x:v>46251.740894027775</x:v>
      </x:c>
      <x:c r="G1583" t="str">
        <x:v>Byt</x:v>
      </x:c>
      <x:c r="H1583" s="12" t="n">
        <x:v>3</x:v>
      </x:c>
      <x:c r="I1583" s="13" t="n">
        <x:v>6</x:v>
      </x:c>
      <x:c r="J1583" t="str">
        <x:v>NUPPU Magnolia 4</x:v>
      </x:c>
      <x:c r="K1583" s="14" t="n">
        <x:v>68.64</x:v>
      </x:c>
      <x:c r="L1583" s="14" t="n">
        <x:v>4.68</x:v>
      </x:c>
      <x:c r="M1583" s="14"/>
      <x:c r="N1583" s="14" t="n">
        <x:v>0</x:v>
      </x:c>
      <x:c r="O1583" s="14"/>
      <x:c r="P1583" s="14"/>
      <x:c r="Q1583" s="14" t="n">
        <x:v>73.32</x:v>
      </x:c>
      <x:c r="R1583" s="15" t="n">
        <x:v>361515.98</x:v>
      </x:c>
      <x:c r="S1583" s="15" t="n">
        <x:v>361515.98</x:v>
      </x:c>
      <x:c r="T1583" s="15"/>
      <x:c r="U1583" s="16" t="n">
        <x:v>5266.84</x:v>
      </x:c>
      <x:c r="V1583" t="str">
        <x:v>YIT Slovakia</x:v>
      </x:c>
      <x:c r="W1583" t="str">
        <x:v>Ružinov</x:v>
      </x:c>
      <x:c r="X1583" s="11" t="str">
        <x:v>Voľný</x:v>
      </x:c>
      <x:c r="Y1583" s="11" t="str">
        <x:v>https://www.yit.sk/predaj-bytov/bratislava/ruzinov/nuppu/nuppu-magnolia-4/pdsk105703</x:v>
      </x:c>
      <x:c r="Z1583" s="11" t="n">
        <x:v>46251.740894027775</x:v>
      </x:c>
      <x:c r="AA1583" s="11" t="n">
        <x:v>46254.51251577547</x:v>
      </x:c>
      <x:c r="AB1583" s="11" t="n">
        <x:v>46254.51251577547</x:v>
      </x:c>
      <x:c r="AC1583" t="str">
        <x:v>nuppu</x:v>
      </x:c>
    </x:row>
    <x:row r="1584" ht="22" customHeight="1">
      <x:c r="A1584" t="str">
        <x:v>NUPPU</x:v>
      </x:c>
      <x:c r="B1584" t="str">
        <x:v>O171</x:v>
      </x:c>
      <x:c r="C1584" t="str">
        <x:v>available</x:v>
      </x:c>
      <x:c r="D1584" t="str">
        <x:v>present</x:v>
      </x:c>
      <x:c r="E1584" t="str">
        <x:v>baseline</x:v>
      </x:c>
      <x:c r="F1584" s="11" t="n">
        <x:v>46251.740894027775</x:v>
      </x:c>
      <x:c r="G1584" t="str">
        <x:v>Byt</x:v>
      </x:c>
      <x:c r="H1584" s="12" t="n">
        <x:v>3</x:v>
      </x:c>
      <x:c r="I1584" s="13" t="n">
        <x:v>7</x:v>
      </x:c>
      <x:c r="J1584" t="str">
        <x:v>NUPPU Magnolia 4</x:v>
      </x:c>
      <x:c r="K1584" s="14" t="n">
        <x:v>64.42</x:v>
      </x:c>
      <x:c r="L1584" s="14" t="n">
        <x:v>4.68</x:v>
      </x:c>
      <x:c r="M1584" s="14"/>
      <x:c r="N1584" s="14" t="n">
        <x:v>0</x:v>
      </x:c>
      <x:c r="O1584" s="14"/>
      <x:c r="P1584" s="14"/>
      <x:c r="Q1584" s="14" t="n">
        <x:v>69.1</x:v>
      </x:c>
      <x:c r="R1584" s="15" t="n">
        <x:v>355581.23</x:v>
      </x:c>
      <x:c r="S1584" s="15" t="n">
        <x:v>355581.23</x:v>
      </x:c>
      <x:c r="T1584" s="15"/>
      <x:c r="U1584" s="16" t="n">
        <x:v>5519.73</x:v>
      </x:c>
      <x:c r="V1584" t="str">
        <x:v>YIT Slovakia</x:v>
      </x:c>
      <x:c r="W1584" t="str">
        <x:v>Ružinov</x:v>
      </x:c>
      <x:c r="X1584" s="11" t="str">
        <x:v>Voľný</x:v>
      </x:c>
      <x:c r="Y1584" s="11" t="str">
        <x:v>https://www.yit.sk/predaj-bytov/bratislava/ruzinov/nuppu/nuppu-magnolia-4/pdsk105701</x:v>
      </x:c>
      <x:c r="Z1584" s="11" t="n">
        <x:v>46251.740894027775</x:v>
      </x:c>
      <x:c r="AA1584" s="11" t="n">
        <x:v>46254.51251577547</x:v>
      </x:c>
      <x:c r="AB1584" s="11" t="n">
        <x:v>46254.51251577547</x:v>
      </x:c>
      <x:c r="AC1584" t="str">
        <x:v>nuppu</x:v>
      </x:c>
    </x:row>
    <x:row r="1585" ht="22" customHeight="1">
      <x:c r="A1585" t="str">
        <x:v>NUPPU</x:v>
      </x:c>
      <x:c r="B1585" t="str">
        <x:v>O172</x:v>
      </x:c>
      <x:c r="C1585" t="str">
        <x:v>available</x:v>
      </x:c>
      <x:c r="D1585" t="str">
        <x:v>present</x:v>
      </x:c>
      <x:c r="E1585" t="str">
        <x:v>baseline</x:v>
      </x:c>
      <x:c r="F1585" s="11" t="n">
        <x:v>46251.740894027775</x:v>
      </x:c>
      <x:c r="G1585" t="str">
        <x:v>Byt</x:v>
      </x:c>
      <x:c r="H1585" s="12" t="n">
        <x:v>2</x:v>
      </x:c>
      <x:c r="I1585" s="13" t="n">
        <x:v>7</x:v>
      </x:c>
      <x:c r="J1585" t="str">
        <x:v>NUPPU Magnolia 4</x:v>
      </x:c>
      <x:c r="K1585" s="14" t="n">
        <x:v>46.26</x:v>
      </x:c>
      <x:c r="L1585" s="14" t="n">
        <x:v>4.68</x:v>
      </x:c>
      <x:c r="M1585" s="14"/>
      <x:c r="N1585" s="14" t="n">
        <x:v>0</x:v>
      </x:c>
      <x:c r="O1585" s="14"/>
      <x:c r="P1585" s="14"/>
      <x:c r="Q1585" s="14" t="n">
        <x:v>50.94</x:v>
      </x:c>
      <x:c r="R1585" s="15" t="n">
        <x:v>275978.79</x:v>
      </x:c>
      <x:c r="S1585" s="15" t="n">
        <x:v>275978.79</x:v>
      </x:c>
      <x:c r="T1585" s="15"/>
      <x:c r="U1585" s="16" t="n">
        <x:v>5965.82</x:v>
      </x:c>
      <x:c r="V1585" t="str">
        <x:v>YIT Slovakia</x:v>
      </x:c>
      <x:c r="W1585" t="str">
        <x:v>Ružinov</x:v>
      </x:c>
      <x:c r="X1585" s="11" t="str">
        <x:v>Voľný</x:v>
      </x:c>
      <x:c r="Y1585" s="11" t="str">
        <x:v>https://www.yit.sk/predaj-bytov/bratislava/ruzinov/nuppu/nuppu-magnolia-4/pdsk105700</x:v>
      </x:c>
      <x:c r="Z1585" s="11" t="n">
        <x:v>46251.740894027775</x:v>
      </x:c>
      <x:c r="AA1585" s="11" t="n">
        <x:v>46254.51251577547</x:v>
      </x:c>
      <x:c r="AB1585" s="11" t="n">
        <x:v>46254.51251577547</x:v>
      </x:c>
      <x:c r="AC1585" t="str">
        <x:v>nuppu</x:v>
      </x:c>
    </x:row>
    <x:row r="1586" ht="22" customHeight="1">
      <x:c r="A1586" t="str">
        <x:v>NUPPU</x:v>
      </x:c>
      <x:c r="B1586" t="str">
        <x:v>O173</x:v>
      </x:c>
      <x:c r="C1586" t="str">
        <x:v>available</x:v>
      </x:c>
      <x:c r="D1586" t="str">
        <x:v>present</x:v>
      </x:c>
      <x:c r="E1586" t="str">
        <x:v>baseline</x:v>
      </x:c>
      <x:c r="F1586" s="11" t="n">
        <x:v>46251.740894027775</x:v>
      </x:c>
      <x:c r="G1586" t="str">
        <x:v>Byt</x:v>
      </x:c>
      <x:c r="H1586" s="12" t="n">
        <x:v>2</x:v>
      </x:c>
      <x:c r="I1586" s="13" t="n">
        <x:v>7</x:v>
      </x:c>
      <x:c r="J1586" t="str">
        <x:v>NUPPU Magnolia 4</x:v>
      </x:c>
      <x:c r="K1586" s="14" t="n">
        <x:v>46.99</x:v>
      </x:c>
      <x:c r="L1586" s="14" t="n">
        <x:v>4.68</x:v>
      </x:c>
      <x:c r="M1586" s="14"/>
      <x:c r="N1586" s="14" t="n">
        <x:v>0</x:v>
      </x:c>
      <x:c r="O1586" s="14"/>
      <x:c r="P1586" s="14"/>
      <x:c r="Q1586" s="14" t="n">
        <x:v>51.67</x:v>
      </x:c>
      <x:c r="R1586" s="15" t="n">
        <x:v>276265.38</x:v>
      </x:c>
      <x:c r="S1586" s="15" t="n">
        <x:v>276265.38</x:v>
      </x:c>
      <x:c r="T1586" s="15"/>
      <x:c r="U1586" s="16" t="n">
        <x:v>5879.24</x:v>
      </x:c>
      <x:c r="V1586" t="str">
        <x:v>YIT Slovakia</x:v>
      </x:c>
      <x:c r="W1586" t="str">
        <x:v>Ružinov</x:v>
      </x:c>
      <x:c r="X1586" s="11" t="str">
        <x:v>Voľný</x:v>
      </x:c>
      <x:c r="Y1586" s="11" t="str">
        <x:v>https://www.yit.sk/predaj-bytov/bratislava/ruzinov/nuppu/nuppu-magnolia-4/pdsk105699</x:v>
      </x:c>
      <x:c r="Z1586" s="11" t="n">
        <x:v>46251.740894027775</x:v>
      </x:c>
      <x:c r="AA1586" s="11" t="n">
        <x:v>46254.51251577547</x:v>
      </x:c>
      <x:c r="AB1586" s="11" t="n">
        <x:v>46254.51251577547</x:v>
      </x:c>
      <x:c r="AC1586" t="str">
        <x:v>nuppu</x:v>
      </x:c>
    </x:row>
    <x:row r="1587" ht="22" customHeight="1">
      <x:c r="A1587" t="str">
        <x:v>NUPPU</x:v>
      </x:c>
      <x:c r="B1587" t="str">
        <x:v>O174</x:v>
      </x:c>
      <x:c r="C1587" t="str">
        <x:v>available</x:v>
      </x:c>
      <x:c r="D1587" t="str">
        <x:v>present</x:v>
      </x:c>
      <x:c r="E1587" t="str">
        <x:v>baseline</x:v>
      </x:c>
      <x:c r="F1587" s="11" t="n">
        <x:v>46251.740894027775</x:v>
      </x:c>
      <x:c r="G1587" t="str">
        <x:v>Byt</x:v>
      </x:c>
      <x:c r="H1587" s="12" t="n">
        <x:v>1</x:v>
      </x:c>
      <x:c r="I1587" s="13" t="n">
        <x:v>7</x:v>
      </x:c>
      <x:c r="J1587" t="str">
        <x:v>NUPPU Magnolia 4</x:v>
      </x:c>
      <x:c r="K1587" s="14" t="n">
        <x:v>29.16</x:v>
      </x:c>
      <x:c r="L1587" s="14" t="n">
        <x:v>2.6</x:v>
      </x:c>
      <x:c r="M1587" s="14"/>
      <x:c r="N1587" s="14" t="n">
        <x:v>0</x:v>
      </x:c>
      <x:c r="O1587" s="14"/>
      <x:c r="P1587" s="14"/>
      <x:c r="Q1587" s="14" t="n">
        <x:v>31.76</x:v>
      </x:c>
      <x:c r="R1587" s="15" t="n">
        <x:v>202150.01</x:v>
      </x:c>
      <x:c r="S1587" s="15" t="n">
        <x:v>202150.01</x:v>
      </x:c>
      <x:c r="T1587" s="15"/>
      <x:c r="U1587" s="16" t="n">
        <x:v>6932.44</x:v>
      </x:c>
      <x:c r="V1587" t="str">
        <x:v>YIT Slovakia</x:v>
      </x:c>
      <x:c r="W1587" t="str">
        <x:v>Ružinov</x:v>
      </x:c>
      <x:c r="X1587" s="11" t="str">
        <x:v>Voľný</x:v>
      </x:c>
      <x:c r="Y1587" s="11" t="str">
        <x:v>https://www.yit.sk/predaj-bytov/bratislava/ruzinov/nuppu/nuppu-magnolia-4/pdsk105698</x:v>
      </x:c>
      <x:c r="Z1587" s="11" t="n">
        <x:v>46251.740894027775</x:v>
      </x:c>
      <x:c r="AA1587" s="11" t="n">
        <x:v>46254.51251577547</x:v>
      </x:c>
      <x:c r="AB1587" s="11" t="n">
        <x:v>46254.51251577547</x:v>
      </x:c>
      <x:c r="AC1587" t="str">
        <x:v>nuppu</x:v>
      </x:c>
    </x:row>
    <x:row r="1588" ht="22" customHeight="1">
      <x:c r="A1588" t="str">
        <x:v>NUPPU</x:v>
      </x:c>
      <x:c r="B1588" t="str">
        <x:v>O175</x:v>
      </x:c>
      <x:c r="C1588" t="str">
        <x:v>available</x:v>
      </x:c>
      <x:c r="D1588" t="str">
        <x:v>present</x:v>
      </x:c>
      <x:c r="E1588" t="str">
        <x:v>baseline</x:v>
      </x:c>
      <x:c r="F1588" s="11" t="n">
        <x:v>46251.740894027775</x:v>
      </x:c>
      <x:c r="G1588" t="str">
        <x:v>Byt</x:v>
      </x:c>
      <x:c r="H1588" s="12" t="n">
        <x:v>3</x:v>
      </x:c>
      <x:c r="I1588" s="13" t="n">
        <x:v>7</x:v>
      </x:c>
      <x:c r="J1588" t="str">
        <x:v>NUPPU Magnolia 4</x:v>
      </x:c>
      <x:c r="K1588" s="14" t="n">
        <x:v>68.64</x:v>
      </x:c>
      <x:c r="L1588" s="14" t="n">
        <x:v>4.68</x:v>
      </x:c>
      <x:c r="M1588" s="14"/>
      <x:c r="N1588" s="14" t="n">
        <x:v>0</x:v>
      </x:c>
      <x:c r="O1588" s="14"/>
      <x:c r="P1588" s="14"/>
      <x:c r="Q1588" s="14" t="n">
        <x:v>73.32</x:v>
      </x:c>
      <x:c r="R1588" s="15" t="n">
        <x:v>366437.21</x:v>
      </x:c>
      <x:c r="S1588" s="15" t="n">
        <x:v>366437.21</x:v>
      </x:c>
      <x:c r="T1588" s="15"/>
      <x:c r="U1588" s="16" t="n">
        <x:v>5338.54</x:v>
      </x:c>
      <x:c r="V1588" t="str">
        <x:v>YIT Slovakia</x:v>
      </x:c>
      <x:c r="W1588" t="str">
        <x:v>Ružinov</x:v>
      </x:c>
      <x:c r="X1588" s="11" t="str">
        <x:v>Voľný</x:v>
      </x:c>
      <x:c r="Y1588" s="11" t="str">
        <x:v>https://www.yit.sk/predaj-bytov/bratislava/ruzinov/nuppu/nuppu-magnolia-4/pdsk105697</x:v>
      </x:c>
      <x:c r="Z1588" s="11" t="n">
        <x:v>46251.740894027775</x:v>
      </x:c>
      <x:c r="AA1588" s="11" t="n">
        <x:v>46254.51251577547</x:v>
      </x:c>
      <x:c r="AB1588" s="11" t="n">
        <x:v>46254.51251577547</x:v>
      </x:c>
      <x:c r="AC1588" t="str">
        <x:v>nuppu</x:v>
      </x:c>
    </x:row>
    <x:row r="1589" ht="22" customHeight="1">
      <x:c r="A1589" t="str">
        <x:v>NUPPU</x:v>
      </x:c>
      <x:c r="B1589" t="str">
        <x:v>O181</x:v>
      </x:c>
      <x:c r="C1589" t="str">
        <x:v>available</x:v>
      </x:c>
      <x:c r="D1589" t="str">
        <x:v>present</x:v>
      </x:c>
      <x:c r="E1589" t="str">
        <x:v>baseline</x:v>
      </x:c>
      <x:c r="F1589" s="11" t="n">
        <x:v>46251.740894027775</x:v>
      </x:c>
      <x:c r="G1589" t="str">
        <x:v>Byt</x:v>
      </x:c>
      <x:c r="H1589" s="12" t="n">
        <x:v>3</x:v>
      </x:c>
      <x:c r="I1589" s="13" t="n">
        <x:v>8</x:v>
      </x:c>
      <x:c r="J1589" t="str">
        <x:v>NUPPU Magnolia 4</x:v>
      </x:c>
      <x:c r="K1589" s="14" t="n">
        <x:v>64.42</x:v>
      </x:c>
      <x:c r="L1589" s="14" t="n">
        <x:v>4.68</x:v>
      </x:c>
      <x:c r="M1589" s="14"/>
      <x:c r="N1589" s="14" t="n">
        <x:v>0</x:v>
      </x:c>
      <x:c r="O1589" s="14"/>
      <x:c r="P1589" s="14"/>
      <x:c r="Q1589" s="14" t="n">
        <x:v>69.1</x:v>
      </x:c>
      <x:c r="R1589" s="15" t="n">
        <x:v>356599.77</x:v>
      </x:c>
      <x:c r="S1589" s="15" t="n">
        <x:v>356599.77</x:v>
      </x:c>
      <x:c r="T1589" s="15"/>
      <x:c r="U1589" s="16" t="n">
        <x:v>5535.54</x:v>
      </x:c>
      <x:c r="V1589" t="str">
        <x:v>YIT Slovakia</x:v>
      </x:c>
      <x:c r="W1589" t="str">
        <x:v>Ružinov</x:v>
      </x:c>
      <x:c r="X1589" s="11" t="str">
        <x:v>Voľný</x:v>
      </x:c>
      <x:c r="Y1589" s="11" t="str">
        <x:v>https://www.yit.sk/predaj-bytov/bratislava/ruzinov/nuppu/nuppu-magnolia-4/pdsk105695</x:v>
      </x:c>
      <x:c r="Z1589" s="11" t="n">
        <x:v>46251.740894027775</x:v>
      </x:c>
      <x:c r="AA1589" s="11" t="n">
        <x:v>46254.51251577547</x:v>
      </x:c>
      <x:c r="AB1589" s="11" t="n">
        <x:v>46254.51251577547</x:v>
      </x:c>
      <x:c r="AC1589" t="str">
        <x:v>nuppu</x:v>
      </x:c>
    </x:row>
    <x:row r="1590" ht="22" customHeight="1">
      <x:c r="A1590" t="str">
        <x:v>NUPPU</x:v>
      </x:c>
      <x:c r="B1590" t="str">
        <x:v>O182</x:v>
      </x:c>
      <x:c r="C1590" t="str">
        <x:v>available</x:v>
      </x:c>
      <x:c r="D1590" t="str">
        <x:v>present</x:v>
      </x:c>
      <x:c r="E1590" t="str">
        <x:v>baseline</x:v>
      </x:c>
      <x:c r="F1590" s="11" t="n">
        <x:v>46251.740894027775</x:v>
      </x:c>
      <x:c r="G1590" t="str">
        <x:v>Byt</x:v>
      </x:c>
      <x:c r="H1590" s="12" t="n">
        <x:v>2</x:v>
      </x:c>
      <x:c r="I1590" s="13" t="n">
        <x:v>8</x:v>
      </x:c>
      <x:c r="J1590" t="str">
        <x:v>NUPPU Magnolia 4</x:v>
      </x:c>
      <x:c r="K1590" s="14" t="n">
        <x:v>46.13</x:v>
      </x:c>
      <x:c r="L1590" s="14" t="n">
        <x:v>4.68</x:v>
      </x:c>
      <x:c r="M1590" s="14"/>
      <x:c r="N1590" s="14" t="n">
        <x:v>0</x:v>
      </x:c>
      <x:c r="O1590" s="14"/>
      <x:c r="P1590" s="14"/>
      <x:c r="Q1590" s="14" t="n">
        <x:v>50.81</x:v>
      </x:c>
      <x:c r="R1590" s="15" t="n">
        <x:v>276689.73</x:v>
      </x:c>
      <x:c r="S1590" s="15" t="n">
        <x:v>276689.73</x:v>
      </x:c>
      <x:c r="T1590" s="15"/>
      <x:c r="U1590" s="16" t="n">
        <x:v>5998.04</x:v>
      </x:c>
      <x:c r="V1590" t="str">
        <x:v>YIT Slovakia</x:v>
      </x:c>
      <x:c r="W1590" t="str">
        <x:v>Ružinov</x:v>
      </x:c>
      <x:c r="X1590" s="11" t="str">
        <x:v>Voľný</x:v>
      </x:c>
      <x:c r="Y1590" s="11" t="str">
        <x:v>https://www.yit.sk/predaj-bytov/bratislava/ruzinov/nuppu/nuppu-magnolia-4/pdsk105694</x:v>
      </x:c>
      <x:c r="Z1590" s="11" t="n">
        <x:v>46251.740894027775</x:v>
      </x:c>
      <x:c r="AA1590" s="11" t="n">
        <x:v>46254.51251577547</x:v>
      </x:c>
      <x:c r="AB1590" s="11" t="n">
        <x:v>46254.51251577547</x:v>
      </x:c>
      <x:c r="AC1590" t="str">
        <x:v>nuppu</x:v>
      </x:c>
    </x:row>
    <x:row r="1591" ht="22" customHeight="1">
      <x:c r="A1591" t="str">
        <x:v>NUPPU</x:v>
      </x:c>
      <x:c r="B1591" t="str">
        <x:v>O183</x:v>
      </x:c>
      <x:c r="C1591" t="str">
        <x:v>available</x:v>
      </x:c>
      <x:c r="D1591" t="str">
        <x:v>present</x:v>
      </x:c>
      <x:c r="E1591" t="str">
        <x:v>baseline</x:v>
      </x:c>
      <x:c r="F1591" s="11" t="n">
        <x:v>46251.740894027775</x:v>
      </x:c>
      <x:c r="G1591" t="str">
        <x:v>Byt</x:v>
      </x:c>
      <x:c r="H1591" s="12" t="n">
        <x:v>2</x:v>
      </x:c>
      <x:c r="I1591" s="13" t="n">
        <x:v>8</x:v>
      </x:c>
      <x:c r="J1591" t="str">
        <x:v>NUPPU Magnolia 4</x:v>
      </x:c>
      <x:c r="K1591" s="14" t="n">
        <x:v>46.99</x:v>
      </x:c>
      <x:c r="L1591" s="14" t="n">
        <x:v>4.68</x:v>
      </x:c>
      <x:c r="M1591" s="14"/>
      <x:c r="N1591" s="14" t="n">
        <x:v>0</x:v>
      </x:c>
      <x:c r="O1591" s="14"/>
      <x:c r="P1591" s="14"/>
      <x:c r="Q1591" s="14" t="n">
        <x:v>51.67</x:v>
      </x:c>
      <x:c r="R1591" s="15" t="n">
        <x:v>277004.61</x:v>
      </x:c>
      <x:c r="S1591" s="15" t="n">
        <x:v>277004.61</x:v>
      </x:c>
      <x:c r="T1591" s="15"/>
      <x:c r="U1591" s="16" t="n">
        <x:v>5894.97</x:v>
      </x:c>
      <x:c r="V1591" t="str">
        <x:v>YIT Slovakia</x:v>
      </x:c>
      <x:c r="W1591" t="str">
        <x:v>Ružinov</x:v>
      </x:c>
      <x:c r="X1591" s="11" t="str">
        <x:v>Voľný</x:v>
      </x:c>
      <x:c r="Y1591" s="11" t="str">
        <x:v>https://www.yit.sk/predaj-bytov/bratislava/ruzinov/nuppu/nuppu-magnolia-4/pdsk105693</x:v>
      </x:c>
      <x:c r="Z1591" s="11" t="n">
        <x:v>46251.740894027775</x:v>
      </x:c>
      <x:c r="AA1591" s="11" t="n">
        <x:v>46254.51251577547</x:v>
      </x:c>
      <x:c r="AB1591" s="11" t="n">
        <x:v>46254.51251577547</x:v>
      </x:c>
      <x:c r="AC1591" t="str">
        <x:v>nuppu</x:v>
      </x:c>
    </x:row>
    <x:row r="1592" ht="22" customHeight="1">
      <x:c r="A1592" t="str">
        <x:v>NUPPU</x:v>
      </x:c>
      <x:c r="B1592" t="str">
        <x:v>O185</x:v>
      </x:c>
      <x:c r="C1592" t="str">
        <x:v>available</x:v>
      </x:c>
      <x:c r="D1592" t="str">
        <x:v>present</x:v>
      </x:c>
      <x:c r="E1592" t="str">
        <x:v>baseline</x:v>
      </x:c>
      <x:c r="F1592" s="11" t="n">
        <x:v>46251.740894027775</x:v>
      </x:c>
      <x:c r="G1592" t="str">
        <x:v>Byt</x:v>
      </x:c>
      <x:c r="H1592" s="12" t="n">
        <x:v>3</x:v>
      </x:c>
      <x:c r="I1592" s="13" t="n">
        <x:v>8</x:v>
      </x:c>
      <x:c r="J1592" t="str">
        <x:v>NUPPU Magnolia 4</x:v>
      </x:c>
      <x:c r="K1592" s="14" t="n">
        <x:v>68.41</x:v>
      </x:c>
      <x:c r="L1592" s="14" t="n">
        <x:v>4.68</x:v>
      </x:c>
      <x:c r="M1592" s="14"/>
      <x:c r="N1592" s="14" t="n">
        <x:v>0</x:v>
      </x:c>
      <x:c r="O1592" s="14"/>
      <x:c r="P1592" s="14"/>
      <x:c r="Q1592" s="14" t="n">
        <x:v>73.09</x:v>
      </x:c>
      <x:c r="R1592" s="15" t="n">
        <x:v>369937.79</x:v>
      </x:c>
      <x:c r="S1592" s="15" t="n">
        <x:v>369937.79</x:v>
      </x:c>
      <x:c r="T1592" s="15"/>
      <x:c r="U1592" s="16" t="n">
        <x:v>5407.66</x:v>
      </x:c>
      <x:c r="V1592" t="str">
        <x:v>YIT Slovakia</x:v>
      </x:c>
      <x:c r="W1592" t="str">
        <x:v>Ružinov</x:v>
      </x:c>
      <x:c r="X1592" s="11" t="str">
        <x:v>Voľný</x:v>
      </x:c>
      <x:c r="Y1592" s="11" t="str">
        <x:v>https://www.yit.sk/predaj-bytov/bratislava/ruzinov/nuppu/nuppu-magnolia-4/pdsk105691</x:v>
      </x:c>
      <x:c r="Z1592" s="11" t="n">
        <x:v>46251.740894027775</x:v>
      </x:c>
      <x:c r="AA1592" s="11" t="n">
        <x:v>46254.51251577547</x:v>
      </x:c>
      <x:c r="AB1592" s="11" t="n">
        <x:v>46254.51251577547</x:v>
      </x:c>
      <x:c r="AC1592" t="str">
        <x:v>nuppu</x:v>
      </x:c>
    </x:row>
    <x:row r="1593" ht="22" customHeight="1">
      <x:c r="A1593" t="str">
        <x:v>NUPPU</x:v>
      </x:c>
      <x:c r="B1593" t="str">
        <x:v>O231</x:v>
      </x:c>
      <x:c r="C1593" t="str">
        <x:v>reserved</x:v>
      </x:c>
      <x:c r="D1593" t="str">
        <x:v>present</x:v>
      </x:c>
      <x:c r="E1593" t="str">
        <x:v>baseline</x:v>
      </x:c>
      <x:c r="F1593" s="11" t="n">
        <x:v>46251.740894027775</x:v>
      </x:c>
      <x:c r="G1593" t="str">
        <x:v>Byt</x:v>
      </x:c>
      <x:c r="H1593" s="12" t="n">
        <x:v>3</x:v>
      </x:c>
      <x:c r="I1593" s="13" t="n">
        <x:v>3</x:v>
      </x:c>
      <x:c r="J1593" t="str">
        <x:v>NUPPU Magnolia 4</x:v>
      </x:c>
      <x:c r="K1593" s="14" t="n">
        <x:v>64.42</x:v>
      </x:c>
      <x:c r="L1593" s="14" t="n">
        <x:v>4.68</x:v>
      </x:c>
      <x:c r="M1593" s="14"/>
      <x:c r="N1593" s="14" t="n">
        <x:v>0</x:v>
      </x:c>
      <x:c r="O1593" s="14"/>
      <x:c r="P1593" s="14"/>
      <x:c r="Q1593" s="14" t="n">
        <x:v>69.1</x:v>
      </x:c>
      <x:c r="R1593" s="15" t="n">
        <x:v>326549.42</x:v>
      </x:c>
      <x:c r="S1593" s="15" t="n">
        <x:v>326549.42</x:v>
      </x:c>
      <x:c r="T1593" s="15"/>
      <x:c r="U1593" s="16" t="n">
        <x:v>5069.07</x:v>
      </x:c>
      <x:c r="V1593" t="str">
        <x:v>YIT Slovakia</x:v>
      </x:c>
      <x:c r="W1593" t="str">
        <x:v>Ružinov</x:v>
      </x:c>
      <x:c r="X1593" s="11" t="str">
        <x:v>Nezáväzne rezervované</x:v>
      </x:c>
      <x:c r="Y1593" s="11" t="str">
        <x:v>https://www.yit.sk/predaj-bytov/bratislava/ruzinov/nuppu/nuppu-magnolia-4/pdsk105686</x:v>
      </x:c>
      <x:c r="Z1593" s="11" t="n">
        <x:v>46251.740894027775</x:v>
      </x:c>
      <x:c r="AA1593" s="11" t="n">
        <x:v>46254.51251577547</x:v>
      </x:c>
      <x:c r="AB1593" s="11" t="n">
        <x:v>46254.51251577547</x:v>
      </x:c>
      <x:c r="AC1593" t="str">
        <x:v>nuppu</x:v>
      </x:c>
    </x:row>
    <x:row r="1594" ht="22" customHeight="1">
      <x:c r="A1594" t="str">
        <x:v>NUPPU</x:v>
      </x:c>
      <x:c r="B1594" t="str">
        <x:v>O241</x:v>
      </x:c>
      <x:c r="C1594" t="str">
        <x:v>available</x:v>
      </x:c>
      <x:c r="D1594" t="str">
        <x:v>present</x:v>
      </x:c>
      <x:c r="E1594" t="str">
        <x:v>baseline</x:v>
      </x:c>
      <x:c r="F1594" s="11" t="n">
        <x:v>46251.740894027775</x:v>
      </x:c>
      <x:c r="G1594" t="str">
        <x:v>Byt</x:v>
      </x:c>
      <x:c r="H1594" s="12" t="n">
        <x:v>3</x:v>
      </x:c>
      <x:c r="I1594" s="13" t="n">
        <x:v>4</x:v>
      </x:c>
      <x:c r="J1594" t="str">
        <x:v>NUPPU Magnolia 4</x:v>
      </x:c>
      <x:c r="K1594" s="14" t="n">
        <x:v>64.42</x:v>
      </x:c>
      <x:c r="L1594" s="14" t="n">
        <x:v>4.68</x:v>
      </x:c>
      <x:c r="M1594" s="14"/>
      <x:c r="N1594" s="14" t="n">
        <x:v>0</x:v>
      </x:c>
      <x:c r="O1594" s="14"/>
      <x:c r="P1594" s="14"/>
      <x:c r="Q1594" s="14" t="n">
        <x:v>69.1</x:v>
      </x:c>
      <x:c r="R1594" s="15" t="n">
        <x:v>330403.01</x:v>
      </x:c>
      <x:c r="S1594" s="15" t="n">
        <x:v>330403.01</x:v>
      </x:c>
      <x:c r="T1594" s="15"/>
      <x:c r="U1594" s="16" t="n">
        <x:v>5128.89</x:v>
      </x:c>
      <x:c r="V1594" t="str">
        <x:v>YIT Slovakia</x:v>
      </x:c>
      <x:c r="W1594" t="str">
        <x:v>Ružinov</x:v>
      </x:c>
      <x:c r="X1594" s="11" t="str">
        <x:v>Voľný</x:v>
      </x:c>
      <x:c r="Y1594" s="11" t="str">
        <x:v>https://www.yit.sk/predaj-bytov/bratislava/ruzinov/nuppu/nuppu-magnolia-4/pdsk105680</x:v>
      </x:c>
      <x:c r="Z1594" s="11" t="n">
        <x:v>46251.740894027775</x:v>
      </x:c>
      <x:c r="AA1594" s="11" t="n">
        <x:v>46254.51251577547</x:v>
      </x:c>
      <x:c r="AB1594" s="11" t="n">
        <x:v>46254.51251577547</x:v>
      </x:c>
      <x:c r="AC1594" t="str">
        <x:v>nuppu</x:v>
      </x:c>
    </x:row>
    <x:row r="1595" ht="22" customHeight="1">
      <x:c r="A1595" t="str">
        <x:v>NUPPU</x:v>
      </x:c>
      <x:c r="B1595" t="str">
        <x:v>O251</x:v>
      </x:c>
      <x:c r="C1595" t="str">
        <x:v>available</x:v>
      </x:c>
      <x:c r="D1595" t="str">
        <x:v>present</x:v>
      </x:c>
      <x:c r="E1595" t="str">
        <x:v>baseline</x:v>
      </x:c>
      <x:c r="F1595" s="11" t="n">
        <x:v>46251.740894027775</x:v>
      </x:c>
      <x:c r="G1595" t="str">
        <x:v>Byt</x:v>
      </x:c>
      <x:c r="H1595" s="12" t="n">
        <x:v>3</x:v>
      </x:c>
      <x:c r="I1595" s="13" t="n">
        <x:v>5</x:v>
      </x:c>
      <x:c r="J1595" t="str">
        <x:v>NUPPU Magnolia 4</x:v>
      </x:c>
      <x:c r="K1595" s="14" t="n">
        <x:v>64.42</x:v>
      </x:c>
      <x:c r="L1595" s="14" t="n">
        <x:v>4.68</x:v>
      </x:c>
      <x:c r="M1595" s="14"/>
      <x:c r="N1595" s="14" t="n">
        <x:v>0</x:v>
      </x:c>
      <x:c r="O1595" s="14"/>
      <x:c r="P1595" s="14"/>
      <x:c r="Q1595" s="14" t="n">
        <x:v>69.1</x:v>
      </x:c>
      <x:c r="R1595" s="15" t="n">
        <x:v>342429.95</x:v>
      </x:c>
      <x:c r="S1595" s="15" t="n">
        <x:v>342429.95</x:v>
      </x:c>
      <x:c r="T1595" s="15"/>
      <x:c r="U1595" s="16" t="n">
        <x:v>5315.58</x:v>
      </x:c>
      <x:c r="V1595" t="str">
        <x:v>YIT Slovakia</x:v>
      </x:c>
      <x:c r="W1595" t="str">
        <x:v>Ružinov</x:v>
      </x:c>
      <x:c r="X1595" s="11" t="str">
        <x:v>Voľný</x:v>
      </x:c>
      <x:c r="Y1595" s="11" t="str">
        <x:v>https://www.yit.sk/predaj-bytov/bratislava/ruzinov/nuppu/nuppu-magnolia-4/pdsk105674</x:v>
      </x:c>
      <x:c r="Z1595" s="11" t="n">
        <x:v>46251.740894027775</x:v>
      </x:c>
      <x:c r="AA1595" s="11" t="n">
        <x:v>46254.51251577547</x:v>
      </x:c>
      <x:c r="AB1595" s="11" t="n">
        <x:v>46254.51251577547</x:v>
      </x:c>
      <x:c r="AC1595" t="str">
        <x:v>nuppu</x:v>
      </x:c>
    </x:row>
    <x:row r="1596" ht="22" customHeight="1">
      <x:c r="A1596" t="str">
        <x:v>NUPPU</x:v>
      </x:c>
      <x:c r="B1596" t="str">
        <x:v>O255</x:v>
      </x:c>
      <x:c r="C1596" t="str">
        <x:v>available</x:v>
      </x:c>
      <x:c r="D1596" t="str">
        <x:v>present</x:v>
      </x:c>
      <x:c r="E1596" t="str">
        <x:v>baseline</x:v>
      </x:c>
      <x:c r="F1596" s="11" t="n">
        <x:v>46251.740894027775</x:v>
      </x:c>
      <x:c r="G1596" t="str">
        <x:v>Byt</x:v>
      </x:c>
      <x:c r="H1596" s="12" t="n">
        <x:v>3</x:v>
      </x:c>
      <x:c r="I1596" s="13" t="n">
        <x:v>5</x:v>
      </x:c>
      <x:c r="J1596" t="str">
        <x:v>NUPPU Magnolia 4</x:v>
      </x:c>
      <x:c r="K1596" s="14" t="n">
        <x:v>76.02</x:v>
      </x:c>
      <x:c r="L1596" s="14" t="n">
        <x:v>4.22</x:v>
      </x:c>
      <x:c r="M1596" s="14"/>
      <x:c r="N1596" s="14" t="n">
        <x:v>0</x:v>
      </x:c>
      <x:c r="O1596" s="14"/>
      <x:c r="P1596" s="14"/>
      <x:c r="Q1596" s="14" t="n">
        <x:v>80.24</x:v>
      </x:c>
      <x:c r="R1596" s="15" t="n">
        <x:v>370160.63</x:v>
      </x:c>
      <x:c r="S1596" s="15" t="n">
        <x:v>370160.63</x:v>
      </x:c>
      <x:c r="T1596" s="15"/>
      <x:c r="U1596" s="16" t="n">
        <x:v>4869.25</x:v>
      </x:c>
      <x:c r="V1596" t="str">
        <x:v>YIT Slovakia</x:v>
      </x:c>
      <x:c r="W1596" t="str">
        <x:v>Ružinov</x:v>
      </x:c>
      <x:c r="X1596" s="11" t="str">
        <x:v>Voľný</x:v>
      </x:c>
      <x:c r="Y1596" s="11" t="str">
        <x:v>https://www.yit.sk/predaj-bytov/bratislava/ruzinov/nuppu/nuppu-magnolia-4/pdsk105670</x:v>
      </x:c>
      <x:c r="Z1596" s="11" t="n">
        <x:v>46251.740894027775</x:v>
      </x:c>
      <x:c r="AA1596" s="11" t="n">
        <x:v>46254.51251577547</x:v>
      </x:c>
      <x:c r="AB1596" s="11" t="n">
        <x:v>46254.51251577547</x:v>
      </x:c>
      <x:c r="AC1596" t="str">
        <x:v>nuppu</x:v>
      </x:c>
    </x:row>
    <x:row r="1597" ht="22" customHeight="1">
      <x:c r="A1597" t="str">
        <x:v>NUPPU</x:v>
      </x:c>
      <x:c r="B1597" t="str">
        <x:v>O261</x:v>
      </x:c>
      <x:c r="C1597" t="str">
        <x:v>available</x:v>
      </x:c>
      <x:c r="D1597" t="str">
        <x:v>present</x:v>
      </x:c>
      <x:c r="E1597" t="str">
        <x:v>baseline</x:v>
      </x:c>
      <x:c r="F1597" s="11" t="n">
        <x:v>46251.740894027775</x:v>
      </x:c>
      <x:c r="G1597" t="str">
        <x:v>Byt</x:v>
      </x:c>
      <x:c r="H1597" s="12" t="n">
        <x:v>3</x:v>
      </x:c>
      <x:c r="I1597" s="13" t="n">
        <x:v>6</x:v>
      </x:c>
      <x:c r="J1597" t="str">
        <x:v>NUPPU Magnolia 4</x:v>
      </x:c>
      <x:c r="K1597" s="14" t="n">
        <x:v>64.42</x:v>
      </x:c>
      <x:c r="L1597" s="14" t="n">
        <x:v>4.68</x:v>
      </x:c>
      <x:c r="M1597" s="14"/>
      <x:c r="N1597" s="14" t="n">
        <x:v>0</x:v>
      </x:c>
      <x:c r="O1597" s="14"/>
      <x:c r="P1597" s="14"/>
      <x:c r="Q1597" s="14" t="n">
        <x:v>69.1</x:v>
      </x:c>
      <x:c r="R1597" s="15" t="n">
        <x:v>346308.14</x:v>
      </x:c>
      <x:c r="S1597" s="15" t="n">
        <x:v>346308.14</x:v>
      </x:c>
      <x:c r="T1597" s="15"/>
      <x:c r="U1597" s="16" t="n">
        <x:v>5375.79</x:v>
      </x:c>
      <x:c r="V1597" t="str">
        <x:v>YIT Slovakia</x:v>
      </x:c>
      <x:c r="W1597" t="str">
        <x:v>Ružinov</x:v>
      </x:c>
      <x:c r="X1597" s="11" t="str">
        <x:v>Voľný</x:v>
      </x:c>
      <x:c r="Y1597" s="11" t="str">
        <x:v>https://www.yit.sk/predaj-bytov/bratislava/ruzinov/nuppu/nuppu-magnolia-4/pdsk105668</x:v>
      </x:c>
      <x:c r="Z1597" s="11" t="n">
        <x:v>46251.740894027775</x:v>
      </x:c>
      <x:c r="AA1597" s="11" t="n">
        <x:v>46254.51251577547</x:v>
      </x:c>
      <x:c r="AB1597" s="11" t="n">
        <x:v>46254.51251577547</x:v>
      </x:c>
      <x:c r="AC1597" t="str">
        <x:v>nuppu</x:v>
      </x:c>
    </x:row>
    <x:row r="1598" ht="22" customHeight="1">
      <x:c r="A1598" t="str">
        <x:v>NUPPU</x:v>
      </x:c>
      <x:c r="B1598" t="str">
        <x:v>O263</x:v>
      </x:c>
      <x:c r="C1598" t="str">
        <x:v>available</x:v>
      </x:c>
      <x:c r="D1598" t="str">
        <x:v>present</x:v>
      </x:c>
      <x:c r="E1598" t="str">
        <x:v>baseline</x:v>
      </x:c>
      <x:c r="F1598" s="11" t="n">
        <x:v>46251.740894027775</x:v>
      </x:c>
      <x:c r="G1598" t="str">
        <x:v>Byt</x:v>
      </x:c>
      <x:c r="H1598" s="12" t="n">
        <x:v>2</x:v>
      </x:c>
      <x:c r="I1598" s="13" t="n">
        <x:v>6</x:v>
      </x:c>
      <x:c r="J1598" t="str">
        <x:v>NUPPU Magnolia 4</x:v>
      </x:c>
      <x:c r="K1598" s="14" t="n">
        <x:v>51.63</x:v>
      </x:c>
      <x:c r="L1598" s="14" t="n">
        <x:v>4.68</x:v>
      </x:c>
      <x:c r="M1598" s="14"/>
      <x:c r="N1598" s="14" t="n">
        <x:v>0</x:v>
      </x:c>
      <x:c r="O1598" s="14"/>
      <x:c r="P1598" s="14"/>
      <x:c r="Q1598" s="14" t="n">
        <x:v>56.31</x:v>
      </x:c>
      <x:c r="R1598" s="15" t="n">
        <x:v>278266.59</x:v>
      </x:c>
      <x:c r="S1598" s="15" t="n">
        <x:v>278266.59</x:v>
      </x:c>
      <x:c r="T1598" s="15"/>
      <x:c r="U1598" s="16" t="n">
        <x:v>5389.63</x:v>
      </x:c>
      <x:c r="V1598" t="str">
        <x:v>YIT Slovakia</x:v>
      </x:c>
      <x:c r="W1598" t="str">
        <x:v>Ružinov</x:v>
      </x:c>
      <x:c r="X1598" s="11" t="str">
        <x:v>Voľný</x:v>
      </x:c>
      <x:c r="Y1598" s="11" t="str">
        <x:v>https://www.yit.sk/predaj-bytov/bratislava/ruzinov/nuppu/nuppu-magnolia-4/pdsk105666</x:v>
      </x:c>
      <x:c r="Z1598" s="11" t="n">
        <x:v>46251.740894027775</x:v>
      </x:c>
      <x:c r="AA1598" s="11" t="n">
        <x:v>46254.51251577547</x:v>
      </x:c>
      <x:c r="AB1598" s="11" t="n">
        <x:v>46254.51251577547</x:v>
      </x:c>
      <x:c r="AC1598" t="str">
        <x:v>nuppu</x:v>
      </x:c>
    </x:row>
    <x:row r="1599" ht="22" customHeight="1">
      <x:c r="A1599" t="str">
        <x:v>NUPPU</x:v>
      </x:c>
      <x:c r="B1599" t="str">
        <x:v>O264</x:v>
      </x:c>
      <x:c r="C1599" t="str">
        <x:v>reserved</x:v>
      </x:c>
      <x:c r="D1599" t="str">
        <x:v>present</x:v>
      </x:c>
      <x:c r="E1599" t="str">
        <x:v>baseline</x:v>
      </x:c>
      <x:c r="F1599" s="11" t="n">
        <x:v>46251.740894027775</x:v>
      </x:c>
      <x:c r="G1599" t="str">
        <x:v>Byt</x:v>
      </x:c>
      <x:c r="H1599" s="12" t="n">
        <x:v>1</x:v>
      </x:c>
      <x:c r="I1599" s="13" t="n">
        <x:v>6</x:v>
      </x:c>
      <x:c r="J1599" t="str">
        <x:v>NUPPU Magnolia 4</x:v>
      </x:c>
      <x:c r="K1599" s="14" t="n">
        <x:v>31.98</x:v>
      </x:c>
      <x:c r="L1599" s="14" t="n">
        <x:v>2.6</x:v>
      </x:c>
      <x:c r="M1599" s="14"/>
      <x:c r="N1599" s="14" t="n">
        <x:v>0</x:v>
      </x:c>
      <x:c r="O1599" s="14"/>
      <x:c r="P1599" s="14"/>
      <x:c r="Q1599" s="14" t="n">
        <x:v>34.58</x:v>
      </x:c>
      <x:c r="R1599" s="15" t="n">
        <x:v>210739.59</x:v>
      </x:c>
      <x:c r="S1599" s="15" t="n">
        <x:v>210739.59</x:v>
      </x:c>
      <x:c r="T1599" s="15"/>
      <x:c r="U1599" s="16" t="n">
        <x:v>6589.73</x:v>
      </x:c>
      <x:c r="V1599" t="str">
        <x:v>YIT Slovakia</x:v>
      </x:c>
      <x:c r="W1599" t="str">
        <x:v>Ružinov</x:v>
      </x:c>
      <x:c r="X1599" s="11" t="str">
        <x:v>Nezáväzne rezervované</x:v>
      </x:c>
      <x:c r="Y1599" s="11" t="str">
        <x:v>https://www.yit.sk/predaj-bytov/bratislava/ruzinov/nuppu/nuppu-magnolia-4/pdsk105665</x:v>
      </x:c>
      <x:c r="Z1599" s="11" t="n">
        <x:v>46251.740894027775</x:v>
      </x:c>
      <x:c r="AA1599" s="11" t="n">
        <x:v>46254.51251577547</x:v>
      </x:c>
      <x:c r="AB1599" s="11" t="n">
        <x:v>46254.51251577547</x:v>
      </x:c>
      <x:c r="AC1599" t="str">
        <x:v>nuppu</x:v>
      </x:c>
    </x:row>
    <x:row r="1600" ht="22" customHeight="1">
      <x:c r="A1600" t="str">
        <x:v>NUPPU</x:v>
      </x:c>
      <x:c r="B1600" t="str">
        <x:v>O271</x:v>
      </x:c>
      <x:c r="C1600" t="str">
        <x:v>available</x:v>
      </x:c>
      <x:c r="D1600" t="str">
        <x:v>present</x:v>
      </x:c>
      <x:c r="E1600" t="str">
        <x:v>baseline</x:v>
      </x:c>
      <x:c r="F1600" s="11" t="n">
        <x:v>46251.740894027775</x:v>
      </x:c>
      <x:c r="G1600" t="str">
        <x:v>Byt</x:v>
      </x:c>
      <x:c r="H1600" s="12" t="n">
        <x:v>3</x:v>
      </x:c>
      <x:c r="I1600" s="13" t="n">
        <x:v>7</x:v>
      </x:c>
      <x:c r="J1600" t="str">
        <x:v>NUPPU Magnolia 4</x:v>
      </x:c>
      <x:c r="K1600" s="14" t="n">
        <x:v>64.42</x:v>
      </x:c>
      <x:c r="L1600" s="14" t="n">
        <x:v>4.68</x:v>
      </x:c>
      <x:c r="M1600" s="14"/>
      <x:c r="N1600" s="14" t="n">
        <x:v>0</x:v>
      </x:c>
      <x:c r="O1600" s="14"/>
      <x:c r="P1600" s="14"/>
      <x:c r="Q1600" s="14" t="n">
        <x:v>69.1</x:v>
      </x:c>
      <x:c r="R1600" s="15" t="n">
        <x:v>355914.44</x:v>
      </x:c>
      <x:c r="S1600" s="15" t="n">
        <x:v>355914.44</x:v>
      </x:c>
      <x:c r="T1600" s="15"/>
      <x:c r="U1600" s="16" t="n">
        <x:v>5524.91</x:v>
      </x:c>
      <x:c r="V1600" t="str">
        <x:v>YIT Slovakia</x:v>
      </x:c>
      <x:c r="W1600" t="str">
        <x:v>Ružinov</x:v>
      </x:c>
      <x:c r="X1600" s="11" t="str">
        <x:v>Voľný</x:v>
      </x:c>
      <x:c r="Y1600" s="11" t="str">
        <x:v>https://www.yit.sk/predaj-bytov/bratislava/ruzinov/nuppu/nuppu-magnolia-4/pdsk105662</x:v>
      </x:c>
      <x:c r="Z1600" s="11" t="n">
        <x:v>46251.740894027775</x:v>
      </x:c>
      <x:c r="AA1600" s="11" t="n">
        <x:v>46254.51251577547</x:v>
      </x:c>
      <x:c r="AB1600" s="11" t="n">
        <x:v>46254.51251577547</x:v>
      </x:c>
      <x:c r="AC1600" t="str">
        <x:v>nuppu</x:v>
      </x:c>
    </x:row>
    <x:row r="1601" ht="22" customHeight="1">
      <x:c r="A1601" t="str">
        <x:v>NUPPU</x:v>
      </x:c>
      <x:c r="B1601" t="str">
        <x:v>O274</x:v>
      </x:c>
      <x:c r="C1601" t="str">
        <x:v>available</x:v>
      </x:c>
      <x:c r="D1601" t="str">
        <x:v>present</x:v>
      </x:c>
      <x:c r="E1601" t="str">
        <x:v>baseline</x:v>
      </x:c>
      <x:c r="F1601" s="11" t="n">
        <x:v>46251.740894027775</x:v>
      </x:c>
      <x:c r="G1601" t="str">
        <x:v>Byt</x:v>
      </x:c>
      <x:c r="H1601" s="12" t="n">
        <x:v>1</x:v>
      </x:c>
      <x:c r="I1601" s="13" t="n">
        <x:v>7</x:v>
      </x:c>
      <x:c r="J1601" t="str">
        <x:v>NUPPU Magnolia 4</x:v>
      </x:c>
      <x:c r="K1601" s="14" t="n">
        <x:v>31.98</x:v>
      </x:c>
      <x:c r="L1601" s="14" t="n">
        <x:v>2.6</x:v>
      </x:c>
      <x:c r="M1601" s="14"/>
      <x:c r="N1601" s="14" t="n">
        <x:v>0</x:v>
      </x:c>
      <x:c r="O1601" s="14"/>
      <x:c r="P1601" s="14"/>
      <x:c r="Q1601" s="14" t="n">
        <x:v>34.58</x:v>
      </x:c>
      <x:c r="R1601" s="15" t="n">
        <x:v>215170.05</x:v>
      </x:c>
      <x:c r="S1601" s="15" t="n">
        <x:v>215170.05</x:v>
      </x:c>
      <x:c r="T1601" s="15"/>
      <x:c r="U1601" s="16" t="n">
        <x:v>6728.27</x:v>
      </x:c>
      <x:c r="V1601" t="str">
        <x:v>YIT Slovakia</x:v>
      </x:c>
      <x:c r="W1601" t="str">
        <x:v>Ružinov</x:v>
      </x:c>
      <x:c r="X1601" s="11" t="str">
        <x:v>Voľný</x:v>
      </x:c>
      <x:c r="Y1601" s="11" t="str">
        <x:v>https://www.yit.sk/predaj-bytov/bratislava/ruzinov/nuppu/nuppu-magnolia-4/pdsk105659</x:v>
      </x:c>
      <x:c r="Z1601" s="11" t="n">
        <x:v>46251.740894027775</x:v>
      </x:c>
      <x:c r="AA1601" s="11" t="n">
        <x:v>46254.51251577547</x:v>
      </x:c>
      <x:c r="AB1601" s="11" t="n">
        <x:v>46254.51251577547</x:v>
      </x:c>
      <x:c r="AC1601" t="str">
        <x:v>nuppu</x:v>
      </x:c>
    </x:row>
    <x:row r="1602" ht="22" customHeight="1">
      <x:c r="A1602" t="str">
        <x:v>NUPPU</x:v>
      </x:c>
      <x:c r="B1602" t="str">
        <x:v>O281</x:v>
      </x:c>
      <x:c r="C1602" t="str">
        <x:v>available</x:v>
      </x:c>
      <x:c r="D1602" t="str">
        <x:v>present</x:v>
      </x:c>
      <x:c r="E1602" t="str">
        <x:v>baseline</x:v>
      </x:c>
      <x:c r="F1602" s="11" t="n">
        <x:v>46251.740894027775</x:v>
      </x:c>
      <x:c r="G1602" t="str">
        <x:v>Byt</x:v>
      </x:c>
      <x:c r="H1602" s="12" t="n">
        <x:v>3</x:v>
      </x:c>
      <x:c r="I1602" s="13" t="n">
        <x:v>8</x:v>
      </x:c>
      <x:c r="J1602" t="str">
        <x:v>NUPPU Magnolia 4</x:v>
      </x:c>
      <x:c r="K1602" s="14" t="n">
        <x:v>64.42</x:v>
      </x:c>
      <x:c r="L1602" s="14" t="n">
        <x:v>4.68</x:v>
      </x:c>
      <x:c r="M1602" s="14"/>
      <x:c r="N1602" s="14" t="n">
        <x:v>0</x:v>
      </x:c>
      <x:c r="O1602" s="14"/>
      <x:c r="P1602" s="14"/>
      <x:c r="Q1602" s="14" t="n">
        <x:v>69.1</x:v>
      </x:c>
      <x:c r="R1602" s="15" t="n">
        <x:v>354512.98</x:v>
      </x:c>
      <x:c r="S1602" s="15" t="n">
        <x:v>354512.98</x:v>
      </x:c>
      <x:c r="T1602" s="15"/>
      <x:c r="U1602" s="16" t="n">
        <x:v>5503.15</x:v>
      </x:c>
      <x:c r="V1602" t="str">
        <x:v>YIT Slovakia</x:v>
      </x:c>
      <x:c r="W1602" t="str">
        <x:v>Ružinov</x:v>
      </x:c>
      <x:c r="X1602" s="11" t="str">
        <x:v>Voľný</x:v>
      </x:c>
      <x:c r="Y1602" s="11" t="str">
        <x:v>https://www.yit.sk/predaj-bytov/bratislava/ruzinov/nuppu/nuppu-magnolia-4/pdsk105656</x:v>
      </x:c>
      <x:c r="Z1602" s="11" t="n">
        <x:v>46251.740894027775</x:v>
      </x:c>
      <x:c r="AA1602" s="11" t="n">
        <x:v>46254.51251577547</x:v>
      </x:c>
      <x:c r="AB1602" s="11" t="n">
        <x:v>46254.51251577547</x:v>
      </x:c>
      <x:c r="AC1602" t="str">
        <x:v>nuppu</x:v>
      </x:c>
    </x:row>
    <x:row r="1603" ht="22" customHeight="1">
      <x:c r="A1603" t="str">
        <x:v>NUPPU</x:v>
      </x:c>
      <x:c r="B1603" t="str">
        <x:v>O282</x:v>
      </x:c>
      <x:c r="C1603" t="str">
        <x:v>available</x:v>
      </x:c>
      <x:c r="D1603" t="str">
        <x:v>present</x:v>
      </x:c>
      <x:c r="E1603" t="str">
        <x:v>baseline</x:v>
      </x:c>
      <x:c r="F1603" s="11" t="n">
        <x:v>46251.740894027775</x:v>
      </x:c>
      <x:c r="G1603" t="str">
        <x:v>Byt</x:v>
      </x:c>
      <x:c r="H1603" s="12" t="n">
        <x:v>2</x:v>
      </x:c>
      <x:c r="I1603" s="13" t="n">
        <x:v>8</x:v>
      </x:c>
      <x:c r="J1603" t="str">
        <x:v>NUPPU Magnolia 4</x:v>
      </x:c>
      <x:c r="K1603" s="14" t="n">
        <x:v>46.13</x:v>
      </x:c>
      <x:c r="L1603" s="14" t="n">
        <x:v>4.68</x:v>
      </x:c>
      <x:c r="M1603" s="14"/>
      <x:c r="N1603" s="14" t="n">
        <x:v>0</x:v>
      </x:c>
      <x:c r="O1603" s="14"/>
      <x:c r="P1603" s="14"/>
      <x:c r="Q1603" s="14" t="n">
        <x:v>50.81</x:v>
      </x:c>
      <x:c r="R1603" s="15" t="n">
        <x:v>276689.73</x:v>
      </x:c>
      <x:c r="S1603" s="15" t="n">
        <x:v>276689.73</x:v>
      </x:c>
      <x:c r="T1603" s="15"/>
      <x:c r="U1603" s="16" t="n">
        <x:v>5998.04</x:v>
      </x:c>
      <x:c r="V1603" t="str">
        <x:v>YIT Slovakia</x:v>
      </x:c>
      <x:c r="W1603" t="str">
        <x:v>Ružinov</x:v>
      </x:c>
      <x:c r="X1603" s="11" t="str">
        <x:v>Voľný</x:v>
      </x:c>
      <x:c r="Y1603" s="11" t="str">
        <x:v>https://www.yit.sk/predaj-bytov/bratislava/ruzinov/nuppu/nuppu-magnolia-4/pdsk105655</x:v>
      </x:c>
      <x:c r="Z1603" s="11" t="n">
        <x:v>46251.740894027775</x:v>
      </x:c>
      <x:c r="AA1603" s="11" t="n">
        <x:v>46254.51251577547</x:v>
      </x:c>
      <x:c r="AB1603" s="11" t="n">
        <x:v>46254.51251577547</x:v>
      </x:c>
      <x:c r="AC1603" t="str">
        <x:v>nuppu</x:v>
      </x:c>
    </x:row>
    <x:row r="1604" ht="22" customHeight="1">
      <x:c r="A1604" t="str">
        <x:v>NUPPU</x:v>
      </x:c>
      <x:c r="B1604" t="str">
        <x:v>O283</x:v>
      </x:c>
      <x:c r="C1604" t="str">
        <x:v>available</x:v>
      </x:c>
      <x:c r="D1604" t="str">
        <x:v>present</x:v>
      </x:c>
      <x:c r="E1604" t="str">
        <x:v>baseline</x:v>
      </x:c>
      <x:c r="F1604" s="11" t="n">
        <x:v>46251.740894027775</x:v>
      </x:c>
      <x:c r="G1604" t="str">
        <x:v>Byt</x:v>
      </x:c>
      <x:c r="H1604" s="12" t="n">
        <x:v>2</x:v>
      </x:c>
      <x:c r="I1604" s="13" t="n">
        <x:v>8</x:v>
      </x:c>
      <x:c r="J1604" t="str">
        <x:v>NUPPU Magnolia 4</x:v>
      </x:c>
      <x:c r="K1604" s="14" t="n">
        <x:v>51.5</x:v>
      </x:c>
      <x:c r="L1604" s="14" t="n">
        <x:v>4.68</x:v>
      </x:c>
      <x:c r="M1604" s="14"/>
      <x:c r="N1604" s="14" t="n">
        <x:v>0</x:v>
      </x:c>
      <x:c r="O1604" s="14"/>
      <x:c r="P1604" s="14"/>
      <x:c r="Q1604" s="14" t="n">
        <x:v>56.18</x:v>
      </x:c>
      <x:c r="R1604" s="15" t="n">
        <x:v>284185.35</x:v>
      </x:c>
      <x:c r="S1604" s="15" t="n">
        <x:v>284185.35</x:v>
      </x:c>
      <x:c r="T1604" s="15"/>
      <x:c r="U1604" s="16" t="n">
        <x:v>5518.16</x:v>
      </x:c>
      <x:c r="V1604" t="str">
        <x:v>YIT Slovakia</x:v>
      </x:c>
      <x:c r="W1604" t="str">
        <x:v>Ružinov</x:v>
      </x:c>
      <x:c r="X1604" s="11" t="str">
        <x:v>Voľný</x:v>
      </x:c>
      <x:c r="Y1604" s="11" t="str">
        <x:v>https://www.yit.sk/predaj-bytov/bratislava/ruzinov/nuppu/nuppu-magnolia-4/pdsk105654</x:v>
      </x:c>
      <x:c r="Z1604" s="11" t="n">
        <x:v>46251.740894027775</x:v>
      </x:c>
      <x:c r="AA1604" s="11" t="n">
        <x:v>46254.51251577547</x:v>
      </x:c>
      <x:c r="AB1604" s="11" t="n">
        <x:v>46254.51251577547</x:v>
      </x:c>
      <x:c r="AC1604" t="str">
        <x:v>nuppu</x:v>
      </x:c>
    </x:row>
    <x:row r="1605" ht="22" customHeight="1">
      <x:c r="A1605" t="str">
        <x:v>NUPPU</x:v>
      </x:c>
      <x:c r="B1605" t="str">
        <x:v>P124</x:v>
      </x:c>
      <x:c r="C1605" t="str">
        <x:v>reserved</x:v>
      </x:c>
      <x:c r="D1605" t="str">
        <x:v>present</x:v>
      </x:c>
      <x:c r="E1605" t="str">
        <x:v>baseline</x:v>
      </x:c>
      <x:c r="F1605" s="11" t="n">
        <x:v>46251.740894027775</x:v>
      </x:c>
      <x:c r="G1605" t="str">
        <x:v>Byt</x:v>
      </x:c>
      <x:c r="H1605" s="12" t="n">
        <x:v>2</x:v>
      </x:c>
      <x:c r="I1605" s="13" t="n">
        <x:v>2</x:v>
      </x:c>
      <x:c r="J1605" t="str">
        <x:v>NUPPU Magnolia 5</x:v>
      </x:c>
      <x:c r="K1605" s="14" t="n">
        <x:v>52.06</x:v>
      </x:c>
      <x:c r="L1605" s="14" t="n">
        <x:v>2.6</x:v>
      </x:c>
      <x:c r="M1605" s="14"/>
      <x:c r="N1605" s="14" t="n">
        <x:v>0</x:v>
      </x:c>
      <x:c r="O1605" s="14"/>
      <x:c r="P1605" s="14"/>
      <x:c r="Q1605" s="14" t="n">
        <x:v>54.66</x:v>
      </x:c>
      <x:c r="R1605" s="15" t="n">
        <x:v>267085.89</x:v>
      </x:c>
      <x:c r="S1605" s="15" t="n">
        <x:v>267085.89</x:v>
      </x:c>
      <x:c r="T1605" s="15"/>
      <x:c r="U1605" s="16" t="n">
        <x:v>5130.35</x:v>
      </x:c>
      <x:c r="V1605" t="str">
        <x:v>YIT Slovakia</x:v>
      </x:c>
      <x:c r="W1605" t="str">
        <x:v>Ružinov</x:v>
      </x:c>
      <x:c r="X1605" s="11" t="str">
        <x:v>Nezáväzne rezervované</x:v>
      </x:c>
      <x:c r="Y1605" s="11" t="str">
        <x:v>https://www.yit.sk/predaj-bytov/bratislava/ruzinov/nuppu/nuppu-magnolia-5/pdsk107817</x:v>
      </x:c>
      <x:c r="Z1605" s="11" t="n">
        <x:v>46251.740894027775</x:v>
      </x:c>
      <x:c r="AA1605" s="11" t="n">
        <x:v>46254.51251577547</x:v>
      </x:c>
      <x:c r="AB1605" s="11" t="n">
        <x:v>46254.51251577547</x:v>
      </x:c>
      <x:c r="AC1605" t="str">
        <x:v>nuppu</x:v>
      </x:c>
    </x:row>
    <x:row r="1606" ht="22" customHeight="1">
      <x:c r="A1606" t="str">
        <x:v>NUPPU</x:v>
      </x:c>
      <x:c r="B1606" t="str">
        <x:v>P135</x:v>
      </x:c>
      <x:c r="C1606" t="str">
        <x:v>available</x:v>
      </x:c>
      <x:c r="D1606" t="str">
        <x:v>present</x:v>
      </x:c>
      <x:c r="E1606" t="str">
        <x:v>baseline</x:v>
      </x:c>
      <x:c r="F1606" s="11" t="n">
        <x:v>46251.740894027775</x:v>
      </x:c>
      <x:c r="G1606" t="str">
        <x:v>Byt</x:v>
      </x:c>
      <x:c r="H1606" s="12" t="n">
        <x:v>3</x:v>
      </x:c>
      <x:c r="I1606" s="13" t="n">
        <x:v>3</x:v>
      </x:c>
      <x:c r="J1606" t="str">
        <x:v>NUPPU Magnolia 5</x:v>
      </x:c>
      <x:c r="K1606" s="14" t="n">
        <x:v>68.64</x:v>
      </x:c>
      <x:c r="L1606" s="14" t="n">
        <x:v>4.68</x:v>
      </x:c>
      <x:c r="M1606" s="14"/>
      <x:c r="N1606" s="14" t="n">
        <x:v>0</x:v>
      </x:c>
      <x:c r="O1606" s="14"/>
      <x:c r="P1606" s="14"/>
      <x:c r="Q1606" s="14" t="n">
        <x:v>73.32</x:v>
      </x:c>
      <x:c r="R1606" s="15" t="n">
        <x:v>349439.8</x:v>
      </x:c>
      <x:c r="S1606" s="15" t="n">
        <x:v>349439.8</x:v>
      </x:c>
      <x:c r="T1606" s="15"/>
      <x:c r="U1606" s="16" t="n">
        <x:v>5090.91</x:v>
      </x:c>
      <x:c r="V1606" t="str">
        <x:v>YIT Slovakia</x:v>
      </x:c>
      <x:c r="W1606" t="str">
        <x:v>Ružinov</x:v>
      </x:c>
      <x:c r="X1606" s="11" t="str">
        <x:v>Voľný</x:v>
      </x:c>
      <x:c r="Y1606" s="11" t="str">
        <x:v>https://www.yit.sk/predaj-bytov/bratislava/ruzinov/nuppu/nuppu-magnolia-5/pdsk107808</x:v>
      </x:c>
      <x:c r="Z1606" s="11" t="n">
        <x:v>46251.740894027775</x:v>
      </x:c>
      <x:c r="AA1606" s="11" t="n">
        <x:v>46254.51251577547</x:v>
      </x:c>
      <x:c r="AB1606" s="11" t="n">
        <x:v>46254.51251577547</x:v>
      </x:c>
      <x:c r="AC1606" t="str">
        <x:v>nuppu</x:v>
      </x:c>
    </x:row>
    <x:row r="1607" ht="22" customHeight="1">
      <x:c r="A1607" t="str">
        <x:v>NUPPU</x:v>
      </x:c>
      <x:c r="B1607" t="str">
        <x:v>P141</x:v>
      </x:c>
      <x:c r="C1607" t="str">
        <x:v>reserved</x:v>
      </x:c>
      <x:c r="D1607" t="str">
        <x:v>present</x:v>
      </x:c>
      <x:c r="E1607" t="str">
        <x:v>baseline</x:v>
      </x:c>
      <x:c r="F1607" s="11" t="n">
        <x:v>46251.740894027775</x:v>
      </x:c>
      <x:c r="G1607" t="str">
        <x:v>Byt</x:v>
      </x:c>
      <x:c r="H1607" s="12" t="n">
        <x:v>3</x:v>
      </x:c>
      <x:c r="I1607" s="13" t="n">
        <x:v>4</x:v>
      </x:c>
      <x:c r="J1607" t="str">
        <x:v>NUPPU Magnolia 5</x:v>
      </x:c>
      <x:c r="K1607" s="14" t="n">
        <x:v>64.42</x:v>
      </x:c>
      <x:c r="L1607" s="14" t="n">
        <x:v>4.68</x:v>
      </x:c>
      <x:c r="M1607" s="14"/>
      <x:c r="N1607" s="14" t="n">
        <x:v>0</x:v>
      </x:c>
      <x:c r="O1607" s="14"/>
      <x:c r="P1607" s="14"/>
      <x:c r="Q1607" s="14" t="n">
        <x:v>69.1</x:v>
      </x:c>
      <x:c r="R1607" s="15" t="n">
        <x:v>330356.6</x:v>
      </x:c>
      <x:c r="S1607" s="15" t="n">
        <x:v>330356.6</x:v>
      </x:c>
      <x:c r="T1607" s="15"/>
      <x:c r="U1607" s="16" t="n">
        <x:v>5128.17</x:v>
      </x:c>
      <x:c r="V1607" t="str">
        <x:v>YIT Slovakia</x:v>
      </x:c>
      <x:c r="W1607" t="str">
        <x:v>Ružinov</x:v>
      </x:c>
      <x:c r="X1607" s="11" t="str">
        <x:v>Nezáväzne rezervované</x:v>
      </x:c>
      <x:c r="Y1607" s="11" t="str">
        <x:v>https://www.yit.sk/predaj-bytov/bratislava/ruzinov/nuppu/nuppu-magnolia-5/pdsk107801</x:v>
      </x:c>
      <x:c r="Z1607" s="11" t="n">
        <x:v>46251.740894027775</x:v>
      </x:c>
      <x:c r="AA1607" s="11" t="n">
        <x:v>46254.51251577547</x:v>
      </x:c>
      <x:c r="AB1607" s="11" t="n">
        <x:v>46254.51251577547</x:v>
      </x:c>
      <x:c r="AC1607" t="str">
        <x:v>nuppu</x:v>
      </x:c>
    </x:row>
    <x:row r="1608" ht="22" customHeight="1">
      <x:c r="A1608" t="str">
        <x:v>NUPPU</x:v>
      </x:c>
      <x:c r="B1608" t="str">
        <x:v>P142</x:v>
      </x:c>
      <x:c r="C1608" t="str">
        <x:v>available</x:v>
      </x:c>
      <x:c r="D1608" t="str">
        <x:v>present</x:v>
      </x:c>
      <x:c r="E1608" t="str">
        <x:v>baseline</x:v>
      </x:c>
      <x:c r="F1608" s="11" t="n">
        <x:v>46251.740894027775</x:v>
      </x:c>
      <x:c r="G1608" t="str">
        <x:v>Byt</x:v>
      </x:c>
      <x:c r="H1608" s="12" t="n">
        <x:v>2</x:v>
      </x:c>
      <x:c r="I1608" s="13" t="n">
        <x:v>4</x:v>
      </x:c>
      <x:c r="J1608" t="str">
        <x:v>NUPPU Magnolia 5</x:v>
      </x:c>
      <x:c r="K1608" s="14" t="n">
        <x:v>46.26</x:v>
      </x:c>
      <x:c r="L1608" s="14" t="n">
        <x:v>4.68</x:v>
      </x:c>
      <x:c r="M1608" s="14"/>
      <x:c r="N1608" s="14" t="n">
        <x:v>0</x:v>
      </x:c>
      <x:c r="O1608" s="14"/>
      <x:c r="P1608" s="14"/>
      <x:c r="Q1608" s="14" t="n">
        <x:v>50.94</x:v>
      </x:c>
      <x:c r="R1608" s="15" t="n">
        <x:v>259124.1</x:v>
      </x:c>
      <x:c r="S1608" s="15" t="n">
        <x:v>259124.1</x:v>
      </x:c>
      <x:c r="T1608" s="15"/>
      <x:c r="U1608" s="16" t="n">
        <x:v>5601.47</x:v>
      </x:c>
      <x:c r="V1608" t="str">
        <x:v>YIT Slovakia</x:v>
      </x:c>
      <x:c r="W1608" t="str">
        <x:v>Ružinov</x:v>
      </x:c>
      <x:c r="X1608" s="11" t="str">
        <x:v>Voľný</x:v>
      </x:c>
      <x:c r="Y1608" s="11" t="str">
        <x:v>https://www.yit.sk/predaj-bytov/bratislava/ruzinov/nuppu/nuppu-magnolia-5/pdsk107800</x:v>
      </x:c>
      <x:c r="Z1608" s="11" t="n">
        <x:v>46251.740894027775</x:v>
      </x:c>
      <x:c r="AA1608" s="11" t="n">
        <x:v>46254.51251577547</x:v>
      </x:c>
      <x:c r="AB1608" s="11" t="n">
        <x:v>46254.51251577547</x:v>
      </x:c>
      <x:c r="AC1608" t="str">
        <x:v>nuppu</x:v>
      </x:c>
    </x:row>
    <x:row r="1609" ht="22" customHeight="1">
      <x:c r="A1609" t="str">
        <x:v>NUPPU</x:v>
      </x:c>
      <x:c r="B1609" t="str">
        <x:v>P145</x:v>
      </x:c>
      <x:c r="C1609" t="str">
        <x:v>available</x:v>
      </x:c>
      <x:c r="D1609" t="str">
        <x:v>present</x:v>
      </x:c>
      <x:c r="E1609" t="str">
        <x:v>baseline</x:v>
      </x:c>
      <x:c r="F1609" s="11" t="n">
        <x:v>46251.740894027775</x:v>
      </x:c>
      <x:c r="G1609" t="str">
        <x:v>Byt</x:v>
      </x:c>
      <x:c r="H1609" s="12" t="n">
        <x:v>3</x:v>
      </x:c>
      <x:c r="I1609" s="13" t="n">
        <x:v>4</x:v>
      </x:c>
      <x:c r="J1609" t="str">
        <x:v>NUPPU Magnolia 5</x:v>
      </x:c>
      <x:c r="K1609" s="14" t="n">
        <x:v>68.64</x:v>
      </x:c>
      <x:c r="L1609" s="14" t="n">
        <x:v>4.68</x:v>
      </x:c>
      <x:c r="M1609" s="14"/>
      <x:c r="N1609" s="14" t="n">
        <x:v>0</x:v>
      </x:c>
      <x:c r="O1609" s="14"/>
      <x:c r="P1609" s="14"/>
      <x:c r="Q1609" s="14" t="n">
        <x:v>73.32</x:v>
      </x:c>
      <x:c r="R1609" s="15" t="n">
        <x:v>348852.6</x:v>
      </x:c>
      <x:c r="S1609" s="15" t="n">
        <x:v>348852.6</x:v>
      </x:c>
      <x:c r="T1609" s="15"/>
      <x:c r="U1609" s="16" t="n">
        <x:v>5082.35</x:v>
      </x:c>
      <x:c r="V1609" t="str">
        <x:v>YIT Slovakia</x:v>
      </x:c>
      <x:c r="W1609" t="str">
        <x:v>Ružinov</x:v>
      </x:c>
      <x:c r="X1609" s="11" t="str">
        <x:v>Voľný</x:v>
      </x:c>
      <x:c r="Y1609" s="11" t="str">
        <x:v>https://www.yit.sk/predaj-bytov/bratislava/ruzinov/nuppu/nuppu-magnolia-5/pdsk107797</x:v>
      </x:c>
      <x:c r="Z1609" s="11" t="n">
        <x:v>46251.740894027775</x:v>
      </x:c>
      <x:c r="AA1609" s="11" t="n">
        <x:v>46254.51251577547</x:v>
      </x:c>
      <x:c r="AB1609" s="11" t="n">
        <x:v>46254.51251577547</x:v>
      </x:c>
      <x:c r="AC1609" t="str">
        <x:v>nuppu</x:v>
      </x:c>
    </x:row>
    <x:row r="1610" ht="22" customHeight="1">
      <x:c r="A1610" t="str">
        <x:v>NUPPU</x:v>
      </x:c>
      <x:c r="B1610" t="str">
        <x:v>P153</x:v>
      </x:c>
      <x:c r="C1610" t="str">
        <x:v>available</x:v>
      </x:c>
      <x:c r="D1610" t="str">
        <x:v>present</x:v>
      </x:c>
      <x:c r="E1610" t="str">
        <x:v>baseline</x:v>
      </x:c>
      <x:c r="F1610" s="11" t="n">
        <x:v>46251.740894027775</x:v>
      </x:c>
      <x:c r="G1610" t="str">
        <x:v>Byt</x:v>
      </x:c>
      <x:c r="H1610" s="12" t="n">
        <x:v>2</x:v>
      </x:c>
      <x:c r="I1610" s="13" t="n">
        <x:v>5</x:v>
      </x:c>
      <x:c r="J1610" t="str">
        <x:v>NUPPU Magnolia 5</x:v>
      </x:c>
      <x:c r="K1610" s="14" t="n">
        <x:v>46.99</x:v>
      </x:c>
      <x:c r="L1610" s="14" t="n">
        <x:v>4.68</x:v>
      </x:c>
      <x:c r="M1610" s="14"/>
      <x:c r="N1610" s="14" t="n">
        <x:v>0</x:v>
      </x:c>
      <x:c r="O1610" s="14"/>
      <x:c r="P1610" s="14"/>
      <x:c r="Q1610" s="14" t="n">
        <x:v>51.67</x:v>
      </x:c>
      <x:c r="R1610" s="15" t="n">
        <x:v>271210.08</x:v>
      </x:c>
      <x:c r="S1610" s="15" t="n">
        <x:v>271210.08</x:v>
      </x:c>
      <x:c r="T1610" s="15"/>
      <x:c r="U1610" s="16" t="n">
        <x:v>5771.66</x:v>
      </x:c>
      <x:c r="V1610" t="str">
        <x:v>YIT Slovakia</x:v>
      </x:c>
      <x:c r="W1610" t="str">
        <x:v>Ružinov</x:v>
      </x:c>
      <x:c r="X1610" s="11" t="str">
        <x:v>Voľný</x:v>
      </x:c>
      <x:c r="Y1610" s="11" t="str">
        <x:v>https://www.yit.sk/predaj-bytov/bratislava/ruzinov/nuppu/nuppu-magnolia-5/pdsk107788</x:v>
      </x:c>
      <x:c r="Z1610" s="11" t="n">
        <x:v>46251.740894027775</x:v>
      </x:c>
      <x:c r="AA1610" s="11" t="n">
        <x:v>46254.51251577547</x:v>
      </x:c>
      <x:c r="AB1610" s="11" t="n">
        <x:v>46254.51251577547</x:v>
      </x:c>
      <x:c r="AC1610" t="str">
        <x:v>nuppu</x:v>
      </x:c>
    </x:row>
    <x:row r="1611" ht="22" customHeight="1">
      <x:c r="A1611" t="str">
        <x:v>NUPPU</x:v>
      </x:c>
      <x:c r="B1611" t="str">
        <x:v>P161</x:v>
      </x:c>
      <x:c r="C1611" t="str">
        <x:v>available</x:v>
      </x:c>
      <x:c r="D1611" t="str">
        <x:v>present</x:v>
      </x:c>
      <x:c r="E1611" t="str">
        <x:v>baseline</x:v>
      </x:c>
      <x:c r="F1611" s="11" t="n">
        <x:v>46251.740894027775</x:v>
      </x:c>
      <x:c r="G1611" t="str">
        <x:v>Byt</x:v>
      </x:c>
      <x:c r="H1611" s="12" t="n">
        <x:v>3</x:v>
      </x:c>
      <x:c r="I1611" s="13" t="n">
        <x:v>6</x:v>
      </x:c>
      <x:c r="J1611" t="str">
        <x:v>NUPPU Magnolia 5</x:v>
      </x:c>
      <x:c r="K1611" s="14" t="n">
        <x:v>64.42</x:v>
      </x:c>
      <x:c r="L1611" s="14" t="n">
        <x:v>4.68</x:v>
      </x:c>
      <x:c r="M1611" s="14"/>
      <x:c r="N1611" s="14" t="n">
        <x:v>0</x:v>
      </x:c>
      <x:c r="O1611" s="14"/>
      <x:c r="P1611" s="14"/>
      <x:c r="Q1611" s="14" t="n">
        <x:v>69.1</x:v>
      </x:c>
      <x:c r="R1611" s="15" t="n">
        <x:v>346229.75</x:v>
      </x:c>
      <x:c r="S1611" s="15" t="n">
        <x:v>346229.75</x:v>
      </x:c>
      <x:c r="T1611" s="15"/>
      <x:c r="U1611" s="16" t="n">
        <x:v>5374.57</x:v>
      </x:c>
      <x:c r="V1611" t="str">
        <x:v>YIT Slovakia</x:v>
      </x:c>
      <x:c r="W1611" t="str">
        <x:v>Ružinov</x:v>
      </x:c>
      <x:c r="X1611" s="11" t="str">
        <x:v>Voľný</x:v>
      </x:c>
      <x:c r="Y1611" s="11" t="str">
        <x:v>https://www.yit.sk/predaj-bytov/bratislava/ruzinov/nuppu/nuppu-magnolia-5/pdsk107779</x:v>
      </x:c>
      <x:c r="Z1611" s="11" t="n">
        <x:v>46251.740894027775</x:v>
      </x:c>
      <x:c r="AA1611" s="11" t="n">
        <x:v>46254.51251577547</x:v>
      </x:c>
      <x:c r="AB1611" s="11" t="n">
        <x:v>46254.51251577547</x:v>
      </x:c>
      <x:c r="AC1611" t="str">
        <x:v>nuppu</x:v>
      </x:c>
    </x:row>
    <x:row r="1612" ht="22" customHeight="1">
      <x:c r="A1612" t="str">
        <x:v>NUPPU</x:v>
      </x:c>
      <x:c r="B1612" t="str">
        <x:v>P162</x:v>
      </x:c>
      <x:c r="C1612" t="str">
        <x:v>available</x:v>
      </x:c>
      <x:c r="D1612" t="str">
        <x:v>present</x:v>
      </x:c>
      <x:c r="E1612" t="str">
        <x:v>baseline</x:v>
      </x:c>
      <x:c r="F1612" s="11" t="n">
        <x:v>46251.740894027775</x:v>
      </x:c>
      <x:c r="G1612" t="str">
        <x:v>Byt</x:v>
      </x:c>
      <x:c r="H1612" s="12" t="n">
        <x:v>2</x:v>
      </x:c>
      <x:c r="I1612" s="13" t="n">
        <x:v>6</x:v>
      </x:c>
      <x:c r="J1612" t="str">
        <x:v>NUPPU Magnolia 5</x:v>
      </x:c>
      <x:c r="K1612" s="14" t="n">
        <x:v>46.26</x:v>
      </x:c>
      <x:c r="L1612" s="14" t="n">
        <x:v>4.68</x:v>
      </x:c>
      <x:c r="M1612" s="14"/>
      <x:c r="N1612" s="14" t="n">
        <x:v>0</x:v>
      </x:c>
      <x:c r="O1612" s="14"/>
      <x:c r="P1612" s="14"/>
      <x:c r="Q1612" s="14" t="n">
        <x:v>50.94</x:v>
      </x:c>
      <x:c r="R1612" s="15" t="n">
        <x:v>268009.62</x:v>
      </x:c>
      <x:c r="S1612" s="15" t="n">
        <x:v>268009.62</x:v>
      </x:c>
      <x:c r="T1612" s="15"/>
      <x:c r="U1612" s="16" t="n">
        <x:v>5793.55</x:v>
      </x:c>
      <x:c r="V1612" t="str">
        <x:v>YIT Slovakia</x:v>
      </x:c>
      <x:c r="W1612" t="str">
        <x:v>Ružinov</x:v>
      </x:c>
      <x:c r="X1612" s="11" t="str">
        <x:v>Voľný</x:v>
      </x:c>
      <x:c r="Y1612" s="11" t="str">
        <x:v>https://www.yit.sk/predaj-bytov/bratislava/ruzinov/nuppu/nuppu-magnolia-5/pdsk107778</x:v>
      </x:c>
      <x:c r="Z1612" s="11" t="n">
        <x:v>46251.740894027775</x:v>
      </x:c>
      <x:c r="AA1612" s="11" t="n">
        <x:v>46254.51251577547</x:v>
      </x:c>
      <x:c r="AB1612" s="11" t="n">
        <x:v>46254.51251577547</x:v>
      </x:c>
      <x:c r="AC1612" t="str">
        <x:v>nuppu</x:v>
      </x:c>
    </x:row>
    <x:row r="1613" ht="22" customHeight="1">
      <x:c r="A1613" t="str">
        <x:v>NUPPU</x:v>
      </x:c>
      <x:c r="B1613" t="str">
        <x:v>P163</x:v>
      </x:c>
      <x:c r="C1613" t="str">
        <x:v>available</x:v>
      </x:c>
      <x:c r="D1613" t="str">
        <x:v>present</x:v>
      </x:c>
      <x:c r="E1613" t="str">
        <x:v>baseline</x:v>
      </x:c>
      <x:c r="F1613" s="11" t="n">
        <x:v>46251.740894027775</x:v>
      </x:c>
      <x:c r="G1613" t="str">
        <x:v>Byt</x:v>
      </x:c>
      <x:c r="H1613" s="12" t="n">
        <x:v>2</x:v>
      </x:c>
      <x:c r="I1613" s="13" t="n">
        <x:v>6</x:v>
      </x:c>
      <x:c r="J1613" t="str">
        <x:v>NUPPU Magnolia 5</x:v>
      </x:c>
      <x:c r="K1613" s="14" t="n">
        <x:v>46.99</x:v>
      </x:c>
      <x:c r="L1613" s="14" t="n">
        <x:v>4.68</x:v>
      </x:c>
      <x:c r="M1613" s="14"/>
      <x:c r="N1613" s="14" t="n">
        <x:v>0</x:v>
      </x:c>
      <x:c r="O1613" s="14"/>
      <x:c r="P1613" s="14"/>
      <x:c r="Q1613" s="14" t="n">
        <x:v>51.67</x:v>
      </x:c>
      <x:c r="R1613" s="15" t="n">
        <x:v>275200.45</x:v>
      </x:c>
      <x:c r="S1613" s="15" t="n">
        <x:v>275200.45</x:v>
      </x:c>
      <x:c r="T1613" s="15"/>
      <x:c r="U1613" s="16" t="n">
        <x:v>5856.57</x:v>
      </x:c>
      <x:c r="V1613" t="str">
        <x:v>YIT Slovakia</x:v>
      </x:c>
      <x:c r="W1613" t="str">
        <x:v>Ružinov</x:v>
      </x:c>
      <x:c r="X1613" s="11" t="str">
        <x:v>Voľný</x:v>
      </x:c>
      <x:c r="Y1613" s="11" t="str">
        <x:v>https://www.yit.sk/predaj-bytov/bratislava/ruzinov/nuppu/nuppu-magnolia-5/pdsk107777</x:v>
      </x:c>
      <x:c r="Z1613" s="11" t="n">
        <x:v>46251.740894027775</x:v>
      </x:c>
      <x:c r="AA1613" s="11" t="n">
        <x:v>46254.51251577547</x:v>
      </x:c>
      <x:c r="AB1613" s="11" t="n">
        <x:v>46254.51251577547</x:v>
      </x:c>
      <x:c r="AC1613" t="str">
        <x:v>nuppu</x:v>
      </x:c>
    </x:row>
    <x:row r="1614" ht="22" customHeight="1">
      <x:c r="A1614" t="str">
        <x:v>NUPPU</x:v>
      </x:c>
      <x:c r="B1614" t="str">
        <x:v>P165</x:v>
      </x:c>
      <x:c r="C1614" t="str">
        <x:v>available</x:v>
      </x:c>
      <x:c r="D1614" t="str">
        <x:v>present</x:v>
      </x:c>
      <x:c r="E1614" t="str">
        <x:v>baseline</x:v>
      </x:c>
      <x:c r="F1614" s="11" t="n">
        <x:v>46251.740894027775</x:v>
      </x:c>
      <x:c r="G1614" t="str">
        <x:v>Byt</x:v>
      </x:c>
      <x:c r="H1614" s="12" t="n">
        <x:v>3</x:v>
      </x:c>
      <x:c r="I1614" s="13" t="n">
        <x:v>6</x:v>
      </x:c>
      <x:c r="J1614" t="str">
        <x:v>NUPPU Magnolia 5</x:v>
      </x:c>
      <x:c r="K1614" s="14" t="n">
        <x:v>68.64</x:v>
      </x:c>
      <x:c r="L1614" s="14" t="n">
        <x:v>4.68</x:v>
      </x:c>
      <x:c r="M1614" s="14"/>
      <x:c r="N1614" s="14" t="n">
        <x:v>0</x:v>
      </x:c>
      <x:c r="O1614" s="14"/>
      <x:c r="P1614" s="14"/>
      <x:c r="Q1614" s="14" t="n">
        <x:v>73.32</x:v>
      </x:c>
      <x:c r="R1614" s="15" t="n">
        <x:v>358476.12</x:v>
      </x:c>
      <x:c r="S1614" s="15" t="n">
        <x:v>358476.12</x:v>
      </x:c>
      <x:c r="T1614" s="15"/>
      <x:c r="U1614" s="16" t="n">
        <x:v>5222.55</x:v>
      </x:c>
      <x:c r="V1614" t="str">
        <x:v>YIT Slovakia</x:v>
      </x:c>
      <x:c r="W1614" t="str">
        <x:v>Ružinov</x:v>
      </x:c>
      <x:c r="X1614" s="11" t="str">
        <x:v>Voľný</x:v>
      </x:c>
      <x:c r="Y1614" s="11" t="str">
        <x:v>https://www.yit.sk/predaj-bytov/bratislava/ruzinov/nuppu/nuppu-magnolia-5/pdsk107775</x:v>
      </x:c>
      <x:c r="Z1614" s="11" t="n">
        <x:v>46251.740894027775</x:v>
      </x:c>
      <x:c r="AA1614" s="11" t="n">
        <x:v>46254.51251577547</x:v>
      </x:c>
      <x:c r="AB1614" s="11" t="n">
        <x:v>46254.51251577547</x:v>
      </x:c>
      <x:c r="AC1614" t="str">
        <x:v>nuppu</x:v>
      </x:c>
    </x:row>
    <x:row r="1615" ht="22" customHeight="1">
      <x:c r="A1615" t="str">
        <x:v>NUPPU</x:v>
      </x:c>
      <x:c r="B1615" t="str">
        <x:v>P171</x:v>
      </x:c>
      <x:c r="C1615" t="str">
        <x:v>available</x:v>
      </x:c>
      <x:c r="D1615" t="str">
        <x:v>present</x:v>
      </x:c>
      <x:c r="E1615" t="str">
        <x:v>baseline</x:v>
      </x:c>
      <x:c r="F1615" s="11" t="n">
        <x:v>46251.740894027775</x:v>
      </x:c>
      <x:c r="G1615" t="str">
        <x:v>Byt</x:v>
      </x:c>
      <x:c r="H1615" s="12" t="n">
        <x:v>3</x:v>
      </x:c>
      <x:c r="I1615" s="13" t="n">
        <x:v>7</x:v>
      </x:c>
      <x:c r="J1615" t="str">
        <x:v>NUPPU Magnolia 5</x:v>
      </x:c>
      <x:c r="K1615" s="14" t="n">
        <x:v>64.42</x:v>
      </x:c>
      <x:c r="L1615" s="14" t="n">
        <x:v>4.68</x:v>
      </x:c>
      <x:c r="M1615" s="14"/>
      <x:c r="N1615" s="14" t="n">
        <x:v>0</x:v>
      </x:c>
      <x:c r="O1615" s="14"/>
      <x:c r="P1615" s="14"/>
      <x:c r="Q1615" s="14" t="n">
        <x:v>69.1</x:v>
      </x:c>
      <x:c r="R1615" s="15" t="n">
        <x:v>353374.82</x:v>
      </x:c>
      <x:c r="S1615" s="15" t="n">
        <x:v>353374.82</x:v>
      </x:c>
      <x:c r="T1615" s="15"/>
      <x:c r="U1615" s="16" t="n">
        <x:v>5485.48</x:v>
      </x:c>
      <x:c r="V1615" t="str">
        <x:v>YIT Slovakia</x:v>
      </x:c>
      <x:c r="W1615" t="str">
        <x:v>Ružinov</x:v>
      </x:c>
      <x:c r="X1615" s="11" t="str">
        <x:v>Voľný</x:v>
      </x:c>
      <x:c r="Y1615" s="11" t="str">
        <x:v>https://www.yit.sk/predaj-bytov/bratislava/ruzinov/nuppu/nuppu-magnolia-5/pdsk107768</x:v>
      </x:c>
      <x:c r="Z1615" s="11" t="n">
        <x:v>46251.740894027775</x:v>
      </x:c>
      <x:c r="AA1615" s="11" t="n">
        <x:v>46254.51251577547</x:v>
      </x:c>
      <x:c r="AB1615" s="11" t="n">
        <x:v>46254.51251577547</x:v>
      </x:c>
      <x:c r="AC1615" t="str">
        <x:v>nuppu</x:v>
      </x:c>
    </x:row>
    <x:row r="1616" ht="22" customHeight="1">
      <x:c r="A1616" t="str">
        <x:v>NUPPU</x:v>
      </x:c>
      <x:c r="B1616" t="str">
        <x:v>P172</x:v>
      </x:c>
      <x:c r="C1616" t="str">
        <x:v>available</x:v>
      </x:c>
      <x:c r="D1616" t="str">
        <x:v>present</x:v>
      </x:c>
      <x:c r="E1616" t="str">
        <x:v>baseline</x:v>
      </x:c>
      <x:c r="F1616" s="11" t="n">
        <x:v>46251.740894027775</x:v>
      </x:c>
      <x:c r="G1616" t="str">
        <x:v>Byt</x:v>
      </x:c>
      <x:c r="H1616" s="12" t="n">
        <x:v>2</x:v>
      </x:c>
      <x:c r="I1616" s="13" t="n">
        <x:v>7</x:v>
      </x:c>
      <x:c r="J1616" t="str">
        <x:v>NUPPU Magnolia 5</x:v>
      </x:c>
      <x:c r="K1616" s="14" t="n">
        <x:v>46.26</x:v>
      </x:c>
      <x:c r="L1616" s="14" t="n">
        <x:v>4.68</x:v>
      </x:c>
      <x:c r="M1616" s="14"/>
      <x:c r="N1616" s="14" t="n">
        <x:v>0</x:v>
      </x:c>
      <x:c r="O1616" s="14"/>
      <x:c r="P1616" s="14"/>
      <x:c r="Q1616" s="14" t="n">
        <x:v>50.94</x:v>
      </x:c>
      <x:c r="R1616" s="15" t="n">
        <x:v>275978.79</x:v>
      </x:c>
      <x:c r="S1616" s="15" t="n">
        <x:v>275978.79</x:v>
      </x:c>
      <x:c r="T1616" s="15"/>
      <x:c r="U1616" s="16" t="n">
        <x:v>5965.82</x:v>
      </x:c>
      <x:c r="V1616" t="str">
        <x:v>YIT Slovakia</x:v>
      </x:c>
      <x:c r="W1616" t="str">
        <x:v>Ružinov</x:v>
      </x:c>
      <x:c r="X1616" s="11" t="str">
        <x:v>Voľný</x:v>
      </x:c>
      <x:c r="Y1616" s="11" t="str">
        <x:v>https://www.yit.sk/predaj-bytov/bratislava/ruzinov/nuppu/nuppu-magnolia-5/pdsk107767</x:v>
      </x:c>
      <x:c r="Z1616" s="11" t="n">
        <x:v>46251.740894027775</x:v>
      </x:c>
      <x:c r="AA1616" s="11" t="n">
        <x:v>46254.51251577547</x:v>
      </x:c>
      <x:c r="AB1616" s="11" t="n">
        <x:v>46254.51251577547</x:v>
      </x:c>
      <x:c r="AC1616" t="str">
        <x:v>nuppu</x:v>
      </x:c>
    </x:row>
    <x:row r="1617" ht="22" customHeight="1">
      <x:c r="A1617" t="str">
        <x:v>NUPPU</x:v>
      </x:c>
      <x:c r="B1617" t="str">
        <x:v>P173</x:v>
      </x:c>
      <x:c r="C1617" t="str">
        <x:v>available</x:v>
      </x:c>
      <x:c r="D1617" t="str">
        <x:v>present</x:v>
      </x:c>
      <x:c r="E1617" t="str">
        <x:v>baseline</x:v>
      </x:c>
      <x:c r="F1617" s="11" t="n">
        <x:v>46251.740894027775</x:v>
      </x:c>
      <x:c r="G1617" t="str">
        <x:v>Byt</x:v>
      </x:c>
      <x:c r="H1617" s="12" t="n">
        <x:v>2</x:v>
      </x:c>
      <x:c r="I1617" s="13" t="n">
        <x:v>7</x:v>
      </x:c>
      <x:c r="J1617" t="str">
        <x:v>NUPPU Magnolia 5</x:v>
      </x:c>
      <x:c r="K1617" s="14" t="n">
        <x:v>46.99</x:v>
      </x:c>
      <x:c r="L1617" s="14" t="n">
        <x:v>4.68</x:v>
      </x:c>
      <x:c r="M1617" s="14"/>
      <x:c r="N1617" s="14" t="n">
        <x:v>0</x:v>
      </x:c>
      <x:c r="O1617" s="14"/>
      <x:c r="P1617" s="14"/>
      <x:c r="Q1617" s="14" t="n">
        <x:v>51.67</x:v>
      </x:c>
      <x:c r="R1617" s="15" t="n">
        <x:v>280318.97</x:v>
      </x:c>
      <x:c r="S1617" s="15" t="n">
        <x:v>280318.97</x:v>
      </x:c>
      <x:c r="T1617" s="15"/>
      <x:c r="U1617" s="16" t="n">
        <x:v>5965.5</x:v>
      </x:c>
      <x:c r="V1617" t="str">
        <x:v>YIT Slovakia</x:v>
      </x:c>
      <x:c r="W1617" t="str">
        <x:v>Ružinov</x:v>
      </x:c>
      <x:c r="X1617" s="11" t="str">
        <x:v>Voľný</x:v>
      </x:c>
      <x:c r="Y1617" s="11" t="str">
        <x:v>https://www.yit.sk/predaj-bytov/bratislava/ruzinov/nuppu/nuppu-magnolia-5/pdsk107766</x:v>
      </x:c>
      <x:c r="Z1617" s="11" t="n">
        <x:v>46251.740894027775</x:v>
      </x:c>
      <x:c r="AA1617" s="11" t="n">
        <x:v>46254.51251577547</x:v>
      </x:c>
      <x:c r="AB1617" s="11" t="n">
        <x:v>46254.51251577547</x:v>
      </x:c>
      <x:c r="AC1617" t="str">
        <x:v>nuppu</x:v>
      </x:c>
    </x:row>
    <x:row r="1618" ht="22" customHeight="1">
      <x:c r="A1618" t="str">
        <x:v>NUPPU</x:v>
      </x:c>
      <x:c r="B1618" t="str">
        <x:v>P174</x:v>
      </x:c>
      <x:c r="C1618" t="str">
        <x:v>available</x:v>
      </x:c>
      <x:c r="D1618" t="str">
        <x:v>present</x:v>
      </x:c>
      <x:c r="E1618" t="str">
        <x:v>baseline</x:v>
      </x:c>
      <x:c r="F1618" s="11" t="n">
        <x:v>46251.740894027775</x:v>
      </x:c>
      <x:c r="G1618" t="str">
        <x:v>Byt</x:v>
      </x:c>
      <x:c r="H1618" s="12" t="n">
        <x:v>1</x:v>
      </x:c>
      <x:c r="I1618" s="13" t="n">
        <x:v>7</x:v>
      </x:c>
      <x:c r="J1618" t="str">
        <x:v>NUPPU Magnolia 5</x:v>
      </x:c>
      <x:c r="K1618" s="14" t="n">
        <x:v>29.16</x:v>
      </x:c>
      <x:c r="L1618" s="14" t="n">
        <x:v>2.6</x:v>
      </x:c>
      <x:c r="M1618" s="14"/>
      <x:c r="N1618" s="14" t="n">
        <x:v>0</x:v>
      </x:c>
      <x:c r="O1618" s="14"/>
      <x:c r="P1618" s="14"/>
      <x:c r="Q1618" s="14" t="n">
        <x:v>31.76</x:v>
      </x:c>
      <x:c r="R1618" s="15" t="n">
        <x:v>202530.82</x:v>
      </x:c>
      <x:c r="S1618" s="15" t="n">
        <x:v>202530.82</x:v>
      </x:c>
      <x:c r="T1618" s="15"/>
      <x:c r="U1618" s="16" t="n">
        <x:v>6945.5</x:v>
      </x:c>
      <x:c r="V1618" t="str">
        <x:v>YIT Slovakia</x:v>
      </x:c>
      <x:c r="W1618" t="str">
        <x:v>Ružinov</x:v>
      </x:c>
      <x:c r="X1618" s="11" t="str">
        <x:v>Voľný</x:v>
      </x:c>
      <x:c r="Y1618" s="11" t="str">
        <x:v>https://www.yit.sk/predaj-bytov/bratislava/ruzinov/nuppu/nuppu-magnolia-5/pdsk107765</x:v>
      </x:c>
      <x:c r="Z1618" s="11" t="n">
        <x:v>46251.740894027775</x:v>
      </x:c>
      <x:c r="AA1618" s="11" t="n">
        <x:v>46254.51251577547</x:v>
      </x:c>
      <x:c r="AB1618" s="11" t="n">
        <x:v>46254.51251577547</x:v>
      </x:c>
      <x:c r="AC1618" t="str">
        <x:v>nuppu</x:v>
      </x:c>
    </x:row>
    <x:row r="1619" ht="22" customHeight="1">
      <x:c r="A1619" t="str">
        <x:v>NUPPU</x:v>
      </x:c>
      <x:c r="B1619" t="str">
        <x:v>P175</x:v>
      </x:c>
      <x:c r="C1619" t="str">
        <x:v>available</x:v>
      </x:c>
      <x:c r="D1619" t="str">
        <x:v>present</x:v>
      </x:c>
      <x:c r="E1619" t="str">
        <x:v>baseline</x:v>
      </x:c>
      <x:c r="F1619" s="11" t="n">
        <x:v>46251.740894027775</x:v>
      </x:c>
      <x:c r="G1619" t="str">
        <x:v>Byt</x:v>
      </x:c>
      <x:c r="H1619" s="12" t="n">
        <x:v>3</x:v>
      </x:c>
      <x:c r="I1619" s="13" t="n">
        <x:v>7</x:v>
      </x:c>
      <x:c r="J1619" t="str">
        <x:v>NUPPU Magnolia 5</x:v>
      </x:c>
      <x:c r="K1619" s="14" t="n">
        <x:v>68.64</x:v>
      </x:c>
      <x:c r="L1619" s="14" t="n">
        <x:v>4.68</x:v>
      </x:c>
      <x:c r="M1619" s="14"/>
      <x:c r="N1619" s="14" t="n">
        <x:v>0</x:v>
      </x:c>
      <x:c r="O1619" s="14"/>
      <x:c r="P1619" s="14"/>
      <x:c r="Q1619" s="14" t="n">
        <x:v>73.32</x:v>
      </x:c>
      <x:c r="R1619" s="15" t="n">
        <x:v>365857.35</x:v>
      </x:c>
      <x:c r="S1619" s="15" t="n">
        <x:v>365857.35</x:v>
      </x:c>
      <x:c r="T1619" s="15"/>
      <x:c r="U1619" s="16" t="n">
        <x:v>5330.09</x:v>
      </x:c>
      <x:c r="V1619" t="str">
        <x:v>YIT Slovakia</x:v>
      </x:c>
      <x:c r="W1619" t="str">
        <x:v>Ružinov</x:v>
      </x:c>
      <x:c r="X1619" s="11" t="str">
        <x:v>Voľný</x:v>
      </x:c>
      <x:c r="Y1619" s="11" t="str">
        <x:v>https://www.yit.sk/predaj-bytov/bratislava/ruzinov/nuppu/nuppu-magnolia-5/pdsk107764</x:v>
      </x:c>
      <x:c r="Z1619" s="11" t="n">
        <x:v>46251.740894027775</x:v>
      </x:c>
      <x:c r="AA1619" s="11" t="n">
        <x:v>46254.51251577547</x:v>
      </x:c>
      <x:c r="AB1619" s="11" t="n">
        <x:v>46254.51251577547</x:v>
      </x:c>
      <x:c r="AC1619" t="str">
        <x:v>nuppu</x:v>
      </x:c>
    </x:row>
    <x:row r="1620" ht="22" customHeight="1">
      <x:c r="A1620" t="str">
        <x:v>NUPPU</x:v>
      </x:c>
      <x:c r="B1620" t="str">
        <x:v>P181</x:v>
      </x:c>
      <x:c r="C1620" t="str">
        <x:v>available</x:v>
      </x:c>
      <x:c r="D1620" t="str">
        <x:v>present</x:v>
      </x:c>
      <x:c r="E1620" t="str">
        <x:v>baseline</x:v>
      </x:c>
      <x:c r="F1620" s="11" t="n">
        <x:v>46251.740894027775</x:v>
      </x:c>
      <x:c r="G1620" t="str">
        <x:v>Byt</x:v>
      </x:c>
      <x:c r="H1620" s="12" t="n">
        <x:v>3</x:v>
      </x:c>
      <x:c r="I1620" s="13" t="n">
        <x:v>8</x:v>
      </x:c>
      <x:c r="J1620" t="str">
        <x:v>NUPPU Magnolia 5</x:v>
      </x:c>
      <x:c r="K1620" s="14" t="n">
        <x:v>64.42</x:v>
      </x:c>
      <x:c r="L1620" s="14" t="n">
        <x:v>4.68</x:v>
      </x:c>
      <x:c r="M1620" s="14"/>
      <x:c r="N1620" s="14" t="n">
        <x:v>0</x:v>
      </x:c>
      <x:c r="O1620" s="14"/>
      <x:c r="P1620" s="14"/>
      <x:c r="Q1620" s="14" t="n">
        <x:v>69.1</x:v>
      </x:c>
      <x:c r="R1620" s="15" t="n">
        <x:v>354233.36</x:v>
      </x:c>
      <x:c r="S1620" s="15" t="n">
        <x:v>354233.36</x:v>
      </x:c>
      <x:c r="T1620" s="15"/>
      <x:c r="U1620" s="16" t="n">
        <x:v>5498.81</x:v>
      </x:c>
      <x:c r="V1620" t="str">
        <x:v>YIT Slovakia</x:v>
      </x:c>
      <x:c r="W1620" t="str">
        <x:v>Ružinov</x:v>
      </x:c>
      <x:c r="X1620" s="11" t="str">
        <x:v>Voľný</x:v>
      </x:c>
      <x:c r="Y1620" s="11" t="str">
        <x:v>https://www.yit.sk/predaj-bytov/bratislava/ruzinov/nuppu/nuppu-magnolia-5/pdsk107757</x:v>
      </x:c>
      <x:c r="Z1620" s="11" t="n">
        <x:v>46251.740894027775</x:v>
      </x:c>
      <x:c r="AA1620" s="11" t="n">
        <x:v>46254.51251577547</x:v>
      </x:c>
      <x:c r="AB1620" s="11" t="n">
        <x:v>46254.51251577547</x:v>
      </x:c>
      <x:c r="AC1620" t="str">
        <x:v>nuppu</x:v>
      </x:c>
    </x:row>
    <x:row r="1621" ht="22" customHeight="1">
      <x:c r="A1621" t="str">
        <x:v>NUPPU</x:v>
      </x:c>
      <x:c r="B1621" t="str">
        <x:v>P182</x:v>
      </x:c>
      <x:c r="C1621" t="str">
        <x:v>available</x:v>
      </x:c>
      <x:c r="D1621" t="str">
        <x:v>present</x:v>
      </x:c>
      <x:c r="E1621" t="str">
        <x:v>baseline</x:v>
      </x:c>
      <x:c r="F1621" s="11" t="n">
        <x:v>46251.740894027775</x:v>
      </x:c>
      <x:c r="G1621" t="str">
        <x:v>Byt</x:v>
      </x:c>
      <x:c r="H1621" s="12" t="n">
        <x:v>2</x:v>
      </x:c>
      <x:c r="I1621" s="13" t="n">
        <x:v>8</x:v>
      </x:c>
      <x:c r="J1621" t="str">
        <x:v>NUPPU Magnolia 5</x:v>
      </x:c>
      <x:c r="K1621" s="14" t="n">
        <x:v>46.13</x:v>
      </x:c>
      <x:c r="L1621" s="14" t="n">
        <x:v>4.68</x:v>
      </x:c>
      <x:c r="M1621" s="14"/>
      <x:c r="N1621" s="14" t="n">
        <x:v>0</x:v>
      </x:c>
      <x:c r="O1621" s="14"/>
      <x:c r="P1621" s="14"/>
      <x:c r="Q1621" s="14" t="n">
        <x:v>50.81</x:v>
      </x:c>
      <x:c r="R1621" s="15" t="n">
        <x:v>276689.73</x:v>
      </x:c>
      <x:c r="S1621" s="15" t="n">
        <x:v>276689.73</x:v>
      </x:c>
      <x:c r="T1621" s="15"/>
      <x:c r="U1621" s="16" t="n">
        <x:v>5998.04</x:v>
      </x:c>
      <x:c r="V1621" t="str">
        <x:v>YIT Slovakia</x:v>
      </x:c>
      <x:c r="W1621" t="str">
        <x:v>Ružinov</x:v>
      </x:c>
      <x:c r="X1621" s="11" t="str">
        <x:v>Voľný</x:v>
      </x:c>
      <x:c r="Y1621" s="11" t="str">
        <x:v>https://www.yit.sk/predaj-bytov/bratislava/ruzinov/nuppu/nuppu-magnolia-5/pdsk107756</x:v>
      </x:c>
      <x:c r="Z1621" s="11" t="n">
        <x:v>46251.740894027775</x:v>
      </x:c>
      <x:c r="AA1621" s="11" t="n">
        <x:v>46254.51251577547</x:v>
      </x:c>
      <x:c r="AB1621" s="11" t="n">
        <x:v>46254.51251577547</x:v>
      </x:c>
      <x:c r="AC1621" t="str">
        <x:v>nuppu</x:v>
      </x:c>
    </x:row>
    <x:row r="1622" ht="22" customHeight="1">
      <x:c r="A1622" t="str">
        <x:v>NUPPU</x:v>
      </x:c>
      <x:c r="B1622" t="str">
        <x:v>P183</x:v>
      </x:c>
      <x:c r="C1622" t="str">
        <x:v>available</x:v>
      </x:c>
      <x:c r="D1622" t="str">
        <x:v>present</x:v>
      </x:c>
      <x:c r="E1622" t="str">
        <x:v>baseline</x:v>
      </x:c>
      <x:c r="F1622" s="11" t="n">
        <x:v>46251.740894027775</x:v>
      </x:c>
      <x:c r="G1622" t="str">
        <x:v>Byt</x:v>
      </x:c>
      <x:c r="H1622" s="12" t="n">
        <x:v>2</x:v>
      </x:c>
      <x:c r="I1622" s="13" t="n">
        <x:v>8</x:v>
      </x:c>
      <x:c r="J1622" t="str">
        <x:v>NUPPU Magnolia 5</x:v>
      </x:c>
      <x:c r="K1622" s="14" t="n">
        <x:v>46.99</x:v>
      </x:c>
      <x:c r="L1622" s="14" t="n">
        <x:v>4.68</x:v>
      </x:c>
      <x:c r="M1622" s="14"/>
      <x:c r="N1622" s="14" t="n">
        <x:v>0</x:v>
      </x:c>
      <x:c r="O1622" s="14"/>
      <x:c r="P1622" s="14"/>
      <x:c r="Q1622" s="14" t="n">
        <x:v>51.67</x:v>
      </x:c>
      <x:c r="R1622" s="15" t="n">
        <x:v>281058.2</x:v>
      </x:c>
      <x:c r="S1622" s="15" t="n">
        <x:v>281058.2</x:v>
      </x:c>
      <x:c r="T1622" s="15"/>
      <x:c r="U1622" s="16" t="n">
        <x:v>5981.23</x:v>
      </x:c>
      <x:c r="V1622" t="str">
        <x:v>YIT Slovakia</x:v>
      </x:c>
      <x:c r="W1622" t="str">
        <x:v>Ružinov</x:v>
      </x:c>
      <x:c r="X1622" s="11" t="str">
        <x:v>Voľný</x:v>
      </x:c>
      <x:c r="Y1622" s="11" t="str">
        <x:v>https://www.yit.sk/predaj-bytov/bratislava/ruzinov/nuppu/nuppu-magnolia-5/pdsk107755</x:v>
      </x:c>
      <x:c r="Z1622" s="11" t="n">
        <x:v>46251.740894027775</x:v>
      </x:c>
      <x:c r="AA1622" s="11" t="n">
        <x:v>46254.51251577547</x:v>
      </x:c>
      <x:c r="AB1622" s="11" t="n">
        <x:v>46254.51251577547</x:v>
      </x:c>
      <x:c r="AC1622" t="str">
        <x:v>nuppu</x:v>
      </x:c>
    </x:row>
    <x:row r="1623" ht="22" customHeight="1">
      <x:c r="A1623" t="str">
        <x:v>NUPPU</x:v>
      </x:c>
      <x:c r="B1623" t="str">
        <x:v>P185</x:v>
      </x:c>
      <x:c r="C1623" t="str">
        <x:v>available</x:v>
      </x:c>
      <x:c r="D1623" t="str">
        <x:v>present</x:v>
      </x:c>
      <x:c r="E1623" t="str">
        <x:v>baseline</x:v>
      </x:c>
      <x:c r="F1623" s="11" t="n">
        <x:v>46251.740894027775</x:v>
      </x:c>
      <x:c r="G1623" t="str">
        <x:v>Byt</x:v>
      </x:c>
      <x:c r="H1623" s="12" t="n">
        <x:v>3</x:v>
      </x:c>
      <x:c r="I1623" s="13" t="n">
        <x:v>8</x:v>
      </x:c>
      <x:c r="J1623" t="str">
        <x:v>NUPPU Magnolia 5</x:v>
      </x:c>
      <x:c r="K1623" s="14" t="n">
        <x:v>68.41</x:v>
      </x:c>
      <x:c r="L1623" s="14" t="n">
        <x:v>4.68</x:v>
      </x:c>
      <x:c r="M1623" s="14"/>
      <x:c r="N1623" s="14" t="n">
        <x:v>0</x:v>
      </x:c>
      <x:c r="O1623" s="14"/>
      <x:c r="P1623" s="14"/>
      <x:c r="Q1623" s="14" t="n">
        <x:v>73.09</x:v>
      </x:c>
      <x:c r="R1623" s="15" t="n">
        <x:v>366916.87</x:v>
      </x:c>
      <x:c r="S1623" s="15" t="n">
        <x:v>366916.87</x:v>
      </x:c>
      <x:c r="T1623" s="15"/>
      <x:c r="U1623" s="16" t="n">
        <x:v>5363.5</x:v>
      </x:c>
      <x:c r="V1623" t="str">
        <x:v>YIT Slovakia</x:v>
      </x:c>
      <x:c r="W1623" t="str">
        <x:v>Ružinov</x:v>
      </x:c>
      <x:c r="X1623" s="11" t="str">
        <x:v>Voľný</x:v>
      </x:c>
      <x:c r="Y1623" s="11" t="str">
        <x:v>https://www.yit.sk/predaj-bytov/bratislava/ruzinov/nuppu/nuppu-magnolia-5/pdsk107753</x:v>
      </x:c>
      <x:c r="Z1623" s="11" t="n">
        <x:v>46251.740894027775</x:v>
      </x:c>
      <x:c r="AA1623" s="11" t="n">
        <x:v>46254.51251577547</x:v>
      </x:c>
      <x:c r="AB1623" s="11" t="n">
        <x:v>46254.51251577547</x:v>
      </x:c>
      <x:c r="AC1623" t="str">
        <x:v>nuppu</x:v>
      </x:c>
    </x:row>
    <x:row r="1624" ht="22" customHeight="1">
      <x:c r="A1624" t="str">
        <x:v>NUPPU</x:v>
      </x:c>
      <x:c r="B1624" t="str">
        <x:v>P223</x:v>
      </x:c>
      <x:c r="C1624" t="str">
        <x:v>available</x:v>
      </x:c>
      <x:c r="D1624" t="str">
        <x:v>present</x:v>
      </x:c>
      <x:c r="E1624" t="str">
        <x:v>baseline</x:v>
      </x:c>
      <x:c r="F1624" s="11" t="n">
        <x:v>46251.740894027775</x:v>
      </x:c>
      <x:c r="G1624" t="str">
        <x:v>Byt</x:v>
      </x:c>
      <x:c r="H1624" s="12" t="n">
        <x:v>2</x:v>
      </x:c>
      <x:c r="I1624" s="13" t="n">
        <x:v>2</x:v>
      </x:c>
      <x:c r="J1624" t="str">
        <x:v>NUPPU Magnolia 5</x:v>
      </x:c>
      <x:c r="K1624" s="14" t="n">
        <x:v>51.48</x:v>
      </x:c>
      <x:c r="L1624" s="14" t="n">
        <x:v>4.68</x:v>
      </x:c>
      <x:c r="M1624" s="14"/>
      <x:c r="N1624" s="14" t="n">
        <x:v>0</x:v>
      </x:c>
      <x:c r="O1624" s="14"/>
      <x:c r="P1624" s="14"/>
      <x:c r="Q1624" s="14" t="n">
        <x:v>56.16</x:v>
      </x:c>
      <x:c r="R1624" s="15" t="n">
        <x:v>270219.68</x:v>
      </x:c>
      <x:c r="S1624" s="15" t="n">
        <x:v>270219.68</x:v>
      </x:c>
      <x:c r="T1624" s="15"/>
      <x:c r="U1624" s="16" t="n">
        <x:v>5249.02</x:v>
      </x:c>
      <x:c r="V1624" t="str">
        <x:v>YIT Slovakia</x:v>
      </x:c>
      <x:c r="W1624" t="str">
        <x:v>Ružinov</x:v>
      </x:c>
      <x:c r="X1624" s="11" t="str">
        <x:v>Voľný</x:v>
      </x:c>
      <x:c r="Y1624" s="11" t="str">
        <x:v>https://www.yit.sk/predaj-bytov/bratislava/ruzinov/nuppu/nuppu-magnolia-5/pdsk107815</x:v>
      </x:c>
      <x:c r="Z1624" s="11" t="n">
        <x:v>46251.740894027775</x:v>
      </x:c>
      <x:c r="AA1624" s="11" t="n">
        <x:v>46254.51251577547</x:v>
      </x:c>
      <x:c r="AB1624" s="11" t="n">
        <x:v>46254.51251577547</x:v>
      </x:c>
      <x:c r="AC1624" t="str">
        <x:v>nuppu</x:v>
      </x:c>
    </x:row>
    <x:row r="1625" ht="22" customHeight="1">
      <x:c r="A1625" t="str">
        <x:v>NUPPU</x:v>
      </x:c>
      <x:c r="B1625" t="str">
        <x:v>P224</x:v>
      </x:c>
      <x:c r="C1625" t="str">
        <x:v>available</x:v>
      </x:c>
      <x:c r="D1625" t="str">
        <x:v>present</x:v>
      </x:c>
      <x:c r="E1625" t="str">
        <x:v>baseline</x:v>
      </x:c>
      <x:c r="F1625" s="11" t="n">
        <x:v>46251.740894027775</x:v>
      </x:c>
      <x:c r="G1625" t="str">
        <x:v>Byt</x:v>
      </x:c>
      <x:c r="H1625" s="12" t="n">
        <x:v>3</x:v>
      </x:c>
      <x:c r="I1625" s="13" t="n">
        <x:v>2</x:v>
      </x:c>
      <x:c r="J1625" t="str">
        <x:v>NUPPU Magnolia 5</x:v>
      </x:c>
      <x:c r="K1625" s="14" t="n">
        <x:v>76.66</x:v>
      </x:c>
      <x:c r="L1625" s="14" t="n">
        <x:v>4.68</x:v>
      </x:c>
      <x:c r="M1625" s="14"/>
      <x:c r="N1625" s="14" t="n">
        <x:v>0</x:v>
      </x:c>
      <x:c r="O1625" s="14"/>
      <x:c r="P1625" s="14"/>
      <x:c r="Q1625" s="14" t="n">
        <x:v>81.34</x:v>
      </x:c>
      <x:c r="R1625" s="15" t="n">
        <x:v>363901.16</x:v>
      </x:c>
      <x:c r="S1625" s="15" t="n">
        <x:v>363901.16</x:v>
      </x:c>
      <x:c r="T1625" s="15"/>
      <x:c r="U1625" s="16" t="n">
        <x:v>4746.95</x:v>
      </x:c>
      <x:c r="V1625" t="str">
        <x:v>YIT Slovakia</x:v>
      </x:c>
      <x:c r="W1625" t="str">
        <x:v>Ružinov</x:v>
      </x:c>
      <x:c r="X1625" s="11" t="str">
        <x:v>Voľný</x:v>
      </x:c>
      <x:c r="Y1625" s="11" t="str">
        <x:v>https://www.yit.sk/predaj-bytov/bratislava/ruzinov/nuppu/nuppu-magnolia-5/pdsk107814</x:v>
      </x:c>
      <x:c r="Z1625" s="11" t="n">
        <x:v>46251.740894027775</x:v>
      </x:c>
      <x:c r="AA1625" s="11" t="n">
        <x:v>46254.51251577547</x:v>
      </x:c>
      <x:c r="AB1625" s="11" t="n">
        <x:v>46254.51251577547</x:v>
      </x:c>
      <x:c r="AC1625" t="str">
        <x:v>nuppu</x:v>
      </x:c>
    </x:row>
    <x:row r="1626" ht="22" customHeight="1">
      <x:c r="A1626" t="str">
        <x:v>NUPPU</x:v>
      </x:c>
      <x:c r="B1626" t="str">
        <x:v>P231</x:v>
      </x:c>
      <x:c r="C1626" t="str">
        <x:v>reserved</x:v>
      </x:c>
      <x:c r="D1626" t="str">
        <x:v>present</x:v>
      </x:c>
      <x:c r="E1626" t="str">
        <x:v>baseline</x:v>
      </x:c>
      <x:c r="F1626" s="11" t="n">
        <x:v>46251.740894027775</x:v>
      </x:c>
      <x:c r="G1626" t="str">
        <x:v>Byt</x:v>
      </x:c>
      <x:c r="H1626" s="12" t="n">
        <x:v>3</x:v>
      </x:c>
      <x:c r="I1626" s="13" t="n">
        <x:v>3</x:v>
      </x:c>
      <x:c r="J1626" t="str">
        <x:v>NUPPU Magnolia 5</x:v>
      </x:c>
      <x:c r="K1626" s="14" t="n">
        <x:v>64.42</x:v>
      </x:c>
      <x:c r="L1626" s="14" t="n">
        <x:v>4.68</x:v>
      </x:c>
      <x:c r="M1626" s="14"/>
      <x:c r="N1626" s="14" t="n">
        <x:v>0</x:v>
      </x:c>
      <x:c r="O1626" s="14"/>
      <x:c r="P1626" s="14"/>
      <x:c r="Q1626" s="14" t="n">
        <x:v>69.1</x:v>
      </x:c>
      <x:c r="R1626" s="15" t="n">
        <x:v>326578.78</x:v>
      </x:c>
      <x:c r="S1626" s="15" t="n">
        <x:v>326578.78</x:v>
      </x:c>
      <x:c r="T1626" s="15"/>
      <x:c r="U1626" s="16" t="n">
        <x:v>5069.52</x:v>
      </x:c>
      <x:c r="V1626" t="str">
        <x:v>YIT Slovakia</x:v>
      </x:c>
      <x:c r="W1626" t="str">
        <x:v>Ružinov</x:v>
      </x:c>
      <x:c r="X1626" s="11" t="str">
        <x:v>Nezáväzne rezervované</x:v>
      </x:c>
      <x:c r="Y1626" s="11" t="str">
        <x:v>https://www.yit.sk/predaj-bytov/bratislava/ruzinov/nuppu/nuppu-magnolia-5/pdsk107806</x:v>
      </x:c>
      <x:c r="Z1626" s="11" t="n">
        <x:v>46251.740894027775</x:v>
      </x:c>
      <x:c r="AA1626" s="11" t="n">
        <x:v>46254.51251577547</x:v>
      </x:c>
      <x:c r="AB1626" s="11" t="n">
        <x:v>46254.51251577547</x:v>
      </x:c>
      <x:c r="AC1626" t="str">
        <x:v>nuppu</x:v>
      </x:c>
    </x:row>
    <x:row r="1627" ht="22" customHeight="1">
      <x:c r="A1627" t="str">
        <x:v>NUPPU</x:v>
      </x:c>
      <x:c r="B1627" t="str">
        <x:v>P251</x:v>
      </x:c>
      <x:c r="C1627" t="str">
        <x:v>available</x:v>
      </x:c>
      <x:c r="D1627" t="str">
        <x:v>present</x:v>
      </x:c>
      <x:c r="E1627" t="str">
        <x:v>baseline</x:v>
      </x:c>
      <x:c r="F1627" s="11" t="n">
        <x:v>46251.740894027775</x:v>
      </x:c>
      <x:c r="G1627" t="str">
        <x:v>Byt</x:v>
      </x:c>
      <x:c r="H1627" s="12" t="n">
        <x:v>3</x:v>
      </x:c>
      <x:c r="I1627" s="13" t="n">
        <x:v>5</x:v>
      </x:c>
      <x:c r="J1627" t="str">
        <x:v>NUPPU Magnolia 5</x:v>
      </x:c>
      <x:c r="K1627" s="14" t="n">
        <x:v>64.42</x:v>
      </x:c>
      <x:c r="L1627" s="14" t="n">
        <x:v>4.68</x:v>
      </x:c>
      <x:c r="M1627" s="14"/>
      <x:c r="N1627" s="14" t="n">
        <x:v>0</x:v>
      </x:c>
      <x:c r="O1627" s="14"/>
      <x:c r="P1627" s="14"/>
      <x:c r="Q1627" s="14" t="n">
        <x:v>69.1</x:v>
      </x:c>
      <x:c r="R1627" s="15" t="n">
        <x:v>339968.56</x:v>
      </x:c>
      <x:c r="S1627" s="15" t="n">
        <x:v>339968.56</x:v>
      </x:c>
      <x:c r="T1627" s="15"/>
      <x:c r="U1627" s="16" t="n">
        <x:v>5277.38</x:v>
      </x:c>
      <x:c r="V1627" t="str">
        <x:v>YIT Slovakia</x:v>
      </x:c>
      <x:c r="W1627" t="str">
        <x:v>Ružinov</x:v>
      </x:c>
      <x:c r="X1627" s="11" t="str">
        <x:v>Voľný</x:v>
      </x:c>
      <x:c r="Y1627" s="11" t="str">
        <x:v>https://www.yit.sk/predaj-bytov/bratislava/ruzinov/nuppu/nuppu-magnolia-5/pdsk107784</x:v>
      </x:c>
      <x:c r="Z1627" s="11" t="n">
        <x:v>46251.740894027775</x:v>
      </x:c>
      <x:c r="AA1627" s="11" t="n">
        <x:v>46254.51251577547</x:v>
      </x:c>
      <x:c r="AB1627" s="11" t="n">
        <x:v>46254.51251577547</x:v>
      </x:c>
      <x:c r="AC1627" t="str">
        <x:v>nuppu</x:v>
      </x:c>
    </x:row>
    <x:row r="1628" ht="22" customHeight="1">
      <x:c r="A1628" t="str">
        <x:v>NUPPU</x:v>
      </x:c>
      <x:c r="B1628" t="str">
        <x:v>P261</x:v>
      </x:c>
      <x:c r="C1628" t="str">
        <x:v>available</x:v>
      </x:c>
      <x:c r="D1628" t="str">
        <x:v>present</x:v>
      </x:c>
      <x:c r="E1628" t="str">
        <x:v>baseline</x:v>
      </x:c>
      <x:c r="F1628" s="11" t="n">
        <x:v>46251.740894027775</x:v>
      </x:c>
      <x:c r="G1628" t="str">
        <x:v>Byt</x:v>
      </x:c>
      <x:c r="H1628" s="12" t="n">
        <x:v>3</x:v>
      </x:c>
      <x:c r="I1628" s="13" t="n">
        <x:v>6</x:v>
      </x:c>
      <x:c r="J1628" t="str">
        <x:v>NUPPU Magnolia 5</x:v>
      </x:c>
      <x:c r="K1628" s="14" t="n">
        <x:v>64.42</x:v>
      </x:c>
      <x:c r="L1628" s="14" t="n">
        <x:v>4.68</x:v>
      </x:c>
      <x:c r="M1628" s="14"/>
      <x:c r="N1628" s="14" t="n">
        <x:v>0</x:v>
      </x:c>
      <x:c r="O1628" s="14"/>
      <x:c r="P1628" s="14"/>
      <x:c r="Q1628" s="14" t="n">
        <x:v>69.1</x:v>
      </x:c>
      <x:c r="R1628" s="15" t="n">
        <x:v>346305.52</x:v>
      </x:c>
      <x:c r="S1628" s="15" t="n">
        <x:v>346305.52</x:v>
      </x:c>
      <x:c r="T1628" s="15"/>
      <x:c r="U1628" s="16" t="n">
        <x:v>5375.75</x:v>
      </x:c>
      <x:c r="V1628" t="str">
        <x:v>YIT Slovakia</x:v>
      </x:c>
      <x:c r="W1628" t="str">
        <x:v>Ružinov</x:v>
      </x:c>
      <x:c r="X1628" s="11" t="str">
        <x:v>Voľný</x:v>
      </x:c>
      <x:c r="Y1628" s="11" t="str">
        <x:v>https://www.yit.sk/predaj-bytov/bratislava/ruzinov/nuppu/nuppu-magnolia-5/pdsk107773</x:v>
      </x:c>
      <x:c r="Z1628" s="11" t="n">
        <x:v>46251.740894027775</x:v>
      </x:c>
      <x:c r="AA1628" s="11" t="n">
        <x:v>46254.51251577547</x:v>
      </x:c>
      <x:c r="AB1628" s="11" t="n">
        <x:v>46254.51251577547</x:v>
      </x:c>
      <x:c r="AC1628" t="str">
        <x:v>nuppu</x:v>
      </x:c>
    </x:row>
    <x:row r="1629" ht="22" customHeight="1">
      <x:c r="A1629" t="str">
        <x:v>NUPPU</x:v>
      </x:c>
      <x:c r="B1629" t="str">
        <x:v>P264</x:v>
      </x:c>
      <x:c r="C1629" t="str">
        <x:v>reserved</x:v>
      </x:c>
      <x:c r="D1629" t="str">
        <x:v>present</x:v>
      </x:c>
      <x:c r="E1629" t="str">
        <x:v>baseline</x:v>
      </x:c>
      <x:c r="F1629" s="11" t="n">
        <x:v>46251.740894027775</x:v>
      </x:c>
      <x:c r="G1629" t="str">
        <x:v>Byt</x:v>
      </x:c>
      <x:c r="H1629" s="12" t="n">
        <x:v>3</x:v>
      </x:c>
      <x:c r="I1629" s="13" t="n">
        <x:v>6</x:v>
      </x:c>
      <x:c r="J1629" t="str">
        <x:v>NUPPU Magnolia 5</x:v>
      </x:c>
      <x:c r="K1629" s="14" t="n">
        <x:v>77.02</x:v>
      </x:c>
      <x:c r="L1629" s="14" t="n">
        <x:v>4.68</x:v>
      </x:c>
      <x:c r="M1629" s="14"/>
      <x:c r="N1629" s="14" t="n">
        <x:v>0</x:v>
      </x:c>
      <x:c r="O1629" s="14"/>
      <x:c r="P1629" s="14"/>
      <x:c r="Q1629" s="14" t="n">
        <x:v>81.7</x:v>
      </x:c>
      <x:c r="R1629" s="15" t="n">
        <x:v>375638.06</x:v>
      </x:c>
      <x:c r="S1629" s="15" t="n">
        <x:v>375638.06</x:v>
      </x:c>
      <x:c r="T1629" s="15"/>
      <x:c r="U1629" s="16" t="n">
        <x:v>4877.15</x:v>
      </x:c>
      <x:c r="V1629" t="str">
        <x:v>YIT Slovakia</x:v>
      </x:c>
      <x:c r="W1629" t="str">
        <x:v>Ružinov</x:v>
      </x:c>
      <x:c r="X1629" s="11" t="str">
        <x:v>Nezáväzne rezervované</x:v>
      </x:c>
      <x:c r="Y1629" s="11" t="str">
        <x:v>https://www.yit.sk/predaj-bytov/bratislava/ruzinov/nuppu/nuppu-magnolia-5/pdsk107770</x:v>
      </x:c>
      <x:c r="Z1629" s="11" t="n">
        <x:v>46251.740894027775</x:v>
      </x:c>
      <x:c r="AA1629" s="11" t="n">
        <x:v>46254.51251577547</x:v>
      </x:c>
      <x:c r="AB1629" s="11" t="n">
        <x:v>46254.51251577547</x:v>
      </x:c>
      <x:c r="AC1629" t="str">
        <x:v>nuppu</x:v>
      </x:c>
    </x:row>
    <x:row r="1630" ht="22" customHeight="1">
      <x:c r="A1630" t="str">
        <x:v>NUPPU</x:v>
      </x:c>
      <x:c r="B1630" t="str">
        <x:v>P271</x:v>
      </x:c>
      <x:c r="C1630" t="str">
        <x:v>available</x:v>
      </x:c>
      <x:c r="D1630" t="str">
        <x:v>present</x:v>
      </x:c>
      <x:c r="E1630" t="str">
        <x:v>baseline</x:v>
      </x:c>
      <x:c r="F1630" s="11" t="n">
        <x:v>46251.740894027775</x:v>
      </x:c>
      <x:c r="G1630" t="str">
        <x:v>Byt</x:v>
      </x:c>
      <x:c r="H1630" s="12" t="n">
        <x:v>3</x:v>
      </x:c>
      <x:c r="I1630" s="13" t="n">
        <x:v>7</x:v>
      </x:c>
      <x:c r="J1630" t="str">
        <x:v>NUPPU Magnolia 5</x:v>
      </x:c>
      <x:c r="K1630" s="14" t="n">
        <x:v>64.42</x:v>
      </x:c>
      <x:c r="L1630" s="14" t="n">
        <x:v>4.68</x:v>
      </x:c>
      <x:c r="M1630" s="14"/>
      <x:c r="N1630" s="14" t="n">
        <x:v>0</x:v>
      </x:c>
      <x:c r="O1630" s="14"/>
      <x:c r="P1630" s="14"/>
      <x:c r="Q1630" s="14" t="n">
        <x:v>69.1</x:v>
      </x:c>
      <x:c r="R1630" s="15" t="n">
        <x:v>353450.59</x:v>
      </x:c>
      <x:c r="S1630" s="15" t="n">
        <x:v>353450.59</x:v>
      </x:c>
      <x:c r="T1630" s="15"/>
      <x:c r="U1630" s="16" t="n">
        <x:v>5486.66</x:v>
      </x:c>
      <x:c r="V1630" t="str">
        <x:v>YIT Slovakia</x:v>
      </x:c>
      <x:c r="W1630" t="str">
        <x:v>Ružinov</x:v>
      </x:c>
      <x:c r="X1630" s="11" t="str">
        <x:v>Voľný</x:v>
      </x:c>
      <x:c r="Y1630" s="11" t="str">
        <x:v>https://www.yit.sk/predaj-bytov/bratislava/ruzinov/nuppu/nuppu-magnolia-5/pdsk107762</x:v>
      </x:c>
      <x:c r="Z1630" s="11" t="n">
        <x:v>46251.740894027775</x:v>
      </x:c>
      <x:c r="AA1630" s="11" t="n">
        <x:v>46254.51251577547</x:v>
      </x:c>
      <x:c r="AB1630" s="11" t="n">
        <x:v>46254.51251577547</x:v>
      </x:c>
      <x:c r="AC1630" t="str">
        <x:v>nuppu</x:v>
      </x:c>
    </x:row>
    <x:row r="1631" ht="22" customHeight="1">
      <x:c r="A1631" t="str">
        <x:v>NUPPU</x:v>
      </x:c>
      <x:c r="B1631" t="str">
        <x:v>P272</x:v>
      </x:c>
      <x:c r="C1631" t="str">
        <x:v>available</x:v>
      </x:c>
      <x:c r="D1631" t="str">
        <x:v>present</x:v>
      </x:c>
      <x:c r="E1631" t="str">
        <x:v>baseline</x:v>
      </x:c>
      <x:c r="F1631" s="11" t="n">
        <x:v>46251.740894027775</x:v>
      </x:c>
      <x:c r="G1631" t="str">
        <x:v>Byt</x:v>
      </x:c>
      <x:c r="H1631" s="12" t="n">
        <x:v>2</x:v>
      </x:c>
      <x:c r="I1631" s="13" t="n">
        <x:v>7</x:v>
      </x:c>
      <x:c r="J1631" t="str">
        <x:v>NUPPU Magnolia 5</x:v>
      </x:c>
      <x:c r="K1631" s="14" t="n">
        <x:v>46.25</x:v>
      </x:c>
      <x:c r="L1631" s="14" t="n">
        <x:v>4.68</x:v>
      </x:c>
      <x:c r="M1631" s="14"/>
      <x:c r="N1631" s="14" t="n">
        <x:v>0</x:v>
      </x:c>
      <x:c r="O1631" s="14"/>
      <x:c r="P1631" s="14"/>
      <x:c r="Q1631" s="14" t="n">
        <x:v>50.93</x:v>
      </x:c>
      <x:c r="R1631" s="15" t="n">
        <x:v>279615.65</x:v>
      </x:c>
      <x:c r="S1631" s="15" t="n">
        <x:v>279615.65</x:v>
      </x:c>
      <x:c r="T1631" s="15"/>
      <x:c r="U1631" s="16" t="n">
        <x:v>6045.74</x:v>
      </x:c>
      <x:c r="V1631" t="str">
        <x:v>YIT Slovakia</x:v>
      </x:c>
      <x:c r="W1631" t="str">
        <x:v>Ružinov</x:v>
      </x:c>
      <x:c r="X1631" s="11" t="str">
        <x:v>Voľný</x:v>
      </x:c>
      <x:c r="Y1631" s="11" t="str">
        <x:v>https://www.yit.sk/predaj-bytov/bratislava/ruzinov/nuppu/nuppu-magnolia-5/pdsk107761</x:v>
      </x:c>
      <x:c r="Z1631" s="11" t="n">
        <x:v>46251.740894027775</x:v>
      </x:c>
      <x:c r="AA1631" s="11" t="n">
        <x:v>46254.51251577547</x:v>
      </x:c>
      <x:c r="AB1631" s="11" t="n">
        <x:v>46254.51251577547</x:v>
      </x:c>
      <x:c r="AC1631" t="str">
        <x:v>nuppu</x:v>
      </x:c>
    </x:row>
    <x:row r="1632" ht="22" customHeight="1">
      <x:c r="A1632" t="str">
        <x:v>NUPPU</x:v>
      </x:c>
      <x:c r="B1632" t="str">
        <x:v>P281</x:v>
      </x:c>
      <x:c r="C1632" t="str">
        <x:v>available</x:v>
      </x:c>
      <x:c r="D1632" t="str">
        <x:v>present</x:v>
      </x:c>
      <x:c r="E1632" t="str">
        <x:v>baseline</x:v>
      </x:c>
      <x:c r="F1632" s="11" t="n">
        <x:v>46251.740894027775</x:v>
      </x:c>
      <x:c r="G1632" t="str">
        <x:v>Byt</x:v>
      </x:c>
      <x:c r="H1632" s="12" t="n">
        <x:v>3</x:v>
      </x:c>
      <x:c r="I1632" s="13" t="n">
        <x:v>8</x:v>
      </x:c>
      <x:c r="J1632" t="str">
        <x:v>NUPPU Magnolia 5</x:v>
      </x:c>
      <x:c r="K1632" s="14" t="n">
        <x:v>64.42</x:v>
      </x:c>
      <x:c r="L1632" s="14" t="n">
        <x:v>4.68</x:v>
      </x:c>
      <x:c r="M1632" s="14"/>
      <x:c r="N1632" s="14" t="n">
        <x:v>0</x:v>
      </x:c>
      <x:c r="O1632" s="14"/>
      <x:c r="P1632" s="14"/>
      <x:c r="Q1632" s="14" t="n">
        <x:v>69.1</x:v>
      </x:c>
      <x:c r="R1632" s="15" t="n">
        <x:v>354309.13</x:v>
      </x:c>
      <x:c r="S1632" s="15" t="n">
        <x:v>354309.13</x:v>
      </x:c>
      <x:c r="T1632" s="15"/>
      <x:c r="U1632" s="16" t="n">
        <x:v>5499.99</x:v>
      </x:c>
      <x:c r="V1632" t="str">
        <x:v>YIT Slovakia</x:v>
      </x:c>
      <x:c r="W1632" t="str">
        <x:v>Ružinov</x:v>
      </x:c>
      <x:c r="X1632" s="11" t="str">
        <x:v>Voľný</x:v>
      </x:c>
      <x:c r="Y1632" s="11" t="str">
        <x:v>https://www.yit.sk/predaj-bytov/bratislava/ruzinov/nuppu/nuppu-magnolia-5/pdsk107751</x:v>
      </x:c>
      <x:c r="Z1632" s="11" t="n">
        <x:v>46251.740894027775</x:v>
      </x:c>
      <x:c r="AA1632" s="11" t="n">
        <x:v>46254.51251577547</x:v>
      </x:c>
      <x:c r="AB1632" s="11" t="n">
        <x:v>46254.51251577547</x:v>
      </x:c>
      <x:c r="AC1632" t="str">
        <x:v>nuppu</x:v>
      </x:c>
    </x:row>
    <x:row r="1633" ht="22" customHeight="1">
      <x:c r="A1633" t="str">
        <x:v>NUPPU</x:v>
      </x:c>
      <x:c r="B1633" t="str">
        <x:v>P282</x:v>
      </x:c>
      <x:c r="C1633" t="str">
        <x:v>available</x:v>
      </x:c>
      <x:c r="D1633" t="str">
        <x:v>present</x:v>
      </x:c>
      <x:c r="E1633" t="str">
        <x:v>baseline</x:v>
      </x:c>
      <x:c r="F1633" s="11" t="n">
        <x:v>46251.740894027775</x:v>
      </x:c>
      <x:c r="G1633" t="str">
        <x:v>Byt</x:v>
      </x:c>
      <x:c r="H1633" s="12" t="n">
        <x:v>2</x:v>
      </x:c>
      <x:c r="I1633" s="13" t="n">
        <x:v>8</x:v>
      </x:c>
      <x:c r="J1633" t="str">
        <x:v>NUPPU Magnolia 5</x:v>
      </x:c>
      <x:c r="K1633" s="14" t="n">
        <x:v>46.13</x:v>
      </x:c>
      <x:c r="L1633" s="14" t="n">
        <x:v>4.68</x:v>
      </x:c>
      <x:c r="M1633" s="14"/>
      <x:c r="N1633" s="14" t="n">
        <x:v>0</x:v>
      </x:c>
      <x:c r="O1633" s="14"/>
      <x:c r="P1633" s="14"/>
      <x:c r="Q1633" s="14" t="n">
        <x:v>50.81</x:v>
      </x:c>
      <x:c r="R1633" s="15" t="n">
        <x:v>280326.59</x:v>
      </x:c>
      <x:c r="S1633" s="15" t="n">
        <x:v>280326.59</x:v>
      </x:c>
      <x:c r="T1633" s="15"/>
      <x:c r="U1633" s="16" t="n">
        <x:v>6076.88</x:v>
      </x:c>
      <x:c r="V1633" t="str">
        <x:v>YIT Slovakia</x:v>
      </x:c>
      <x:c r="W1633" t="str">
        <x:v>Ružinov</x:v>
      </x:c>
      <x:c r="X1633" s="11" t="str">
        <x:v>Voľný</x:v>
      </x:c>
      <x:c r="Y1633" s="11" t="str">
        <x:v>https://www.yit.sk/predaj-bytov/bratislava/ruzinov/nuppu/nuppu-magnolia-5/pdsk107750</x:v>
      </x:c>
      <x:c r="Z1633" s="11" t="n">
        <x:v>46251.740894027775</x:v>
      </x:c>
      <x:c r="AA1633" s="11" t="n">
        <x:v>46254.51251577547</x:v>
      </x:c>
      <x:c r="AB1633" s="11" t="n">
        <x:v>46254.51251577547</x:v>
      </x:c>
      <x:c r="AC1633" t="str">
        <x:v>nuppu</x:v>
      </x:c>
    </x:row>
    <x:row r="1634" ht="22" customHeight="1">
      <x:c r="A1634" t="str">
        <x:v>NUPPU</x:v>
      </x:c>
      <x:c r="B1634" t="str">
        <x:v>P283</x:v>
      </x:c>
      <x:c r="C1634" t="str">
        <x:v>available</x:v>
      </x:c>
      <x:c r="D1634" t="str">
        <x:v>present</x:v>
      </x:c>
      <x:c r="E1634" t="str">
        <x:v>baseline</x:v>
      </x:c>
      <x:c r="F1634" s="11" t="n">
        <x:v>46251.740894027775</x:v>
      </x:c>
      <x:c r="G1634" t="str">
        <x:v>Byt</x:v>
      </x:c>
      <x:c r="H1634" s="12" t="n">
        <x:v>2</x:v>
      </x:c>
      <x:c r="I1634" s="13" t="n">
        <x:v>8</x:v>
      </x:c>
      <x:c r="J1634" t="str">
        <x:v>NUPPU Magnolia 5</x:v>
      </x:c>
      <x:c r="K1634" s="14" t="n">
        <x:v>51.5</x:v>
      </x:c>
      <x:c r="L1634" s="14" t="n">
        <x:v>4.68</x:v>
      </x:c>
      <x:c r="M1634" s="14"/>
      <x:c r="N1634" s="14" t="n">
        <x:v>0</x:v>
      </x:c>
      <x:c r="O1634" s="14"/>
      <x:c r="P1634" s="14"/>
      <x:c r="Q1634" s="14" t="n">
        <x:v>56.18</x:v>
      </x:c>
      <x:c r="R1634" s="15" t="n">
        <x:v>287405.49</x:v>
      </x:c>
      <x:c r="S1634" s="15" t="n">
        <x:v>287405.49</x:v>
      </x:c>
      <x:c r="T1634" s="15"/>
      <x:c r="U1634" s="16" t="n">
        <x:v>5580.69</x:v>
      </x:c>
      <x:c r="V1634" t="str">
        <x:v>YIT Slovakia</x:v>
      </x:c>
      <x:c r="W1634" t="str">
        <x:v>Ružinov</x:v>
      </x:c>
      <x:c r="X1634" s="11" t="str">
        <x:v>Voľný</x:v>
      </x:c>
      <x:c r="Y1634" s="11" t="str">
        <x:v>https://www.yit.sk/predaj-bytov/bratislava/ruzinov/nuppu/nuppu-magnolia-5/pdsk107749</x:v>
      </x:c>
      <x:c r="Z1634" s="11" t="n">
        <x:v>46251.740894027775</x:v>
      </x:c>
      <x:c r="AA1634" s="11" t="n">
        <x:v>46254.51251577547</x:v>
      </x:c>
      <x:c r="AB1634" s="11" t="n">
        <x:v>46254.51251577547</x:v>
      </x:c>
      <x:c r="AC1634" t="str">
        <x:v>nuppu</x:v>
      </x:c>
    </x:row>
    <x:row r="1635" ht="22" customHeight="1">
      <x:c r="A1635" t="str">
        <x:v>Slnečná Strana</x:v>
      </x:c>
      <x:c r="B1635" t="str">
        <x:v>A2-01</x:v>
      </x:c>
      <x:c r="C1635" t="str">
        <x:v>reserved</x:v>
      </x:c>
      <x:c r="D1635" t="str">
        <x:v>present</x:v>
      </x:c>
      <x:c r="E1635" t="str">
        <x:v>baseline</x:v>
      </x:c>
      <x:c r="F1635" s="11" t="n">
        <x:v>46249.4134212037</x:v>
      </x:c>
      <x:c r="G1635" t="str">
        <x:v>Byt</x:v>
      </x:c>
      <x:c r="H1635" s="12" t="n">
        <x:v>2</x:v>
      </x:c>
      <x:c r="I1635" s="13" t="n">
        <x:v>2</x:v>
      </x:c>
      <x:c r="J1635" t="str">
        <x:v>A</x:v>
      </x:c>
      <x:c r="K1635" s="14" t="n">
        <x:v>38.93</x:v>
      </x:c>
      <x:c r="L1635" s="14" t="n">
        <x:v>4.03</x:v>
      </x:c>
      <x:c r="M1635" s="14" t="n">
        <x:v>0</x:v>
      </x:c>
      <x:c r="N1635" s="14"/>
      <x:c r="O1635" s="14" t="n">
        <x:v>2.4</x:v>
      </x:c>
      <x:c r="P1635" s="14"/>
      <x:c r="Q1635" s="14" t="n">
        <x:v>45.36</x:v>
      </x:c>
      <x:c r="R1635" s="15"/>
      <x:c r="S1635" s="15"/>
      <x:c r="T1635" s="15"/>
      <x:c r="U1635" s="16"/>
      <x:c r="V1635" t="str"/>
      <x:c r="W1635" t="str">
        <x:v>Ružinov</x:v>
      </x:c>
      <x:c r="X1635" s="11" t="str">
        <x:v>Rezervovaný</x:v>
      </x:c>
      <x:c r="Y1635" s="11" t="str">
        <x:v>https://slnecnastrana.sk/index.php/byt/a2-01/</x:v>
      </x:c>
      <x:c r="Z1635" s="11" t="n">
        <x:v>46249.4134212037</x:v>
      </x:c>
      <x:c r="AA1635" s="11" t="n">
        <x:v>46253.71734884259</x:v>
      </x:c>
      <x:c r="AB1635" s="11" t="n">
        <x:v>46253.71734884259</x:v>
      </x:c>
      <x:c r="AC1635" t="str">
        <x:v>slnecna_strana</x:v>
      </x:c>
    </x:row>
    <x:row r="1636" ht="22" customHeight="1">
      <x:c r="A1636" t="str">
        <x:v>Slnečná Strana</x:v>
      </x:c>
      <x:c r="B1636" t="str">
        <x:v>A2-02</x:v>
      </x:c>
      <x:c r="C1636" t="str">
        <x:v>available</x:v>
      </x:c>
      <x:c r="D1636" t="str">
        <x:v>present</x:v>
      </x:c>
      <x:c r="E1636" t="str">
        <x:v>baseline</x:v>
      </x:c>
      <x:c r="F1636" s="11" t="n">
        <x:v>46249.4134212037</x:v>
      </x:c>
      <x:c r="G1636" t="str">
        <x:v>Byt</x:v>
      </x:c>
      <x:c r="H1636" s="12" t="n">
        <x:v>1.5</x:v>
      </x:c>
      <x:c r="I1636" s="13" t="n">
        <x:v>2</x:v>
      </x:c>
      <x:c r="J1636" t="str">
        <x:v>A</x:v>
      </x:c>
      <x:c r="K1636" s="14" t="n">
        <x:v>35.74</x:v>
      </x:c>
      <x:c r="L1636" s="14" t="n">
        <x:v>6.02</x:v>
      </x:c>
      <x:c r="M1636" s="14" t="n">
        <x:v>0</x:v>
      </x:c>
      <x:c r="N1636" s="14"/>
      <x:c r="O1636" s="14" t="n">
        <x:v>2.4</x:v>
      </x:c>
      <x:c r="P1636" s="14"/>
      <x:c r="Q1636" s="14" t="n">
        <x:v>44.16</x:v>
      </x:c>
      <x:c r="R1636" s="15" t="n">
        <x:v>203283</x:v>
      </x:c>
      <x:c r="S1636" s="15" t="n">
        <x:v>203283</x:v>
      </x:c>
      <x:c r="T1636" s="15"/>
      <x:c r="U1636" s="16" t="n">
        <x:v>5687.83</x:v>
      </x:c>
      <x:c r="V1636" t="str"/>
      <x:c r="W1636" t="str">
        <x:v>Ružinov</x:v>
      </x:c>
      <x:c r="X1636" s="11" t="str">
        <x:v>Voľný</x:v>
      </x:c>
      <x:c r="Y1636" s="11" t="str">
        <x:v>https://slnecnastrana.sk/index.php/byt/a2-02/</x:v>
      </x:c>
      <x:c r="Z1636" s="11" t="n">
        <x:v>46249.4134212037</x:v>
      </x:c>
      <x:c r="AA1636" s="11" t="n">
        <x:v>46253.71734884259</x:v>
      </x:c>
      <x:c r="AB1636" s="11" t="n">
        <x:v>46253.71734884259</x:v>
      </x:c>
      <x:c r="AC1636" t="str">
        <x:v>slnecna_strana</x:v>
      </x:c>
    </x:row>
    <x:row r="1637" ht="22" customHeight="1">
      <x:c r="A1637" t="str">
        <x:v>Slnečná Strana</x:v>
      </x:c>
      <x:c r="B1637" t="str">
        <x:v>A2-03</x:v>
      </x:c>
      <x:c r="C1637" t="str">
        <x:v>available</x:v>
      </x:c>
      <x:c r="D1637" t="str">
        <x:v>present</x:v>
      </x:c>
      <x:c r="E1637" t="str">
        <x:v>baseline</x:v>
      </x:c>
      <x:c r="F1637" s="11" t="n">
        <x:v>46249.4134212037</x:v>
      </x:c>
      <x:c r="G1637" t="str">
        <x:v>Byt</x:v>
      </x:c>
      <x:c r="H1637" s="12" t="n">
        <x:v>1.5</x:v>
      </x:c>
      <x:c r="I1637" s="13" t="n">
        <x:v>2</x:v>
      </x:c>
      <x:c r="J1637" t="str">
        <x:v>A</x:v>
      </x:c>
      <x:c r="K1637" s="14" t="n">
        <x:v>37.56</x:v>
      </x:c>
      <x:c r="L1637" s="14" t="n">
        <x:v>5.85</x:v>
      </x:c>
      <x:c r="M1637" s="14" t="n">
        <x:v>0</x:v>
      </x:c>
      <x:c r="N1637" s="14"/>
      <x:c r="O1637" s="14" t="n">
        <x:v>2.4</x:v>
      </x:c>
      <x:c r="P1637" s="14"/>
      <x:c r="Q1637" s="14" t="n">
        <x:v>45.81</x:v>
      </x:c>
      <x:c r="R1637" s="15" t="n">
        <x:v>212368</x:v>
      </x:c>
      <x:c r="S1637" s="15" t="n">
        <x:v>246568</x:v>
      </x:c>
      <x:c r="T1637" s="15" t="n">
        <x:v>212368</x:v>
      </x:c>
      <x:c r="U1637" s="16" t="n">
        <x:v>5654.1</x:v>
      </x:c>
      <x:c r="V1637" t="str"/>
      <x:c r="W1637" t="str">
        <x:v>Ružinov</x:v>
      </x:c>
      <x:c r="X1637" s="11" t="str">
        <x:v>Voľný</x:v>
      </x:c>
      <x:c r="Y1637" s="11" t="str">
        <x:v>https://slnecnastrana.sk/index.php/byt/a2-03/</x:v>
      </x:c>
      <x:c r="Z1637" s="11" t="n">
        <x:v>46249.4134212037</x:v>
      </x:c>
      <x:c r="AA1637" s="11" t="n">
        <x:v>46253.71734884259</x:v>
      </x:c>
      <x:c r="AB1637" s="11" t="n">
        <x:v>46253.71734884259</x:v>
      </x:c>
      <x:c r="AC1637" t="str">
        <x:v>slnecna_strana</x:v>
      </x:c>
    </x:row>
    <x:row r="1638" ht="22" customHeight="1">
      <x:c r="A1638" t="str">
        <x:v>Slnečná Strana</x:v>
      </x:c>
      <x:c r="B1638" t="str">
        <x:v>A2-04</x:v>
      </x:c>
      <x:c r="C1638" t="str">
        <x:v>available</x:v>
      </x:c>
      <x:c r="D1638" t="str">
        <x:v>present</x:v>
      </x:c>
      <x:c r="E1638" t="str">
        <x:v>baseline</x:v>
      </x:c>
      <x:c r="F1638" s="11" t="n">
        <x:v>46249.4134212037</x:v>
      </x:c>
      <x:c r="G1638" t="str">
        <x:v>Byt</x:v>
      </x:c>
      <x:c r="H1638" s="12" t="n">
        <x:v>2</x:v>
      </x:c>
      <x:c r="I1638" s="13" t="n">
        <x:v>2</x:v>
      </x:c>
      <x:c r="J1638" t="str">
        <x:v>A</x:v>
      </x:c>
      <x:c r="K1638" s="14" t="n">
        <x:v>60.74</x:v>
      </x:c>
      <x:c r="L1638" s="14" t="n">
        <x:v>3.55</x:v>
      </x:c>
      <x:c r="M1638" s="14" t="n">
        <x:v>0</x:v>
      </x:c>
      <x:c r="N1638" s="14"/>
      <x:c r="O1638" s="14" t="n">
        <x:v>2.4</x:v>
      </x:c>
      <x:c r="P1638" s="14"/>
      <x:c r="Q1638" s="14" t="n">
        <x:v>66.69</x:v>
      </x:c>
      <x:c r="R1638" s="15" t="n">
        <x:v>293821</x:v>
      </x:c>
      <x:c r="S1638" s="15" t="n">
        <x:v>293821</x:v>
      </x:c>
      <x:c r="T1638" s="15"/>
      <x:c r="U1638" s="16" t="n">
        <x:v>4837.36</x:v>
      </x:c>
      <x:c r="V1638" t="str"/>
      <x:c r="W1638" t="str">
        <x:v>Ružinov</x:v>
      </x:c>
      <x:c r="X1638" s="11" t="str">
        <x:v>Voľný</x:v>
      </x:c>
      <x:c r="Y1638" s="11" t="str">
        <x:v>https://slnecnastrana.sk/index.php/byt/a2-04/</x:v>
      </x:c>
      <x:c r="Z1638" s="11" t="n">
        <x:v>46249.4134212037</x:v>
      </x:c>
      <x:c r="AA1638" s="11" t="n">
        <x:v>46253.71734884259</x:v>
      </x:c>
      <x:c r="AB1638" s="11" t="n">
        <x:v>46253.71734884259</x:v>
      </x:c>
      <x:c r="AC1638" t="str">
        <x:v>slnecna_strana</x:v>
      </x:c>
    </x:row>
    <x:row r="1639" ht="22" customHeight="1">
      <x:c r="A1639" t="str">
        <x:v>Slnečná Strana</x:v>
      </x:c>
      <x:c r="B1639" t="str">
        <x:v>A2-05</x:v>
      </x:c>
      <x:c r="C1639" t="str">
        <x:v>available</x:v>
      </x:c>
      <x:c r="D1639" t="str">
        <x:v>present</x:v>
      </x:c>
      <x:c r="E1639" t="str">
        <x:v>baseline</x:v>
      </x:c>
      <x:c r="F1639" s="11" t="n">
        <x:v>46249.4134212037</x:v>
      </x:c>
      <x:c r="G1639" t="str">
        <x:v>Byt</x:v>
      </x:c>
      <x:c r="H1639" s="12" t="n">
        <x:v>2</x:v>
      </x:c>
      <x:c r="I1639" s="13" t="n">
        <x:v>2</x:v>
      </x:c>
      <x:c r="J1639" t="str">
        <x:v>A</x:v>
      </x:c>
      <x:c r="K1639" s="14" t="n">
        <x:v>54.19</x:v>
      </x:c>
      <x:c r="L1639" s="14" t="n">
        <x:v>0</x:v>
      </x:c>
      <x:c r="M1639" s="14" t="n">
        <x:v>4.69</x:v>
      </x:c>
      <x:c r="N1639" s="14"/>
      <x:c r="O1639" s="14" t="n">
        <x:v>2.4</x:v>
      </x:c>
      <x:c r="P1639" s="14"/>
      <x:c r="Q1639" s="14" t="n">
        <x:v>61.28</x:v>
      </x:c>
      <x:c r="R1639" s="15" t="n">
        <x:v>271623</x:v>
      </x:c>
      <x:c r="S1639" s="15" t="n">
        <x:v>314274</x:v>
      </x:c>
      <x:c r="T1639" s="15" t="n">
        <x:v>271623</x:v>
      </x:c>
      <x:c r="U1639" s="16" t="n">
        <x:v>5012.42</x:v>
      </x:c>
      <x:c r="V1639" t="str"/>
      <x:c r="W1639" t="str">
        <x:v>Ružinov</x:v>
      </x:c>
      <x:c r="X1639" s="11" t="str">
        <x:v>Voľný</x:v>
      </x:c>
      <x:c r="Y1639" s="11" t="str">
        <x:v>https://slnecnastrana.sk/index.php/byt/a2-05/</x:v>
      </x:c>
      <x:c r="Z1639" s="11" t="n">
        <x:v>46249.4134212037</x:v>
      </x:c>
      <x:c r="AA1639" s="11" t="n">
        <x:v>46253.71734884259</x:v>
      </x:c>
      <x:c r="AB1639" s="11" t="n">
        <x:v>46253.71734884259</x:v>
      </x:c>
      <x:c r="AC1639" t="str">
        <x:v>slnecna_strana</x:v>
      </x:c>
    </x:row>
    <x:row r="1640" ht="22" customHeight="1">
      <x:c r="A1640" t="str">
        <x:v>Slnečná Strana</x:v>
      </x:c>
      <x:c r="B1640" t="str">
        <x:v>A2-06</x:v>
      </x:c>
      <x:c r="C1640" t="str">
        <x:v>available</x:v>
      </x:c>
      <x:c r="D1640" t="str">
        <x:v>present</x:v>
      </x:c>
      <x:c r="E1640" t="str">
        <x:v>baseline</x:v>
      </x:c>
      <x:c r="F1640" s="11" t="n">
        <x:v>46249.4134212037</x:v>
      </x:c>
      <x:c r="G1640" t="str">
        <x:v>Apartmán</x:v>
      </x:c>
      <x:c r="H1640" s="12" t="n">
        <x:v>2</x:v>
      </x:c>
      <x:c r="I1640" s="13" t="n">
        <x:v>2</x:v>
      </x:c>
      <x:c r="J1640" t="str">
        <x:v>A</x:v>
      </x:c>
      <x:c r="K1640" s="14" t="n">
        <x:v>51.67</x:v>
      </x:c>
      <x:c r="L1640" s="14" t="n">
        <x:v>0</x:v>
      </x:c>
      <x:c r="M1640" s="14" t="n">
        <x:v>5.73</x:v>
      </x:c>
      <x:c r="N1640" s="14"/>
      <x:c r="O1640" s="14" t="n">
        <x:v>2.4</x:v>
      </x:c>
      <x:c r="P1640" s="14"/>
      <x:c r="Q1640" s="14" t="n">
        <x:v>59.8</x:v>
      </x:c>
      <x:c r="R1640" s="15" t="n">
        <x:v>264892</x:v>
      </x:c>
      <x:c r="S1640" s="15" t="n">
        <x:v>306376</x:v>
      </x:c>
      <x:c r="T1640" s="15" t="n">
        <x:v>264892</x:v>
      </x:c>
      <x:c r="U1640" s="16" t="n">
        <x:v>5126.61</x:v>
      </x:c>
      <x:c r="V1640" t="str"/>
      <x:c r="W1640" t="str">
        <x:v>Ružinov</x:v>
      </x:c>
      <x:c r="X1640" s="11" t="str">
        <x:v>Voľný</x:v>
      </x:c>
      <x:c r="Y1640" s="11" t="str">
        <x:v>https://slnecnastrana.sk/index.php/byt/a2-06/</x:v>
      </x:c>
      <x:c r="Z1640" s="11" t="n">
        <x:v>46249.4134212037</x:v>
      </x:c>
      <x:c r="AA1640" s="11" t="n">
        <x:v>46253.71734884259</x:v>
      </x:c>
      <x:c r="AB1640" s="11" t="n">
        <x:v>46253.71734884259</x:v>
      </x:c>
      <x:c r="AC1640" t="str">
        <x:v>slnecna_strana</x:v>
      </x:c>
    </x:row>
    <x:row r="1641" ht="22" customHeight="1">
      <x:c r="A1641" t="str">
        <x:v>Slnečná Strana</x:v>
      </x:c>
      <x:c r="B1641" t="str">
        <x:v>A2-07</x:v>
      </x:c>
      <x:c r="C1641" t="str">
        <x:v>available</x:v>
      </x:c>
      <x:c r="D1641" t="str">
        <x:v>present</x:v>
      </x:c>
      <x:c r="E1641" t="str">
        <x:v>baseline</x:v>
      </x:c>
      <x:c r="F1641" s="11" t="n">
        <x:v>46249.4134212037</x:v>
      </x:c>
      <x:c r="G1641" t="str">
        <x:v>Byt</x:v>
      </x:c>
      <x:c r="H1641" s="12" t="n">
        <x:v>2</x:v>
      </x:c>
      <x:c r="I1641" s="13" t="n">
        <x:v>2</x:v>
      </x:c>
      <x:c r="J1641" t="str">
        <x:v>A</x:v>
      </x:c>
      <x:c r="K1641" s="14" t="n">
        <x:v>58.66</x:v>
      </x:c>
      <x:c r="L1641" s="14" t="n">
        <x:v>0</x:v>
      </x:c>
      <x:c r="M1641" s="14" t="n">
        <x:v>5.48</x:v>
      </x:c>
      <x:c r="N1641" s="14"/>
      <x:c r="O1641" s="14" t="n">
        <x:v>2.4</x:v>
      </x:c>
      <x:c r="P1641" s="14"/>
      <x:c r="Q1641" s="14" t="n">
        <x:v>66.54</x:v>
      </x:c>
      <x:c r="R1641" s="15" t="n">
        <x:v>292045</x:v>
      </x:c>
      <x:c r="S1641" s="15" t="n">
        <x:v>337693</x:v>
      </x:c>
      <x:c r="T1641" s="15" t="n">
        <x:v>292045</x:v>
      </x:c>
      <x:c r="U1641" s="16" t="n">
        <x:v>4978.61</x:v>
      </x:c>
      <x:c r="V1641" t="str"/>
      <x:c r="W1641" t="str">
        <x:v>Ružinov</x:v>
      </x:c>
      <x:c r="X1641" s="11" t="str">
        <x:v>Voľný</x:v>
      </x:c>
      <x:c r="Y1641" s="11" t="str">
        <x:v>https://slnecnastrana.sk/index.php/byt/a2-07/</x:v>
      </x:c>
      <x:c r="Z1641" s="11" t="n">
        <x:v>46249.4134212037</x:v>
      </x:c>
      <x:c r="AA1641" s="11" t="n">
        <x:v>46253.71734884259</x:v>
      </x:c>
      <x:c r="AB1641" s="11" t="n">
        <x:v>46253.71734884259</x:v>
      </x:c>
      <x:c r="AC1641" t="str">
        <x:v>slnecna_strana</x:v>
      </x:c>
    </x:row>
    <x:row r="1642" ht="22" customHeight="1">
      <x:c r="A1642" t="str">
        <x:v>Slnečná Strana</x:v>
      </x:c>
      <x:c r="B1642" t="str">
        <x:v>A3-01</x:v>
      </x:c>
      <x:c r="C1642" t="str">
        <x:v>reserved</x:v>
      </x:c>
      <x:c r="D1642" t="str">
        <x:v>present</x:v>
      </x:c>
      <x:c r="E1642" t="str">
        <x:v>baseline</x:v>
      </x:c>
      <x:c r="F1642" s="11" t="n">
        <x:v>46249.4134212037</x:v>
      </x:c>
      <x:c r="G1642" t="str">
        <x:v>Byt</x:v>
      </x:c>
      <x:c r="H1642" s="12" t="n">
        <x:v>2</x:v>
      </x:c>
      <x:c r="I1642" s="13" t="n">
        <x:v>3</x:v>
      </x:c>
      <x:c r="J1642" t="str">
        <x:v>A</x:v>
      </x:c>
      <x:c r="K1642" s="14" t="n">
        <x:v>38.93</x:v>
      </x:c>
      <x:c r="L1642" s="14" t="n">
        <x:v>4.03</x:v>
      </x:c>
      <x:c r="M1642" s="14" t="n">
        <x:v>0</x:v>
      </x:c>
      <x:c r="N1642" s="14"/>
      <x:c r="O1642" s="14" t="n">
        <x:v>2.4</x:v>
      </x:c>
      <x:c r="P1642" s="14"/>
      <x:c r="Q1642" s="14" t="n">
        <x:v>45.36</x:v>
      </x:c>
      <x:c r="R1642" s="15"/>
      <x:c r="S1642" s="15"/>
      <x:c r="T1642" s="15"/>
      <x:c r="U1642" s="16"/>
      <x:c r="V1642" t="str"/>
      <x:c r="W1642" t="str">
        <x:v>Ružinov</x:v>
      </x:c>
      <x:c r="X1642" s="11" t="str">
        <x:v>Rezervovaný</x:v>
      </x:c>
      <x:c r="Y1642" s="11" t="str">
        <x:v>https://slnecnastrana.sk/index.php/byt/a3-01/</x:v>
      </x:c>
      <x:c r="Z1642" s="11" t="n">
        <x:v>46249.4134212037</x:v>
      </x:c>
      <x:c r="AA1642" s="11" t="n">
        <x:v>46253.71734884259</x:v>
      </x:c>
      <x:c r="AB1642" s="11" t="n">
        <x:v>46253.71734884259</x:v>
      </x:c>
      <x:c r="AC1642" t="str">
        <x:v>slnecna_strana</x:v>
      </x:c>
    </x:row>
    <x:row r="1643" ht="22" customHeight="1">
      <x:c r="A1643" t="str">
        <x:v>Slnečná Strana</x:v>
      </x:c>
      <x:c r="B1643" t="str">
        <x:v>A3-02</x:v>
      </x:c>
      <x:c r="C1643" t="str">
        <x:v>available</x:v>
      </x:c>
      <x:c r="D1643" t="str">
        <x:v>present</x:v>
      </x:c>
      <x:c r="E1643" t="str">
        <x:v>baseline</x:v>
      </x:c>
      <x:c r="F1643" s="11" t="n">
        <x:v>46249.4134212037</x:v>
      </x:c>
      <x:c r="G1643" t="str">
        <x:v>Byt</x:v>
      </x:c>
      <x:c r="H1643" s="12" t="n">
        <x:v>1.5</x:v>
      </x:c>
      <x:c r="I1643" s="13" t="n">
        <x:v>3</x:v>
      </x:c>
      <x:c r="J1643" t="str">
        <x:v>A</x:v>
      </x:c>
      <x:c r="K1643" s="14" t="n">
        <x:v>35.74</x:v>
      </x:c>
      <x:c r="L1643" s="14" t="n">
        <x:v>6.02</x:v>
      </x:c>
      <x:c r="M1643" s="14" t="n">
        <x:v>0</x:v>
      </x:c>
      <x:c r="N1643" s="14"/>
      <x:c r="O1643" s="14" t="n">
        <x:v>2.4</x:v>
      </x:c>
      <x:c r="P1643" s="14"/>
      <x:c r="Q1643" s="14" t="n">
        <x:v>44.16</x:v>
      </x:c>
      <x:c r="R1643" s="15" t="n">
        <x:v>207313</x:v>
      </x:c>
      <x:c r="S1643" s="15" t="n">
        <x:v>207313</x:v>
      </x:c>
      <x:c r="T1643" s="15"/>
      <x:c r="U1643" s="16" t="n">
        <x:v>5800.59</x:v>
      </x:c>
      <x:c r="V1643" t="str"/>
      <x:c r="W1643" t="str">
        <x:v>Ružinov</x:v>
      </x:c>
      <x:c r="X1643" s="11" t="str">
        <x:v>Voľný</x:v>
      </x:c>
      <x:c r="Y1643" s="11" t="str">
        <x:v>https://slnecnastrana.sk/index.php/byt/a3-02/</x:v>
      </x:c>
      <x:c r="Z1643" s="11" t="n">
        <x:v>46249.4134212037</x:v>
      </x:c>
      <x:c r="AA1643" s="11" t="n">
        <x:v>46253.71734884259</x:v>
      </x:c>
      <x:c r="AB1643" s="11" t="n">
        <x:v>46253.71734884259</x:v>
      </x:c>
      <x:c r="AC1643" t="str">
        <x:v>slnecna_strana</x:v>
      </x:c>
    </x:row>
    <x:row r="1644" ht="22" customHeight="1">
      <x:c r="A1644" t="str">
        <x:v>Slnečná Strana</x:v>
      </x:c>
      <x:c r="B1644" t="str">
        <x:v>A3-03</x:v>
      </x:c>
      <x:c r="C1644" t="str">
        <x:v>reserved</x:v>
      </x:c>
      <x:c r="D1644" t="str">
        <x:v>present</x:v>
      </x:c>
      <x:c r="E1644" t="str">
        <x:v>baseline</x:v>
      </x:c>
      <x:c r="F1644" s="11" t="n">
        <x:v>46249.4134212037</x:v>
      </x:c>
      <x:c r="G1644" t="str">
        <x:v>Byt</x:v>
      </x:c>
      <x:c r="H1644" s="12" t="n">
        <x:v>1.5</x:v>
      </x:c>
      <x:c r="I1644" s="13" t="n">
        <x:v>3</x:v>
      </x:c>
      <x:c r="J1644" t="str">
        <x:v>A</x:v>
      </x:c>
      <x:c r="K1644" s="14" t="n">
        <x:v>37.56</x:v>
      </x:c>
      <x:c r="L1644" s="14" t="n">
        <x:v>5.85</x:v>
      </x:c>
      <x:c r="M1644" s="14" t="n">
        <x:v>0</x:v>
      </x:c>
      <x:c r="N1644" s="14"/>
      <x:c r="O1644" s="14" t="n">
        <x:v>2.4</x:v>
      </x:c>
      <x:c r="P1644" s="14"/>
      <x:c r="Q1644" s="14" t="n">
        <x:v>45.81</x:v>
      </x:c>
      <x:c r="R1644" s="15"/>
      <x:c r="S1644" s="15"/>
      <x:c r="T1644" s="15"/>
      <x:c r="U1644" s="16"/>
      <x:c r="V1644" t="str"/>
      <x:c r="W1644" t="str">
        <x:v>Ružinov</x:v>
      </x:c>
      <x:c r="X1644" s="11" t="str">
        <x:v>Rezervovaný</x:v>
      </x:c>
      <x:c r="Y1644" s="11" t="str">
        <x:v>https://slnecnastrana.sk/index.php/byt/a3-03/</x:v>
      </x:c>
      <x:c r="Z1644" s="11" t="n">
        <x:v>46249.4134212037</x:v>
      </x:c>
      <x:c r="AA1644" s="11" t="n">
        <x:v>46253.71734884259</x:v>
      </x:c>
      <x:c r="AB1644" s="11" t="n">
        <x:v>46253.71734884259</x:v>
      </x:c>
      <x:c r="AC1644" t="str">
        <x:v>slnecna_strana</x:v>
      </x:c>
    </x:row>
    <x:row r="1645" ht="22" customHeight="1">
      <x:c r="A1645" t="str">
        <x:v>Slnečná Strana</x:v>
      </x:c>
      <x:c r="B1645" t="str">
        <x:v>A3-04</x:v>
      </x:c>
      <x:c r="C1645" t="str">
        <x:v>available</x:v>
      </x:c>
      <x:c r="D1645" t="str">
        <x:v>present</x:v>
      </x:c>
      <x:c r="E1645" t="str">
        <x:v>baseline</x:v>
      </x:c>
      <x:c r="F1645" s="11" t="n">
        <x:v>46249.4134212037</x:v>
      </x:c>
      <x:c r="G1645" t="str">
        <x:v>Byt</x:v>
      </x:c>
      <x:c r="H1645" s="12" t="n">
        <x:v>2</x:v>
      </x:c>
      <x:c r="I1645" s="13" t="n">
        <x:v>3</x:v>
      </x:c>
      <x:c r="J1645" t="str">
        <x:v>A</x:v>
      </x:c>
      <x:c r="K1645" s="14" t="n">
        <x:v>60.74</x:v>
      </x:c>
      <x:c r="L1645" s="14" t="n">
        <x:v>3.55</x:v>
      </x:c>
      <x:c r="M1645" s="14" t="n">
        <x:v>0</x:v>
      </x:c>
      <x:c r="N1645" s="14"/>
      <x:c r="O1645" s="14" t="n">
        <x:v>2.4</x:v>
      </x:c>
      <x:c r="P1645" s="14"/>
      <x:c r="Q1645" s="14" t="n">
        <x:v>66.69</x:v>
      </x:c>
      <x:c r="R1645" s="15" t="n">
        <x:v>300058</x:v>
      </x:c>
      <x:c r="S1645" s="15" t="n">
        <x:v>347516</x:v>
      </x:c>
      <x:c r="T1645" s="15" t="n">
        <x:v>300058</x:v>
      </x:c>
      <x:c r="U1645" s="16" t="n">
        <x:v>4940.04</x:v>
      </x:c>
      <x:c r="V1645" t="str"/>
      <x:c r="W1645" t="str">
        <x:v>Ružinov</x:v>
      </x:c>
      <x:c r="X1645" s="11" t="str">
        <x:v>Voľný</x:v>
      </x:c>
      <x:c r="Y1645" s="11" t="str">
        <x:v>https://slnecnastrana.sk/index.php/byt/a3-04/</x:v>
      </x:c>
      <x:c r="Z1645" s="11" t="n">
        <x:v>46249.4134212037</x:v>
      </x:c>
      <x:c r="AA1645" s="11" t="n">
        <x:v>46253.71734884259</x:v>
      </x:c>
      <x:c r="AB1645" s="11" t="n">
        <x:v>46253.71734884259</x:v>
      </x:c>
      <x:c r="AC1645" t="str">
        <x:v>slnecna_strana</x:v>
      </x:c>
    </x:row>
    <x:row r="1646" ht="22" customHeight="1">
      <x:c r="A1646" t="str">
        <x:v>Slnečná Strana</x:v>
      </x:c>
      <x:c r="B1646" t="str">
        <x:v>A3-05</x:v>
      </x:c>
      <x:c r="C1646" t="str">
        <x:v>reserved</x:v>
      </x:c>
      <x:c r="D1646" t="str">
        <x:v>present</x:v>
      </x:c>
      <x:c r="E1646" t="str">
        <x:v>baseline</x:v>
      </x:c>
      <x:c r="F1646" s="11" t="n">
        <x:v>46249.4134212037</x:v>
      </x:c>
      <x:c r="G1646" t="str">
        <x:v>Byt</x:v>
      </x:c>
      <x:c r="H1646" s="12" t="n">
        <x:v>2</x:v>
      </x:c>
      <x:c r="I1646" s="13" t="n">
        <x:v>3</x:v>
      </x:c>
      <x:c r="J1646" t="str">
        <x:v>A</x:v>
      </x:c>
      <x:c r="K1646" s="14" t="n">
        <x:v>54.19</x:v>
      </x:c>
      <x:c r="L1646" s="14" t="n">
        <x:v>0</x:v>
      </x:c>
      <x:c r="M1646" s="14" t="n">
        <x:v>4.69</x:v>
      </x:c>
      <x:c r="N1646" s="14"/>
      <x:c r="O1646" s="14" t="n">
        <x:v>2.4</x:v>
      </x:c>
      <x:c r="P1646" s="14"/>
      <x:c r="Q1646" s="14" t="n">
        <x:v>61.28</x:v>
      </x:c>
      <x:c r="R1646" s="15"/>
      <x:c r="S1646" s="15"/>
      <x:c r="T1646" s="15"/>
      <x:c r="U1646" s="16"/>
      <x:c r="V1646" t="str"/>
      <x:c r="W1646" t="str">
        <x:v>Ružinov</x:v>
      </x:c>
      <x:c r="X1646" s="11" t="str">
        <x:v>Rezervovaný</x:v>
      </x:c>
      <x:c r="Y1646" s="11" t="str">
        <x:v>https://slnecnastrana.sk/index.php/byt/a3-05/</x:v>
      </x:c>
      <x:c r="Z1646" s="11" t="n">
        <x:v>46249.4134212037</x:v>
      </x:c>
      <x:c r="AA1646" s="11" t="n">
        <x:v>46253.71734884259</x:v>
      </x:c>
      <x:c r="AB1646" s="11" t="n">
        <x:v>46253.71734884259</x:v>
      </x:c>
      <x:c r="AC1646" t="str">
        <x:v>slnecna_strana</x:v>
      </x:c>
    </x:row>
    <x:row r="1647" ht="22" customHeight="1">
      <x:c r="A1647" t="str">
        <x:v>Slnečná Strana</x:v>
      </x:c>
      <x:c r="B1647" t="str">
        <x:v>A3-06</x:v>
      </x:c>
      <x:c r="C1647" t="str">
        <x:v>available</x:v>
      </x:c>
      <x:c r="D1647" t="str">
        <x:v>present</x:v>
      </x:c>
      <x:c r="E1647" t="str">
        <x:v>baseline</x:v>
      </x:c>
      <x:c r="F1647" s="11" t="n">
        <x:v>46249.4134212037</x:v>
      </x:c>
      <x:c r="G1647" t="str">
        <x:v>Apartmán</x:v>
      </x:c>
      <x:c r="H1647" s="12" t="n">
        <x:v>2</x:v>
      </x:c>
      <x:c r="I1647" s="13" t="n">
        <x:v>3</x:v>
      </x:c>
      <x:c r="J1647" t="str">
        <x:v>A</x:v>
      </x:c>
      <x:c r="K1647" s="14" t="n">
        <x:v>51.67</x:v>
      </x:c>
      <x:c r="L1647" s="14" t="n">
        <x:v>0</x:v>
      </x:c>
      <x:c r="M1647" s="14" t="n">
        <x:v>5.73</x:v>
      </x:c>
      <x:c r="N1647" s="14"/>
      <x:c r="O1647" s="14" t="n">
        <x:v>2.4</x:v>
      </x:c>
      <x:c r="P1647" s="14"/>
      <x:c r="Q1647" s="14" t="n">
        <x:v>59.8</x:v>
      </x:c>
      <x:c r="R1647" s="15" t="n">
        <x:v>268312</x:v>
      </x:c>
      <x:c r="S1647" s="15" t="n">
        <x:v>268312</x:v>
      </x:c>
      <x:c r="T1647" s="15"/>
      <x:c r="U1647" s="16" t="n">
        <x:v>5192.8</x:v>
      </x:c>
      <x:c r="V1647" t="str"/>
      <x:c r="W1647" t="str">
        <x:v>Ružinov</x:v>
      </x:c>
      <x:c r="X1647" s="11" t="str">
        <x:v>Voľný</x:v>
      </x:c>
      <x:c r="Y1647" s="11" t="str">
        <x:v>https://slnecnastrana.sk/index.php/byt/a3-06/</x:v>
      </x:c>
      <x:c r="Z1647" s="11" t="n">
        <x:v>46249.4134212037</x:v>
      </x:c>
      <x:c r="AA1647" s="11" t="n">
        <x:v>46253.71734884259</x:v>
      </x:c>
      <x:c r="AB1647" s="11" t="n">
        <x:v>46253.71734884259</x:v>
      </x:c>
      <x:c r="AC1647" t="str">
        <x:v>slnecna_strana</x:v>
      </x:c>
    </x:row>
    <x:row r="1648" ht="22" customHeight="1">
      <x:c r="A1648" t="str">
        <x:v>Slnečná Strana</x:v>
      </x:c>
      <x:c r="B1648" t="str">
        <x:v>A3-07</x:v>
      </x:c>
      <x:c r="C1648" t="str">
        <x:v>available</x:v>
      </x:c>
      <x:c r="D1648" t="str">
        <x:v>present</x:v>
      </x:c>
      <x:c r="E1648" t="str">
        <x:v>baseline</x:v>
      </x:c>
      <x:c r="F1648" s="11" t="n">
        <x:v>46249.4134212037</x:v>
      </x:c>
      <x:c r="G1648" t="str">
        <x:v>Byt</x:v>
      </x:c>
      <x:c r="H1648" s="12" t="n">
        <x:v>2</x:v>
      </x:c>
      <x:c r="I1648" s="13" t="n">
        <x:v>3</x:v>
      </x:c>
      <x:c r="J1648" t="str">
        <x:v>A</x:v>
      </x:c>
      <x:c r="K1648" s="14" t="n">
        <x:v>58.55</x:v>
      </x:c>
      <x:c r="L1648" s="14" t="n">
        <x:v>0</x:v>
      </x:c>
      <x:c r="M1648" s="14" t="n">
        <x:v>0</x:v>
      </x:c>
      <x:c r="N1648" s="14"/>
      <x:c r="O1648" s="14" t="n">
        <x:v>2.4</x:v>
      </x:c>
      <x:c r="P1648" s="14"/>
      <x:c r="Q1648" s="14" t="n">
        <x:v>60.95</x:v>
      </x:c>
      <x:c r="R1648" s="15" t="n">
        <x:v>281040</x:v>
      </x:c>
      <x:c r="S1648" s="15" t="n">
        <x:v>281040</x:v>
      </x:c>
      <x:c r="T1648" s="15"/>
      <x:c r="U1648" s="16" t="n">
        <x:v>4800</x:v>
      </x:c>
      <x:c r="V1648" t="str"/>
      <x:c r="W1648" t="str">
        <x:v>Ružinov</x:v>
      </x:c>
      <x:c r="X1648" s="11" t="str">
        <x:v>Voľný</x:v>
      </x:c>
      <x:c r="Y1648" s="11" t="str">
        <x:v>https://slnecnastrana.sk/index.php/byt/a3-07/</x:v>
      </x:c>
      <x:c r="Z1648" s="11" t="n">
        <x:v>46249.4134212037</x:v>
      </x:c>
      <x:c r="AA1648" s="11" t="n">
        <x:v>46253.71734884259</x:v>
      </x:c>
      <x:c r="AB1648" s="11" t="n">
        <x:v>46253.71734884259</x:v>
      </x:c>
      <x:c r="AC1648" t="str">
        <x:v>slnecna_strana</x:v>
      </x:c>
    </x:row>
    <x:row r="1649" ht="22" customHeight="1">
      <x:c r="A1649" t="str">
        <x:v>Slnečná Strana</x:v>
      </x:c>
      <x:c r="B1649" t="str">
        <x:v>A4-01</x:v>
      </x:c>
      <x:c r="C1649" t="str">
        <x:v>available</x:v>
      </x:c>
      <x:c r="D1649" t="str">
        <x:v>present</x:v>
      </x:c>
      <x:c r="E1649" t="str">
        <x:v>baseline</x:v>
      </x:c>
      <x:c r="F1649" s="11" t="n">
        <x:v>46249.4134212037</x:v>
      </x:c>
      <x:c r="G1649" t="str">
        <x:v>Byt</x:v>
      </x:c>
      <x:c r="H1649" s="12" t="n">
        <x:v>2</x:v>
      </x:c>
      <x:c r="I1649" s="13" t="n">
        <x:v>4</x:v>
      </x:c>
      <x:c r="J1649" t="str">
        <x:v>A</x:v>
      </x:c>
      <x:c r="K1649" s="14" t="n">
        <x:v>38.93</x:v>
      </x:c>
      <x:c r="L1649" s="14" t="n">
        <x:v>4.03</x:v>
      </x:c>
      <x:c r="M1649" s="14" t="n">
        <x:v>0</x:v>
      </x:c>
      <x:c r="N1649" s="14"/>
      <x:c r="O1649" s="14" t="n">
        <x:v>2.4</x:v>
      </x:c>
      <x:c r="P1649" s="14"/>
      <x:c r="Q1649" s="14" t="n">
        <x:v>45.36</x:v>
      </x:c>
      <x:c r="R1649" s="15" t="n">
        <x:v>221294</x:v>
      </x:c>
      <x:c r="S1649" s="15" t="n">
        <x:v>257106</x:v>
      </x:c>
      <x:c r="T1649" s="15" t="n">
        <x:v>221294</x:v>
      </x:c>
      <x:c r="U1649" s="16" t="n">
        <x:v>5684.41</x:v>
      </x:c>
      <x:c r="V1649" t="str"/>
      <x:c r="W1649" t="str">
        <x:v>Ružinov</x:v>
      </x:c>
      <x:c r="X1649" s="11" t="str">
        <x:v>Voľný</x:v>
      </x:c>
      <x:c r="Y1649" s="11" t="str">
        <x:v>https://slnecnastrana.sk/index.php/byt/a4-01/</x:v>
      </x:c>
      <x:c r="Z1649" s="11" t="n">
        <x:v>46249.4134212037</x:v>
      </x:c>
      <x:c r="AA1649" s="11" t="n">
        <x:v>46253.71734884259</x:v>
      </x:c>
      <x:c r="AB1649" s="11" t="n">
        <x:v>46253.71734884259</x:v>
      </x:c>
      <x:c r="AC1649" t="str">
        <x:v>slnecna_strana</x:v>
      </x:c>
    </x:row>
    <x:row r="1650" ht="22" customHeight="1">
      <x:c r="A1650" t="str">
        <x:v>Slnečná Strana</x:v>
      </x:c>
      <x:c r="B1650" t="str">
        <x:v>A4-02</x:v>
      </x:c>
      <x:c r="C1650" t="str">
        <x:v>available</x:v>
      </x:c>
      <x:c r="D1650" t="str">
        <x:v>present</x:v>
      </x:c>
      <x:c r="E1650" t="str">
        <x:v>baseline</x:v>
      </x:c>
      <x:c r="F1650" s="11" t="n">
        <x:v>46249.4134212037</x:v>
      </x:c>
      <x:c r="G1650" t="str">
        <x:v>Byt</x:v>
      </x:c>
      <x:c r="H1650" s="12" t="n">
        <x:v>1.5</x:v>
      </x:c>
      <x:c r="I1650" s="13" t="n">
        <x:v>4</x:v>
      </x:c>
      <x:c r="J1650" t="str">
        <x:v>A</x:v>
      </x:c>
      <x:c r="K1650" s="14" t="n">
        <x:v>35.74</x:v>
      </x:c>
      <x:c r="L1650" s="14" t="n">
        <x:v>6.02</x:v>
      </x:c>
      <x:c r="M1650" s="14" t="n">
        <x:v>0</x:v>
      </x:c>
      <x:c r="N1650" s="14"/>
      <x:c r="O1650" s="14" t="n">
        <x:v>2.4</x:v>
      </x:c>
      <x:c r="P1650" s="14"/>
      <x:c r="Q1650" s="14" t="n">
        <x:v>44.16</x:v>
      </x:c>
      <x:c r="R1650" s="15" t="n">
        <x:v>209136</x:v>
      </x:c>
      <x:c r="S1650" s="15" t="n">
        <x:v>243324</x:v>
      </x:c>
      <x:c r="T1650" s="15" t="n">
        <x:v>209136</x:v>
      </x:c>
      <x:c r="U1650" s="16" t="n">
        <x:v>5851.59</x:v>
      </x:c>
      <x:c r="V1650" t="str"/>
      <x:c r="W1650" t="str">
        <x:v>Ružinov</x:v>
      </x:c>
      <x:c r="X1650" s="11" t="str">
        <x:v>Voľný</x:v>
      </x:c>
      <x:c r="Y1650" s="11" t="str">
        <x:v>https://slnecnastrana.sk/index.php/byt/a4-02/</x:v>
      </x:c>
      <x:c r="Z1650" s="11" t="n">
        <x:v>46249.4134212037</x:v>
      </x:c>
      <x:c r="AA1650" s="11" t="n">
        <x:v>46253.71734884259</x:v>
      </x:c>
      <x:c r="AB1650" s="11" t="n">
        <x:v>46253.71734884259</x:v>
      </x:c>
      <x:c r="AC1650" t="str">
        <x:v>slnecna_strana</x:v>
      </x:c>
    </x:row>
    <x:row r="1651" ht="22" customHeight="1">
      <x:c r="A1651" t="str">
        <x:v>Slnečná Strana</x:v>
      </x:c>
      <x:c r="B1651" t="str">
        <x:v>A4-03</x:v>
      </x:c>
      <x:c r="C1651" t="str">
        <x:v>reserved</x:v>
      </x:c>
      <x:c r="D1651" t="str">
        <x:v>present</x:v>
      </x:c>
      <x:c r="E1651" t="str">
        <x:v>baseline</x:v>
      </x:c>
      <x:c r="F1651" s="11" t="n">
        <x:v>46249.4134212037</x:v>
      </x:c>
      <x:c r="G1651" t="str">
        <x:v>Byt</x:v>
      </x:c>
      <x:c r="H1651" s="12" t="n">
        <x:v>1.5</x:v>
      </x:c>
      <x:c r="I1651" s="13" t="n">
        <x:v>4</x:v>
      </x:c>
      <x:c r="J1651" t="str">
        <x:v>A</x:v>
      </x:c>
      <x:c r="K1651" s="14" t="n">
        <x:v>37.56</x:v>
      </x:c>
      <x:c r="L1651" s="14" t="n">
        <x:v>5.85</x:v>
      </x:c>
      <x:c r="M1651" s="14" t="n">
        <x:v>0</x:v>
      </x:c>
      <x:c r="N1651" s="14"/>
      <x:c r="O1651" s="14" t="n">
        <x:v>2.4</x:v>
      </x:c>
      <x:c r="P1651" s="14"/>
      <x:c r="Q1651" s="14" t="n">
        <x:v>45.81</x:v>
      </x:c>
      <x:c r="R1651" s="15"/>
      <x:c r="S1651" s="15"/>
      <x:c r="T1651" s="15"/>
      <x:c r="U1651" s="16"/>
      <x:c r="V1651" t="str"/>
      <x:c r="W1651" t="str">
        <x:v>Ružinov</x:v>
      </x:c>
      <x:c r="X1651" s="11" t="str">
        <x:v>Rezervovaný</x:v>
      </x:c>
      <x:c r="Y1651" s="11" t="str">
        <x:v>https://slnecnastrana.sk/index.php/byt/a4-03/</x:v>
      </x:c>
      <x:c r="Z1651" s="11" t="n">
        <x:v>46249.4134212037</x:v>
      </x:c>
      <x:c r="AA1651" s="11" t="n">
        <x:v>46253.71734884259</x:v>
      </x:c>
      <x:c r="AB1651" s="11" t="n">
        <x:v>46253.71734884259</x:v>
      </x:c>
      <x:c r="AC1651" t="str">
        <x:v>slnecna_strana</x:v>
      </x:c>
    </x:row>
    <x:row r="1652" ht="22" customHeight="1">
      <x:c r="A1652" t="str">
        <x:v>Slnečná Strana</x:v>
      </x:c>
      <x:c r="B1652" t="str">
        <x:v>A4-04</x:v>
      </x:c>
      <x:c r="C1652" t="str">
        <x:v>reserved</x:v>
      </x:c>
      <x:c r="D1652" t="str">
        <x:v>present</x:v>
      </x:c>
      <x:c r="E1652" t="str">
        <x:v>baseline</x:v>
      </x:c>
      <x:c r="F1652" s="11" t="n">
        <x:v>46249.4134212037</x:v>
      </x:c>
      <x:c r="G1652" t="str">
        <x:v>Byt</x:v>
      </x:c>
      <x:c r="H1652" s="12" t="n">
        <x:v>2</x:v>
      </x:c>
      <x:c r="I1652" s="13" t="n">
        <x:v>4</x:v>
      </x:c>
      <x:c r="J1652" t="str">
        <x:v>A</x:v>
      </x:c>
      <x:c r="K1652" s="14" t="n">
        <x:v>60.74</x:v>
      </x:c>
      <x:c r="L1652" s="14" t="n">
        <x:v>3.55</x:v>
      </x:c>
      <x:c r="M1652" s="14" t="n">
        <x:v>0</x:v>
      </x:c>
      <x:c r="N1652" s="14"/>
      <x:c r="O1652" s="14" t="n">
        <x:v>2.4</x:v>
      </x:c>
      <x:c r="P1652" s="14"/>
      <x:c r="Q1652" s="14" t="n">
        <x:v>66.69</x:v>
      </x:c>
      <x:c r="R1652" s="15"/>
      <x:c r="S1652" s="15"/>
      <x:c r="T1652" s="15"/>
      <x:c r="U1652" s="16"/>
      <x:c r="V1652" t="str"/>
      <x:c r="W1652" t="str">
        <x:v>Ružinov</x:v>
      </x:c>
      <x:c r="X1652" s="11" t="str">
        <x:v>Rezervovaný</x:v>
      </x:c>
      <x:c r="Y1652" s="11" t="str">
        <x:v>https://slnecnastrana.sk/index.php/byt/a4-04/</x:v>
      </x:c>
      <x:c r="Z1652" s="11" t="n">
        <x:v>46249.4134212037</x:v>
      </x:c>
      <x:c r="AA1652" s="11" t="n">
        <x:v>46253.71734884259</x:v>
      </x:c>
      <x:c r="AB1652" s="11" t="n">
        <x:v>46253.71734884259</x:v>
      </x:c>
      <x:c r="AC1652" t="str">
        <x:v>slnecna_strana</x:v>
      </x:c>
    </x:row>
    <x:row r="1653" ht="22" customHeight="1">
      <x:c r="A1653" t="str">
        <x:v>Slnečná Strana</x:v>
      </x:c>
      <x:c r="B1653" t="str">
        <x:v>A4-05</x:v>
      </x:c>
      <x:c r="C1653" t="str">
        <x:v>available</x:v>
      </x:c>
      <x:c r="D1653" t="str">
        <x:v>present</x:v>
      </x:c>
      <x:c r="E1653" t="str">
        <x:v>baseline</x:v>
      </x:c>
      <x:c r="F1653" s="11" t="n">
        <x:v>46249.4134212037</x:v>
      </x:c>
      <x:c r="G1653" t="str">
        <x:v>Byt</x:v>
      </x:c>
      <x:c r="H1653" s="12" t="n">
        <x:v>2</x:v>
      </x:c>
      <x:c r="I1653" s="13" t="n">
        <x:v>4</x:v>
      </x:c>
      <x:c r="J1653" t="str">
        <x:v>A</x:v>
      </x:c>
      <x:c r="K1653" s="14" t="n">
        <x:v>54.19</x:v>
      </x:c>
      <x:c r="L1653" s="14" t="n">
        <x:v>0</x:v>
      </x:c>
      <x:c r="M1653" s="14" t="n">
        <x:v>4.69</x:v>
      </x:c>
      <x:c r="N1653" s="14"/>
      <x:c r="O1653" s="14" t="n">
        <x:v>2.4</x:v>
      </x:c>
      <x:c r="P1653" s="14"/>
      <x:c r="Q1653" s="14" t="n">
        <x:v>61.28</x:v>
      </x:c>
      <x:c r="R1653" s="15" t="n">
        <x:v>286067</x:v>
      </x:c>
      <x:c r="S1653" s="15" t="n">
        <x:v>286067</x:v>
      </x:c>
      <x:c r="T1653" s="15"/>
      <x:c r="U1653" s="16" t="n">
        <x:v>5278.96</x:v>
      </x:c>
      <x:c r="V1653" t="str"/>
      <x:c r="W1653" t="str">
        <x:v>Ružinov</x:v>
      </x:c>
      <x:c r="X1653" s="11" t="str">
        <x:v>Voľný</x:v>
      </x:c>
      <x:c r="Y1653" s="11" t="str">
        <x:v>https://slnecnastrana.sk/index.php/byt/a4-05/</x:v>
      </x:c>
      <x:c r="Z1653" s="11" t="n">
        <x:v>46249.4134212037</x:v>
      </x:c>
      <x:c r="AA1653" s="11" t="n">
        <x:v>46253.71734884259</x:v>
      </x:c>
      <x:c r="AB1653" s="11" t="n">
        <x:v>46253.71734884259</x:v>
      </x:c>
      <x:c r="AC1653" t="str">
        <x:v>slnecna_strana</x:v>
      </x:c>
    </x:row>
    <x:row r="1654" ht="22" customHeight="1">
      <x:c r="A1654" t="str">
        <x:v>Slnečná Strana</x:v>
      </x:c>
      <x:c r="B1654" t="str">
        <x:v>A4-06</x:v>
      </x:c>
      <x:c r="C1654" t="str">
        <x:v>reserved</x:v>
      </x:c>
      <x:c r="D1654" t="str">
        <x:v>present</x:v>
      </x:c>
      <x:c r="E1654" t="str">
        <x:v>baseline</x:v>
      </x:c>
      <x:c r="F1654" s="11" t="n">
        <x:v>46249.4134212037</x:v>
      </x:c>
      <x:c r="G1654" t="str">
        <x:v>Byt</x:v>
      </x:c>
      <x:c r="H1654" s="12" t="n">
        <x:v>2</x:v>
      </x:c>
      <x:c r="I1654" s="13" t="n">
        <x:v>4</x:v>
      </x:c>
      <x:c r="J1654" t="str">
        <x:v>A</x:v>
      </x:c>
      <x:c r="K1654" s="14" t="n">
        <x:v>51.67</x:v>
      </x:c>
      <x:c r="L1654" s="14" t="n">
        <x:v>0</x:v>
      </x:c>
      <x:c r="M1654" s="14" t="n">
        <x:v>5.73</x:v>
      </x:c>
      <x:c r="N1654" s="14"/>
      <x:c r="O1654" s="14" t="n">
        <x:v>2.4</x:v>
      </x:c>
      <x:c r="P1654" s="14"/>
      <x:c r="Q1654" s="14" t="n">
        <x:v>59.8</x:v>
      </x:c>
      <x:c r="R1654" s="15"/>
      <x:c r="S1654" s="15"/>
      <x:c r="T1654" s="15"/>
      <x:c r="U1654" s="16"/>
      <x:c r="V1654" t="str"/>
      <x:c r="W1654" t="str">
        <x:v>Ružinov</x:v>
      </x:c>
      <x:c r="X1654" s="11" t="str">
        <x:v>Rezervovaný</x:v>
      </x:c>
      <x:c r="Y1654" s="11" t="str">
        <x:v>https://slnecnastrana.sk/index.php/byt/a4-06/</x:v>
      </x:c>
      <x:c r="Z1654" s="11" t="n">
        <x:v>46249.4134212037</x:v>
      </x:c>
      <x:c r="AA1654" s="11" t="n">
        <x:v>46253.71734884259</x:v>
      </x:c>
      <x:c r="AB1654" s="11" t="n">
        <x:v>46253.71734884259</x:v>
      </x:c>
      <x:c r="AC1654" t="str">
        <x:v>slnecna_strana</x:v>
      </x:c>
    </x:row>
    <x:row r="1655" ht="22" customHeight="1">
      <x:c r="A1655" t="str">
        <x:v>Slnečná Strana</x:v>
      </x:c>
      <x:c r="B1655" t="str">
        <x:v>A4-07</x:v>
      </x:c>
      <x:c r="C1655" t="str">
        <x:v>available</x:v>
      </x:c>
      <x:c r="D1655" t="str">
        <x:v>present</x:v>
      </x:c>
      <x:c r="E1655" t="str">
        <x:v>baseline</x:v>
      </x:c>
      <x:c r="F1655" s="11" t="n">
        <x:v>46249.4134212037</x:v>
      </x:c>
      <x:c r="G1655" t="str">
        <x:v>Byt</x:v>
      </x:c>
      <x:c r="H1655" s="12" t="n">
        <x:v>2</x:v>
      </x:c>
      <x:c r="I1655" s="13" t="n">
        <x:v>4</x:v>
      </x:c>
      <x:c r="J1655" t="str">
        <x:v>A</x:v>
      </x:c>
      <x:c r="K1655" s="14" t="n">
        <x:v>58.55</x:v>
      </x:c>
      <x:c r="L1655" s="14" t="n">
        <x:v>0</x:v>
      </x:c>
      <x:c r="M1655" s="14" t="n">
        <x:v>0</x:v>
      </x:c>
      <x:c r="N1655" s="14"/>
      <x:c r="O1655" s="14" t="n">
        <x:v>2.4</x:v>
      </x:c>
      <x:c r="P1655" s="14"/>
      <x:c r="Q1655" s="14" t="n">
        <x:v>60.95</x:v>
      </x:c>
      <x:c r="R1655" s="15" t="n">
        <x:v>285139</x:v>
      </x:c>
      <x:c r="S1655" s="15" t="n">
        <x:v>285139</x:v>
      </x:c>
      <x:c r="T1655" s="15"/>
      <x:c r="U1655" s="16" t="n">
        <x:v>4870.01</x:v>
      </x:c>
      <x:c r="V1655" t="str"/>
      <x:c r="W1655" t="str">
        <x:v>Ružinov</x:v>
      </x:c>
      <x:c r="X1655" s="11" t="str">
        <x:v>Voľný</x:v>
      </x:c>
      <x:c r="Y1655" s="11" t="str">
        <x:v>https://slnecnastrana.sk/index.php/byt/a4-07/</x:v>
      </x:c>
      <x:c r="Z1655" s="11" t="n">
        <x:v>46249.4134212037</x:v>
      </x:c>
      <x:c r="AA1655" s="11" t="n">
        <x:v>46253.71734884259</x:v>
      </x:c>
      <x:c r="AB1655" s="11" t="n">
        <x:v>46253.71734884259</x:v>
      </x:c>
      <x:c r="AC1655" t="str">
        <x:v>slnecna_strana</x:v>
      </x:c>
    </x:row>
    <x:row r="1656" ht="22" customHeight="1">
      <x:c r="A1656" t="str">
        <x:v>Slnečná Strana</x:v>
      </x:c>
      <x:c r="B1656" t="str">
        <x:v>A5-01</x:v>
      </x:c>
      <x:c r="C1656" t="str">
        <x:v>available</x:v>
      </x:c>
      <x:c r="D1656" t="str">
        <x:v>present</x:v>
      </x:c>
      <x:c r="E1656" t="str">
        <x:v>baseline</x:v>
      </x:c>
      <x:c r="F1656" s="11" t="n">
        <x:v>46249.4134212037</x:v>
      </x:c>
      <x:c r="G1656" t="str">
        <x:v>Byt</x:v>
      </x:c>
      <x:c r="H1656" s="12" t="n">
        <x:v>2</x:v>
      </x:c>
      <x:c r="I1656" s="13" t="n">
        <x:v>5</x:v>
      </x:c>
      <x:c r="J1656" t="str">
        <x:v>A</x:v>
      </x:c>
      <x:c r="K1656" s="14" t="n">
        <x:v>38.93</x:v>
      </x:c>
      <x:c r="L1656" s="14" t="n">
        <x:v>4.03</x:v>
      </x:c>
      <x:c r="M1656" s="14" t="n">
        <x:v>0</x:v>
      </x:c>
      <x:c r="N1656" s="14"/>
      <x:c r="O1656" s="14" t="n">
        <x:v>2.4</x:v>
      </x:c>
      <x:c r="P1656" s="14"/>
      <x:c r="Q1656" s="14" t="n">
        <x:v>45.36</x:v>
      </x:c>
      <x:c r="R1656" s="15" t="n">
        <x:v>224903</x:v>
      </x:c>
      <x:c r="S1656" s="15" t="n">
        <x:v>261459</x:v>
      </x:c>
      <x:c r="T1656" s="15" t="n">
        <x:v>224903</x:v>
      </x:c>
      <x:c r="U1656" s="16" t="n">
        <x:v>5777.11</x:v>
      </x:c>
      <x:c r="V1656" t="str"/>
      <x:c r="W1656" t="str">
        <x:v>Ružinov</x:v>
      </x:c>
      <x:c r="X1656" s="11" t="str">
        <x:v>Voľný</x:v>
      </x:c>
      <x:c r="Y1656" s="11" t="str">
        <x:v>https://slnecnastrana.sk/index.php/byt/a5-01/</x:v>
      </x:c>
      <x:c r="Z1656" s="11" t="n">
        <x:v>46249.4134212037</x:v>
      </x:c>
      <x:c r="AA1656" s="11" t="n">
        <x:v>46253.71734884259</x:v>
      </x:c>
      <x:c r="AB1656" s="11" t="n">
        <x:v>46253.71734884259</x:v>
      </x:c>
      <x:c r="AC1656" t="str">
        <x:v>slnecna_strana</x:v>
      </x:c>
    </x:row>
    <x:row r="1657" ht="22" customHeight="1">
      <x:c r="A1657" t="str">
        <x:v>Slnečná Strana</x:v>
      </x:c>
      <x:c r="B1657" t="str">
        <x:v>A5-02</x:v>
      </x:c>
      <x:c r="C1657" t="str">
        <x:v>available</x:v>
      </x:c>
      <x:c r="D1657" t="str">
        <x:v>present</x:v>
      </x:c>
      <x:c r="E1657" t="str">
        <x:v>baseline</x:v>
      </x:c>
      <x:c r="F1657" s="11" t="n">
        <x:v>46249.4134212037</x:v>
      </x:c>
      <x:c r="G1657" t="str">
        <x:v>Byt</x:v>
      </x:c>
      <x:c r="H1657" s="12" t="n">
        <x:v>1.5</x:v>
      </x:c>
      <x:c r="I1657" s="13" t="n">
        <x:v>5</x:v>
      </x:c>
      <x:c r="J1657" t="str">
        <x:v>A</x:v>
      </x:c>
      <x:c r="K1657" s="14" t="n">
        <x:v>35.74</x:v>
      </x:c>
      <x:c r="L1657" s="14" t="n">
        <x:v>6.02</x:v>
      </x:c>
      <x:c r="M1657" s="14" t="n">
        <x:v>0</x:v>
      </x:c>
      <x:c r="N1657" s="14"/>
      <x:c r="O1657" s="14" t="n">
        <x:v>2.4</x:v>
      </x:c>
      <x:c r="P1657" s="14"/>
      <x:c r="Q1657" s="14" t="n">
        <x:v>44.16</x:v>
      </x:c>
      <x:c r="R1657" s="15" t="n">
        <x:v>212449</x:v>
      </x:c>
      <x:c r="S1657" s="15" t="n">
        <x:v>247442</x:v>
      </x:c>
      <x:c r="T1657" s="15" t="n">
        <x:v>212449</x:v>
      </x:c>
      <x:c r="U1657" s="16" t="n">
        <x:v>5944.29</x:v>
      </x:c>
      <x:c r="V1657" t="str"/>
      <x:c r="W1657" t="str">
        <x:v>Ružinov</x:v>
      </x:c>
      <x:c r="X1657" s="11" t="str">
        <x:v>Voľný</x:v>
      </x:c>
      <x:c r="Y1657" s="11" t="str">
        <x:v>https://slnecnastrana.sk/index.php/byt/a5-02/</x:v>
      </x:c>
      <x:c r="Z1657" s="11" t="n">
        <x:v>46249.4134212037</x:v>
      </x:c>
      <x:c r="AA1657" s="11" t="n">
        <x:v>46253.71734884259</x:v>
      </x:c>
      <x:c r="AB1657" s="11" t="n">
        <x:v>46253.71734884259</x:v>
      </x:c>
      <x:c r="AC1657" t="str">
        <x:v>slnecna_strana</x:v>
      </x:c>
    </x:row>
    <x:row r="1658" ht="22" customHeight="1">
      <x:c r="A1658" t="str">
        <x:v>Slnečná Strana</x:v>
      </x:c>
      <x:c r="B1658" t="str">
        <x:v>A5-03</x:v>
      </x:c>
      <x:c r="C1658" t="str">
        <x:v>available</x:v>
      </x:c>
      <x:c r="D1658" t="str">
        <x:v>present</x:v>
      </x:c>
      <x:c r="E1658" t="str">
        <x:v>baseline</x:v>
      </x:c>
      <x:c r="F1658" s="11" t="n">
        <x:v>46249.4134212037</x:v>
      </x:c>
      <x:c r="G1658" t="str">
        <x:v>Byt</x:v>
      </x:c>
      <x:c r="H1658" s="12" t="n">
        <x:v>1.5</x:v>
      </x:c>
      <x:c r="I1658" s="13" t="n">
        <x:v>5</x:v>
      </x:c>
      <x:c r="J1658" t="str">
        <x:v>A</x:v>
      </x:c>
      <x:c r="K1658" s="14" t="n">
        <x:v>37.56</x:v>
      </x:c>
      <x:c r="L1658" s="14" t="n">
        <x:v>5.85</x:v>
      </x:c>
      <x:c r="M1658" s="14" t="n">
        <x:v>0</x:v>
      </x:c>
      <x:c r="N1658" s="14"/>
      <x:c r="O1658" s="14" t="n">
        <x:v>2.4</x:v>
      </x:c>
      <x:c r="P1658" s="14"/>
      <x:c r="Q1658" s="14" t="n">
        <x:v>45.81</x:v>
      </x:c>
      <x:c r="R1658" s="15" t="n">
        <x:v>222040</x:v>
      </x:c>
      <x:c r="S1658" s="15" t="n">
        <x:v>258521</x:v>
      </x:c>
      <x:c r="T1658" s="15" t="n">
        <x:v>222040</x:v>
      </x:c>
      <x:c r="U1658" s="16" t="n">
        <x:v>5911.61</x:v>
      </x:c>
      <x:c r="V1658" t="str"/>
      <x:c r="W1658" t="str">
        <x:v>Ružinov</x:v>
      </x:c>
      <x:c r="X1658" s="11" t="str">
        <x:v>Voľný</x:v>
      </x:c>
      <x:c r="Y1658" s="11" t="str">
        <x:v>https://slnecnastrana.sk/index.php/byt/a5-03/</x:v>
      </x:c>
      <x:c r="Z1658" s="11" t="n">
        <x:v>46249.4134212037</x:v>
      </x:c>
      <x:c r="AA1658" s="11" t="n">
        <x:v>46253.71734884259</x:v>
      </x:c>
      <x:c r="AB1658" s="11" t="n">
        <x:v>46253.71734884259</x:v>
      </x:c>
      <x:c r="AC1658" t="str">
        <x:v>slnecna_strana</x:v>
      </x:c>
    </x:row>
    <x:row r="1659" ht="22" customHeight="1">
      <x:c r="A1659" t="str">
        <x:v>Slnečná Strana</x:v>
      </x:c>
      <x:c r="B1659" t="str">
        <x:v>A5-04</x:v>
      </x:c>
      <x:c r="C1659" t="str">
        <x:v>available</x:v>
      </x:c>
      <x:c r="D1659" t="str">
        <x:v>present</x:v>
      </x:c>
      <x:c r="E1659" t="str">
        <x:v>baseline</x:v>
      </x:c>
      <x:c r="F1659" s="11" t="n">
        <x:v>46249.4134212037</x:v>
      </x:c>
      <x:c r="G1659" t="str">
        <x:v>Byt</x:v>
      </x:c>
      <x:c r="H1659" s="12" t="n">
        <x:v>2</x:v>
      </x:c>
      <x:c r="I1659" s="13" t="n">
        <x:v>5</x:v>
      </x:c>
      <x:c r="J1659" t="str">
        <x:v>A</x:v>
      </x:c>
      <x:c r="K1659" s="14" t="n">
        <x:v>60.74</x:v>
      </x:c>
      <x:c r="L1659" s="14" t="n">
        <x:v>3.55</x:v>
      </x:c>
      <x:c r="M1659" s="14" t="n">
        <x:v>0</x:v>
      </x:c>
      <x:c r="N1659" s="14"/>
      <x:c r="O1659" s="14" t="n">
        <x:v>2.4</x:v>
      </x:c>
      <x:c r="P1659" s="14"/>
      <x:c r="Q1659" s="14" t="n">
        <x:v>66.69</x:v>
      </x:c>
      <x:c r="R1659" s="15" t="n">
        <x:v>324459</x:v>
      </x:c>
      <x:c r="S1659" s="15" t="n">
        <x:v>376310</x:v>
      </x:c>
      <x:c r="T1659" s="15" t="n">
        <x:v>324459</x:v>
      </x:c>
      <x:c r="U1659" s="16" t="n">
        <x:v>5341.77</x:v>
      </x:c>
      <x:c r="V1659" t="str"/>
      <x:c r="W1659" t="str">
        <x:v>Ružinov</x:v>
      </x:c>
      <x:c r="X1659" s="11" t="str">
        <x:v>Voľný</x:v>
      </x:c>
      <x:c r="Y1659" s="11" t="str">
        <x:v>https://slnecnastrana.sk/index.php/byt/a5-04/</x:v>
      </x:c>
      <x:c r="Z1659" s="11" t="n">
        <x:v>46249.4134212037</x:v>
      </x:c>
      <x:c r="AA1659" s="11" t="n">
        <x:v>46253.71734884259</x:v>
      </x:c>
      <x:c r="AB1659" s="11" t="n">
        <x:v>46253.71734884259</x:v>
      </x:c>
      <x:c r="AC1659" t="str">
        <x:v>slnecna_strana</x:v>
      </x:c>
    </x:row>
    <x:row r="1660" ht="22" customHeight="1">
      <x:c r="A1660" t="str">
        <x:v>Slnečná Strana</x:v>
      </x:c>
      <x:c r="B1660" t="str">
        <x:v>A5-05</x:v>
      </x:c>
      <x:c r="C1660" t="str">
        <x:v>available</x:v>
      </x:c>
      <x:c r="D1660" t="str">
        <x:v>present</x:v>
      </x:c>
      <x:c r="E1660" t="str">
        <x:v>baseline</x:v>
      </x:c>
      <x:c r="F1660" s="11" t="n">
        <x:v>46249.4134212037</x:v>
      </x:c>
      <x:c r="G1660" t="str">
        <x:v>Byt</x:v>
      </x:c>
      <x:c r="H1660" s="12" t="n">
        <x:v>2</x:v>
      </x:c>
      <x:c r="I1660" s="13" t="n">
        <x:v>5</x:v>
      </x:c>
      <x:c r="J1660" t="str">
        <x:v>A</x:v>
      </x:c>
      <x:c r="K1660" s="14" t="n">
        <x:v>54.19</x:v>
      </x:c>
      <x:c r="L1660" s="14" t="n">
        <x:v>0</x:v>
      </x:c>
      <x:c r="M1660" s="14" t="n">
        <x:v>4.69</x:v>
      </x:c>
      <x:c r="N1660" s="14"/>
      <x:c r="O1660" s="14" t="n">
        <x:v>2.4</x:v>
      </x:c>
      <x:c r="P1660" s="14"/>
      <x:c r="Q1660" s="14" t="n">
        <x:v>61.28</x:v>
      </x:c>
      <x:c r="R1660" s="15" t="n">
        <x:v>291716</x:v>
      </x:c>
      <x:c r="S1660" s="15" t="n">
        <x:v>338309</x:v>
      </x:c>
      <x:c r="T1660" s="15" t="n">
        <x:v>291716</x:v>
      </x:c>
      <x:c r="U1660" s="16" t="n">
        <x:v>5383.21</x:v>
      </x:c>
      <x:c r="V1660" t="str"/>
      <x:c r="W1660" t="str">
        <x:v>Ružinov</x:v>
      </x:c>
      <x:c r="X1660" s="11" t="str">
        <x:v>Voľný</x:v>
      </x:c>
      <x:c r="Y1660" s="11" t="str">
        <x:v>https://slnecnastrana.sk/index.php/byt/a5-05/</x:v>
      </x:c>
      <x:c r="Z1660" s="11" t="n">
        <x:v>46249.4134212037</x:v>
      </x:c>
      <x:c r="AA1660" s="11" t="n">
        <x:v>46253.71734884259</x:v>
      </x:c>
      <x:c r="AB1660" s="11" t="n">
        <x:v>46253.71734884259</x:v>
      </x:c>
      <x:c r="AC1660" t="str">
        <x:v>slnecna_strana</x:v>
      </x:c>
    </x:row>
    <x:row r="1661" ht="22" customHeight="1">
      <x:c r="A1661" t="str">
        <x:v>Slnečná Strana</x:v>
      </x:c>
      <x:c r="B1661" t="str">
        <x:v>A5-06</x:v>
      </x:c>
      <x:c r="C1661" t="str">
        <x:v>available</x:v>
      </x:c>
      <x:c r="D1661" t="str">
        <x:v>present</x:v>
      </x:c>
      <x:c r="E1661" t="str">
        <x:v>baseline</x:v>
      </x:c>
      <x:c r="F1661" s="11" t="n">
        <x:v>46249.4134212037</x:v>
      </x:c>
      <x:c r="G1661" t="str">
        <x:v>Byt</x:v>
      </x:c>
      <x:c r="H1661" s="12" t="n">
        <x:v>2</x:v>
      </x:c>
      <x:c r="I1661" s="13" t="n">
        <x:v>5</x:v>
      </x:c>
      <x:c r="J1661" t="str">
        <x:v>A</x:v>
      </x:c>
      <x:c r="K1661" s="14" t="n">
        <x:v>51.67</x:v>
      </x:c>
      <x:c r="L1661" s="14" t="n">
        <x:v>0</x:v>
      </x:c>
      <x:c r="M1661" s="14" t="n">
        <x:v>5.73</x:v>
      </x:c>
      <x:c r="N1661" s="14"/>
      <x:c r="O1661" s="14" t="n">
        <x:v>2.4</x:v>
      </x:c>
      <x:c r="P1661" s="14"/>
      <x:c r="Q1661" s="14" t="n">
        <x:v>59.8</x:v>
      </x:c>
      <x:c r="R1661" s="15" t="n">
        <x:v>283037</x:v>
      </x:c>
      <x:c r="S1661" s="15" t="n">
        <x:v>283037</x:v>
      </x:c>
      <x:c r="T1661" s="15"/>
      <x:c r="U1661" s="16" t="n">
        <x:v>5477.78</x:v>
      </x:c>
      <x:c r="V1661" t="str"/>
      <x:c r="W1661" t="str">
        <x:v>Ružinov</x:v>
      </x:c>
      <x:c r="X1661" s="11" t="str">
        <x:v>Voľný</x:v>
      </x:c>
      <x:c r="Y1661" s="11" t="str">
        <x:v>https://slnecnastrana.sk/index.php/byt/a5-06/</x:v>
      </x:c>
      <x:c r="Z1661" s="11" t="n">
        <x:v>46249.4134212037</x:v>
      </x:c>
      <x:c r="AA1661" s="11" t="n">
        <x:v>46253.71734884259</x:v>
      </x:c>
      <x:c r="AB1661" s="11" t="n">
        <x:v>46253.71734884259</x:v>
      </x:c>
      <x:c r="AC1661" t="str">
        <x:v>slnecna_strana</x:v>
      </x:c>
    </x:row>
    <x:row r="1662" ht="22" customHeight="1">
      <x:c r="A1662" t="str">
        <x:v>Slnečná Strana</x:v>
      </x:c>
      <x:c r="B1662" t="str">
        <x:v>A5-07</x:v>
      </x:c>
      <x:c r="C1662" t="str">
        <x:v>available</x:v>
      </x:c>
      <x:c r="D1662" t="str">
        <x:v>present</x:v>
      </x:c>
      <x:c r="E1662" t="str">
        <x:v>baseline</x:v>
      </x:c>
      <x:c r="F1662" s="11" t="n">
        <x:v>46249.4134212037</x:v>
      </x:c>
      <x:c r="G1662" t="str">
        <x:v>Byt</x:v>
      </x:c>
      <x:c r="H1662" s="12" t="n">
        <x:v>2</x:v>
      </x:c>
      <x:c r="I1662" s="13" t="n">
        <x:v>5</x:v>
      </x:c>
      <x:c r="J1662" t="str">
        <x:v>A</x:v>
      </x:c>
      <x:c r="K1662" s="14" t="n">
        <x:v>58.55</x:v>
      </x:c>
      <x:c r="L1662" s="14" t="n">
        <x:v>0</x:v>
      </x:c>
      <x:c r="M1662" s="14" t="n">
        <x:v>0</x:v>
      </x:c>
      <x:c r="N1662" s="14"/>
      <x:c r="O1662" s="14" t="n">
        <x:v>2.4</x:v>
      </x:c>
      <x:c r="P1662" s="14"/>
      <x:c r="Q1662" s="14" t="n">
        <x:v>60.95</x:v>
      </x:c>
      <x:c r="R1662" s="15" t="n">
        <x:v>303345</x:v>
      </x:c>
      <x:c r="S1662" s="15" t="n">
        <x:v>351750</x:v>
      </x:c>
      <x:c r="T1662" s="15" t="n">
        <x:v>303345</x:v>
      </x:c>
      <x:c r="U1662" s="16" t="n">
        <x:v>5180.96</x:v>
      </x:c>
      <x:c r="V1662" t="str"/>
      <x:c r="W1662" t="str">
        <x:v>Ružinov</x:v>
      </x:c>
      <x:c r="X1662" s="11" t="str">
        <x:v>Voľný</x:v>
      </x:c>
      <x:c r="Y1662" s="11" t="str">
        <x:v>https://slnecnastrana.sk/index.php/byt/a5-07/</x:v>
      </x:c>
      <x:c r="Z1662" s="11" t="n">
        <x:v>46249.4134212037</x:v>
      </x:c>
      <x:c r="AA1662" s="11" t="n">
        <x:v>46253.71734884259</x:v>
      </x:c>
      <x:c r="AB1662" s="11" t="n">
        <x:v>46253.71734884259</x:v>
      </x:c>
      <x:c r="AC1662" t="str">
        <x:v>slnecna_strana</x:v>
      </x:c>
    </x:row>
    <x:row r="1663" ht="22" customHeight="1">
      <x:c r="A1663" t="str">
        <x:v>Slnečná Strana</x:v>
      </x:c>
      <x:c r="B1663" t="str">
        <x:v>A6-01</x:v>
      </x:c>
      <x:c r="C1663" t="str">
        <x:v>available</x:v>
      </x:c>
      <x:c r="D1663" t="str">
        <x:v>present</x:v>
      </x:c>
      <x:c r="E1663" t="str">
        <x:v>baseline</x:v>
      </x:c>
      <x:c r="F1663" s="11" t="n">
        <x:v>46249.4134212037</x:v>
      </x:c>
      <x:c r="G1663" t="str">
        <x:v>Byt</x:v>
      </x:c>
      <x:c r="H1663" s="12" t="n">
        <x:v>2</x:v>
      </x:c>
      <x:c r="I1663" s="13" t="n">
        <x:v>6</x:v>
      </x:c>
      <x:c r="J1663" t="str">
        <x:v>A</x:v>
      </x:c>
      <x:c r="K1663" s="14" t="n">
        <x:v>38.93</x:v>
      </x:c>
      <x:c r="L1663" s="14" t="n">
        <x:v>4.03</x:v>
      </x:c>
      <x:c r="M1663" s="14" t="n">
        <x:v>0</x:v>
      </x:c>
      <x:c r="N1663" s="14"/>
      <x:c r="O1663" s="14" t="n">
        <x:v>2.4</x:v>
      </x:c>
      <x:c r="P1663" s="14"/>
      <x:c r="Q1663" s="14" t="n">
        <x:v>45.36</x:v>
      </x:c>
      <x:c r="R1663" s="15" t="n">
        <x:v>226707</x:v>
      </x:c>
      <x:c r="S1663" s="15" t="n">
        <x:v>263635</x:v>
      </x:c>
      <x:c r="T1663" s="15" t="n">
        <x:v>226707</x:v>
      </x:c>
      <x:c r="U1663" s="16" t="n">
        <x:v>5823.45</x:v>
      </x:c>
      <x:c r="V1663" t="str"/>
      <x:c r="W1663" t="str">
        <x:v>Ružinov</x:v>
      </x:c>
      <x:c r="X1663" s="11" t="str">
        <x:v>Voľný</x:v>
      </x:c>
      <x:c r="Y1663" s="11" t="str">
        <x:v>https://slnecnastrana.sk/index.php/byt/a6-01/</x:v>
      </x:c>
      <x:c r="Z1663" s="11" t="n">
        <x:v>46249.4134212037</x:v>
      </x:c>
      <x:c r="AA1663" s="11" t="n">
        <x:v>46253.71734884259</x:v>
      </x:c>
      <x:c r="AB1663" s="11" t="n">
        <x:v>46253.71734884259</x:v>
      </x:c>
      <x:c r="AC1663" t="str">
        <x:v>slnecna_strana</x:v>
      </x:c>
    </x:row>
    <x:row r="1664" ht="22" customHeight="1">
      <x:c r="A1664" t="str">
        <x:v>Slnečná Strana</x:v>
      </x:c>
      <x:c r="B1664" t="str">
        <x:v>A6-02</x:v>
      </x:c>
      <x:c r="C1664" t="str">
        <x:v>available</x:v>
      </x:c>
      <x:c r="D1664" t="str">
        <x:v>present</x:v>
      </x:c>
      <x:c r="E1664" t="str">
        <x:v>baseline</x:v>
      </x:c>
      <x:c r="F1664" s="11" t="n">
        <x:v>46249.4134212037</x:v>
      </x:c>
      <x:c r="G1664" t="str">
        <x:v>Byt</x:v>
      </x:c>
      <x:c r="H1664" s="12" t="n">
        <x:v>1.5</x:v>
      </x:c>
      <x:c r="I1664" s="13" t="n">
        <x:v>6</x:v>
      </x:c>
      <x:c r="J1664" t="str">
        <x:v>A</x:v>
      </x:c>
      <x:c r="K1664" s="14" t="n">
        <x:v>35.74</x:v>
      </x:c>
      <x:c r="L1664" s="14" t="n">
        <x:v>6.02</x:v>
      </x:c>
      <x:c r="M1664" s="14" t="n">
        <x:v>0</x:v>
      </x:c>
      <x:c r="N1664" s="14"/>
      <x:c r="O1664" s="14" t="n">
        <x:v>2.4</x:v>
      </x:c>
      <x:c r="P1664" s="14"/>
      <x:c r="Q1664" s="14" t="n">
        <x:v>44.16</x:v>
      </x:c>
      <x:c r="R1664" s="15" t="n">
        <x:v>214105</x:v>
      </x:c>
      <x:c r="S1664" s="15" t="n">
        <x:v>249501</x:v>
      </x:c>
      <x:c r="T1664" s="15" t="n">
        <x:v>214105</x:v>
      </x:c>
      <x:c r="U1664" s="16" t="n">
        <x:v>5990.63</x:v>
      </x:c>
      <x:c r="V1664" t="str"/>
      <x:c r="W1664" t="str">
        <x:v>Ružinov</x:v>
      </x:c>
      <x:c r="X1664" s="11" t="str">
        <x:v>Voľný</x:v>
      </x:c>
      <x:c r="Y1664" s="11" t="str">
        <x:v>https://slnecnastrana.sk/index.php/byt/a6-02/</x:v>
      </x:c>
      <x:c r="Z1664" s="11" t="n">
        <x:v>46249.4134212037</x:v>
      </x:c>
      <x:c r="AA1664" s="11" t="n">
        <x:v>46253.71734884259</x:v>
      </x:c>
      <x:c r="AB1664" s="11" t="n">
        <x:v>46253.71734884259</x:v>
      </x:c>
      <x:c r="AC1664" t="str">
        <x:v>slnecna_strana</x:v>
      </x:c>
    </x:row>
    <x:row r="1665" ht="22" customHeight="1">
      <x:c r="A1665" t="str">
        <x:v>Slnečná Strana</x:v>
      </x:c>
      <x:c r="B1665" t="str">
        <x:v>A6-03</x:v>
      </x:c>
      <x:c r="C1665" t="str">
        <x:v>available</x:v>
      </x:c>
      <x:c r="D1665" t="str">
        <x:v>present</x:v>
      </x:c>
      <x:c r="E1665" t="str">
        <x:v>baseline</x:v>
      </x:c>
      <x:c r="F1665" s="11" t="n">
        <x:v>46249.4134212037</x:v>
      </x:c>
      <x:c r="G1665" t="str">
        <x:v>Byt</x:v>
      </x:c>
      <x:c r="H1665" s="12" t="n">
        <x:v>1.5</x:v>
      </x:c>
      <x:c r="I1665" s="13" t="n">
        <x:v>6</x:v>
      </x:c>
      <x:c r="J1665" t="str">
        <x:v>A</x:v>
      </x:c>
      <x:c r="K1665" s="14" t="n">
        <x:v>37.56</x:v>
      </x:c>
      <x:c r="L1665" s="14" t="n">
        <x:v>5.85</x:v>
      </x:c>
      <x:c r="M1665" s="14" t="n">
        <x:v>0</x:v>
      </x:c>
      <x:c r="N1665" s="14"/>
      <x:c r="O1665" s="14" t="n">
        <x:v>2.4</x:v>
      </x:c>
      <x:c r="P1665" s="14"/>
      <x:c r="Q1665" s="14" t="n">
        <x:v>45.81</x:v>
      </x:c>
      <x:c r="R1665" s="15" t="n">
        <x:v>223781</x:v>
      </x:c>
      <x:c r="S1665" s="15" t="n">
        <x:v>260672</x:v>
      </x:c>
      <x:c r="T1665" s="15" t="n">
        <x:v>223781</x:v>
      </x:c>
      <x:c r="U1665" s="16" t="n">
        <x:v>5957.96</x:v>
      </x:c>
      <x:c r="V1665" t="str"/>
      <x:c r="W1665" t="str">
        <x:v>Ružinov</x:v>
      </x:c>
      <x:c r="X1665" s="11" t="str">
        <x:v>Voľný</x:v>
      </x:c>
      <x:c r="Y1665" s="11" t="str">
        <x:v>https://slnecnastrana.sk/index.php/byt/a6-03/</x:v>
      </x:c>
      <x:c r="Z1665" s="11" t="n">
        <x:v>46249.4134212037</x:v>
      </x:c>
      <x:c r="AA1665" s="11" t="n">
        <x:v>46253.71734884259</x:v>
      </x:c>
      <x:c r="AB1665" s="11" t="n">
        <x:v>46253.71734884259</x:v>
      </x:c>
      <x:c r="AC1665" t="str">
        <x:v>slnecna_strana</x:v>
      </x:c>
    </x:row>
    <x:row r="1666" ht="22" customHeight="1">
      <x:c r="A1666" t="str">
        <x:v>Slnečná Strana</x:v>
      </x:c>
      <x:c r="B1666" t="str">
        <x:v>A6-04</x:v>
      </x:c>
      <x:c r="C1666" t="str">
        <x:v>available</x:v>
      </x:c>
      <x:c r="D1666" t="str">
        <x:v>present</x:v>
      </x:c>
      <x:c r="E1666" t="str">
        <x:v>baseline</x:v>
      </x:c>
      <x:c r="F1666" s="11" t="n">
        <x:v>46249.4134212037</x:v>
      </x:c>
      <x:c r="G1666" t="str">
        <x:v>Byt</x:v>
      </x:c>
      <x:c r="H1666" s="12" t="n">
        <x:v>2</x:v>
      </x:c>
      <x:c r="I1666" s="13" t="n">
        <x:v>6</x:v>
      </x:c>
      <x:c r="J1666" t="str">
        <x:v>A</x:v>
      </x:c>
      <x:c r="K1666" s="14" t="n">
        <x:v>60.74</x:v>
      </x:c>
      <x:c r="L1666" s="14" t="n">
        <x:v>3.55</x:v>
      </x:c>
      <x:c r="M1666" s="14" t="n">
        <x:v>0</x:v>
      </x:c>
      <x:c r="N1666" s="14"/>
      <x:c r="O1666" s="14" t="n">
        <x:v>2.4</x:v>
      </x:c>
      <x:c r="P1666" s="14"/>
      <x:c r="Q1666" s="14" t="n">
        <x:v>66.69</x:v>
      </x:c>
      <x:c r="R1666" s="15" t="n">
        <x:v>333843</x:v>
      </x:c>
      <x:c r="S1666" s="15" t="n">
        <x:v>387383</x:v>
      </x:c>
      <x:c r="T1666" s="15" t="n">
        <x:v>333843</x:v>
      </x:c>
      <x:c r="U1666" s="16" t="n">
        <x:v>5496.26</x:v>
      </x:c>
      <x:c r="V1666" t="str"/>
      <x:c r="W1666" t="str">
        <x:v>Ružinov</x:v>
      </x:c>
      <x:c r="X1666" s="11" t="str">
        <x:v>Voľný</x:v>
      </x:c>
      <x:c r="Y1666" s="11" t="str">
        <x:v>https://slnecnastrana.sk/index.php/byt/a6-04/</x:v>
      </x:c>
      <x:c r="Z1666" s="11" t="n">
        <x:v>46249.4134212037</x:v>
      </x:c>
      <x:c r="AA1666" s="11" t="n">
        <x:v>46253.71734884259</x:v>
      </x:c>
      <x:c r="AB1666" s="11" t="n">
        <x:v>46253.71734884259</x:v>
      </x:c>
      <x:c r="AC1666" t="str">
        <x:v>slnecna_strana</x:v>
      </x:c>
    </x:row>
    <x:row r="1667" ht="22" customHeight="1">
      <x:c r="A1667" t="str">
        <x:v>Slnečná Strana</x:v>
      </x:c>
      <x:c r="B1667" t="str">
        <x:v>A6-05</x:v>
      </x:c>
      <x:c r="C1667" t="str">
        <x:v>available</x:v>
      </x:c>
      <x:c r="D1667" t="str">
        <x:v>present</x:v>
      </x:c>
      <x:c r="E1667" t="str">
        <x:v>baseline</x:v>
      </x:c>
      <x:c r="F1667" s="11" t="n">
        <x:v>46249.4134212037</x:v>
      </x:c>
      <x:c r="G1667" t="str">
        <x:v>Byt</x:v>
      </x:c>
      <x:c r="H1667" s="12" t="n">
        <x:v>2</x:v>
      </x:c>
      <x:c r="I1667" s="13" t="n">
        <x:v>6</x:v>
      </x:c>
      <x:c r="J1667" t="str">
        <x:v>A</x:v>
      </x:c>
      <x:c r="K1667" s="14" t="n">
        <x:v>54.19</x:v>
      </x:c>
      <x:c r="L1667" s="14" t="n">
        <x:v>0</x:v>
      </x:c>
      <x:c r="M1667" s="14" t="n">
        <x:v>4.69</x:v>
      </x:c>
      <x:c r="N1667" s="14"/>
      <x:c r="O1667" s="14" t="n">
        <x:v>2.4</x:v>
      </x:c>
      <x:c r="P1667" s="14"/>
      <x:c r="Q1667" s="14" t="n">
        <x:v>61.28</x:v>
      </x:c>
      <x:c r="R1667" s="15" t="n">
        <x:v>301763</x:v>
      </x:c>
      <x:c r="S1667" s="15" t="n">
        <x:v>350328</x:v>
      </x:c>
      <x:c r="T1667" s="15" t="n">
        <x:v>301763</x:v>
      </x:c>
      <x:c r="U1667" s="16" t="n">
        <x:v>5568.61</x:v>
      </x:c>
      <x:c r="V1667" t="str"/>
      <x:c r="W1667" t="str">
        <x:v>Ružinov</x:v>
      </x:c>
      <x:c r="X1667" s="11" t="str">
        <x:v>Voľný</x:v>
      </x:c>
      <x:c r="Y1667" s="11" t="str">
        <x:v>https://slnecnastrana.sk/index.php/byt/a6-05/</x:v>
      </x:c>
      <x:c r="Z1667" s="11" t="n">
        <x:v>46249.4134212037</x:v>
      </x:c>
      <x:c r="AA1667" s="11" t="n">
        <x:v>46253.71734884259</x:v>
      </x:c>
      <x:c r="AB1667" s="11" t="n">
        <x:v>46253.71734884259</x:v>
      </x:c>
      <x:c r="AC1667" t="str">
        <x:v>slnecna_strana</x:v>
      </x:c>
    </x:row>
    <x:row r="1668" ht="22" customHeight="1">
      <x:c r="A1668" t="str">
        <x:v>Slnečná Strana</x:v>
      </x:c>
      <x:c r="B1668" t="str">
        <x:v>A6-06</x:v>
      </x:c>
      <x:c r="C1668" t="str">
        <x:v>available</x:v>
      </x:c>
      <x:c r="D1668" t="str">
        <x:v>present</x:v>
      </x:c>
      <x:c r="E1668" t="str">
        <x:v>baseline</x:v>
      </x:c>
      <x:c r="F1668" s="11" t="n">
        <x:v>46249.4134212037</x:v>
      </x:c>
      <x:c r="G1668" t="str">
        <x:v>Byt</x:v>
      </x:c>
      <x:c r="H1668" s="12" t="n">
        <x:v>2</x:v>
      </x:c>
      <x:c r="I1668" s="13" t="n">
        <x:v>6</x:v>
      </x:c>
      <x:c r="J1668" t="str">
        <x:v>A</x:v>
      </x:c>
      <x:c r="K1668" s="14" t="n">
        <x:v>51.67</x:v>
      </x:c>
      <x:c r="L1668" s="14" t="n">
        <x:v>0</x:v>
      </x:c>
      <x:c r="M1668" s="14" t="n">
        <x:v>5.73</x:v>
      </x:c>
      <x:c r="N1668" s="14"/>
      <x:c r="O1668" s="14" t="n">
        <x:v>2.4</x:v>
      </x:c>
      <x:c r="P1668" s="14"/>
      <x:c r="Q1668" s="14" t="n">
        <x:v>59.8</x:v>
      </x:c>
      <x:c r="R1668" s="15" t="n">
        <x:v>291108</x:v>
      </x:c>
      <x:c r="S1668" s="15" t="n">
        <x:v>291108</x:v>
      </x:c>
      <x:c r="T1668" s="15"/>
      <x:c r="U1668" s="16" t="n">
        <x:v>5633.98</x:v>
      </x:c>
      <x:c r="V1668" t="str"/>
      <x:c r="W1668" t="str">
        <x:v>Ružinov</x:v>
      </x:c>
      <x:c r="X1668" s="11" t="str">
        <x:v>Voľný</x:v>
      </x:c>
      <x:c r="Y1668" s="11" t="str">
        <x:v>https://slnecnastrana.sk/index.php/byt/a6-06/</x:v>
      </x:c>
      <x:c r="Z1668" s="11" t="n">
        <x:v>46249.4134212037</x:v>
      </x:c>
      <x:c r="AA1668" s="11" t="n">
        <x:v>46253.71734884259</x:v>
      </x:c>
      <x:c r="AB1668" s="11" t="n">
        <x:v>46253.71734884259</x:v>
      </x:c>
      <x:c r="AC1668" t="str">
        <x:v>slnecna_strana</x:v>
      </x:c>
    </x:row>
    <x:row r="1669" ht="22" customHeight="1">
      <x:c r="A1669" t="str">
        <x:v>Slnečná Strana</x:v>
      </x:c>
      <x:c r="B1669" t="str">
        <x:v>A6-07</x:v>
      </x:c>
      <x:c r="C1669" t="str">
        <x:v>available</x:v>
      </x:c>
      <x:c r="D1669" t="str">
        <x:v>present</x:v>
      </x:c>
      <x:c r="E1669" t="str">
        <x:v>baseline</x:v>
      </x:c>
      <x:c r="F1669" s="11" t="n">
        <x:v>46249.4134212037</x:v>
      </x:c>
      <x:c r="G1669" t="str">
        <x:v>Byt</x:v>
      </x:c>
      <x:c r="H1669" s="12" t="n">
        <x:v>2</x:v>
      </x:c>
      <x:c r="I1669" s="13" t="n">
        <x:v>7</x:v>
      </x:c>
      <x:c r="J1669" t="str">
        <x:v>A</x:v>
      </x:c>
      <x:c r="K1669" s="14" t="n">
        <x:v>58.55</x:v>
      </x:c>
      <x:c r="L1669" s="14" t="n">
        <x:v>0</x:v>
      </x:c>
      <x:c r="M1669" s="14" t="n">
        <x:v>5.4</x:v>
      </x:c>
      <x:c r="N1669" s="14"/>
      <x:c r="O1669" s="14" t="n">
        <x:v>2.4</x:v>
      </x:c>
      <x:c r="P1669" s="14"/>
      <x:c r="Q1669" s="14" t="n">
        <x:v>66.35</x:v>
      </x:c>
      <x:c r="R1669" s="15" t="n">
        <x:v>326900</x:v>
      </x:c>
      <x:c r="S1669" s="15" t="n">
        <x:v>379545</x:v>
      </x:c>
      <x:c r="T1669" s="15" t="n">
        <x:v>326900</x:v>
      </x:c>
      <x:c r="U1669" s="16" t="n">
        <x:v>5583.26</x:v>
      </x:c>
      <x:c r="V1669" t="str"/>
      <x:c r="W1669" t="str">
        <x:v>Ružinov</x:v>
      </x:c>
      <x:c r="X1669" s="11" t="str">
        <x:v>Voľný</x:v>
      </x:c>
      <x:c r="Y1669" s="11" t="str">
        <x:v>https://slnecnastrana.sk/index.php/byt/a6-07/</x:v>
      </x:c>
      <x:c r="Z1669" s="11" t="n">
        <x:v>46249.4134212037</x:v>
      </x:c>
      <x:c r="AA1669" s="11" t="n">
        <x:v>46253.71734884259</x:v>
      </x:c>
      <x:c r="AB1669" s="11" t="n">
        <x:v>46253.71734884259</x:v>
      </x:c>
      <x:c r="AC1669" t="str">
        <x:v>slnecna_strana</x:v>
      </x:c>
    </x:row>
    <x:row r="1670" ht="22" customHeight="1">
      <x:c r="A1670" t="str">
        <x:v>Slnečná Strana</x:v>
      </x:c>
      <x:c r="B1670" t="str">
        <x:v>A7-01</x:v>
      </x:c>
      <x:c r="C1670" t="str">
        <x:v>reserved</x:v>
      </x:c>
      <x:c r="D1670" t="str">
        <x:v>present</x:v>
      </x:c>
      <x:c r="E1670" t="str">
        <x:v>baseline</x:v>
      </x:c>
      <x:c r="F1670" s="11" t="n">
        <x:v>46249.4134212037</x:v>
      </x:c>
      <x:c r="G1670" t="str">
        <x:v>Byt</x:v>
      </x:c>
      <x:c r="H1670" s="12" t="n">
        <x:v>2</x:v>
      </x:c>
      <x:c r="I1670" s="13" t="n">
        <x:v>7</x:v>
      </x:c>
      <x:c r="J1670" t="str">
        <x:v>A</x:v>
      </x:c>
      <x:c r="K1670" s="14" t="n">
        <x:v>38.93</x:v>
      </x:c>
      <x:c r="L1670" s="14" t="n">
        <x:v>4.03</x:v>
      </x:c>
      <x:c r="M1670" s="14" t="n">
        <x:v>0</x:v>
      </x:c>
      <x:c r="N1670" s="14"/>
      <x:c r="O1670" s="14" t="n">
        <x:v>2.4</x:v>
      </x:c>
      <x:c r="P1670" s="14"/>
      <x:c r="Q1670" s="14" t="n">
        <x:v>45.36</x:v>
      </x:c>
      <x:c r="R1670" s="15"/>
      <x:c r="S1670" s="15"/>
      <x:c r="T1670" s="15"/>
      <x:c r="U1670" s="16"/>
      <x:c r="V1670" t="str"/>
      <x:c r="W1670" t="str">
        <x:v>Ružinov</x:v>
      </x:c>
      <x:c r="X1670" s="11" t="str">
        <x:v>Rezervovaný</x:v>
      </x:c>
      <x:c r="Y1670" s="11" t="str">
        <x:v>https://slnecnastrana.sk/index.php/byt/a7-01/</x:v>
      </x:c>
      <x:c r="Z1670" s="11" t="n">
        <x:v>46249.4134212037</x:v>
      </x:c>
      <x:c r="AA1670" s="11" t="n">
        <x:v>46253.71734884259</x:v>
      </x:c>
      <x:c r="AB1670" s="11" t="n">
        <x:v>46253.71734884259</x:v>
      </x:c>
      <x:c r="AC1670" t="str">
        <x:v>slnecna_strana</x:v>
      </x:c>
    </x:row>
    <x:row r="1671" ht="22" customHeight="1">
      <x:c r="A1671" t="str">
        <x:v>Slnečná Strana</x:v>
      </x:c>
      <x:c r="B1671" t="str">
        <x:v>A7-02</x:v>
      </x:c>
      <x:c r="C1671" t="str">
        <x:v>available</x:v>
      </x:c>
      <x:c r="D1671" t="str">
        <x:v>present</x:v>
      </x:c>
      <x:c r="E1671" t="str">
        <x:v>baseline</x:v>
      </x:c>
      <x:c r="F1671" s="11" t="n">
        <x:v>46249.4134212037</x:v>
      </x:c>
      <x:c r="G1671" t="str">
        <x:v>Byt</x:v>
      </x:c>
      <x:c r="H1671" s="12" t="n">
        <x:v>1.5</x:v>
      </x:c>
      <x:c r="I1671" s="13" t="n">
        <x:v>7</x:v>
      </x:c>
      <x:c r="J1671" t="str">
        <x:v>A</x:v>
      </x:c>
      <x:c r="K1671" s="14" t="n">
        <x:v>35.74</x:v>
      </x:c>
      <x:c r="L1671" s="14" t="n">
        <x:v>6.02</x:v>
      </x:c>
      <x:c r="M1671" s="14" t="n">
        <x:v>0</x:v>
      </x:c>
      <x:c r="N1671" s="14"/>
      <x:c r="O1671" s="14" t="n">
        <x:v>2.4</x:v>
      </x:c>
      <x:c r="P1671" s="14"/>
      <x:c r="Q1671" s="14" t="n">
        <x:v>44.16</x:v>
      </x:c>
      <x:c r="R1671" s="15" t="n">
        <x:v>217786</x:v>
      </x:c>
      <x:c r="S1671" s="15" t="n">
        <x:v>254077</x:v>
      </x:c>
      <x:c r="T1671" s="15" t="n">
        <x:v>217786</x:v>
      </x:c>
      <x:c r="U1671" s="16" t="n">
        <x:v>6093.62</x:v>
      </x:c>
      <x:c r="V1671" t="str"/>
      <x:c r="W1671" t="str">
        <x:v>Ružinov</x:v>
      </x:c>
      <x:c r="X1671" s="11" t="str">
        <x:v>Voľný</x:v>
      </x:c>
      <x:c r="Y1671" s="11" t="str">
        <x:v>https://slnecnastrana.sk/index.php/byt/a7-02/</x:v>
      </x:c>
      <x:c r="Z1671" s="11" t="n">
        <x:v>46249.4134212037</x:v>
      </x:c>
      <x:c r="AA1671" s="11" t="n">
        <x:v>46253.71734884259</x:v>
      </x:c>
      <x:c r="AB1671" s="11" t="n">
        <x:v>46253.71734884259</x:v>
      </x:c>
      <x:c r="AC1671" t="str">
        <x:v>slnecna_strana</x:v>
      </x:c>
    </x:row>
    <x:row r="1672" ht="22" customHeight="1">
      <x:c r="A1672" t="str">
        <x:v>Slnečná Strana</x:v>
      </x:c>
      <x:c r="B1672" t="str">
        <x:v>A7-03</x:v>
      </x:c>
      <x:c r="C1672" t="str">
        <x:v>available</x:v>
      </x:c>
      <x:c r="D1672" t="str">
        <x:v>present</x:v>
      </x:c>
      <x:c r="E1672" t="str">
        <x:v>baseline</x:v>
      </x:c>
      <x:c r="F1672" s="11" t="n">
        <x:v>46249.4134212037</x:v>
      </x:c>
      <x:c r="G1672" t="str">
        <x:v>Byt</x:v>
      </x:c>
      <x:c r="H1672" s="12" t="n">
        <x:v>1.5</x:v>
      </x:c>
      <x:c r="I1672" s="13" t="n">
        <x:v>7</x:v>
      </x:c>
      <x:c r="J1672" t="str">
        <x:v>A</x:v>
      </x:c>
      <x:c r="K1672" s="14" t="n">
        <x:v>37.56</x:v>
      </x:c>
      <x:c r="L1672" s="14" t="n">
        <x:v>5.85</x:v>
      </x:c>
      <x:c r="M1672" s="14" t="n">
        <x:v>0</x:v>
      </x:c>
      <x:c r="N1672" s="14"/>
      <x:c r="O1672" s="14" t="n">
        <x:v>2.4</x:v>
      </x:c>
      <x:c r="P1672" s="14"/>
      <x:c r="Q1672" s="14" t="n">
        <x:v>45.81</x:v>
      </x:c>
      <x:c r="R1672" s="15" t="n">
        <x:v>227650</x:v>
      </x:c>
      <x:c r="S1672" s="15" t="n">
        <x:v>265454</x:v>
      </x:c>
      <x:c r="T1672" s="15" t="n">
        <x:v>227650</x:v>
      </x:c>
      <x:c r="U1672" s="16" t="n">
        <x:v>6060.97</x:v>
      </x:c>
      <x:c r="V1672" t="str"/>
      <x:c r="W1672" t="str">
        <x:v>Ružinov</x:v>
      </x:c>
      <x:c r="X1672" s="11" t="str">
        <x:v>Voľný</x:v>
      </x:c>
      <x:c r="Y1672" s="11" t="str">
        <x:v>https://slnecnastrana.sk/index.php/byt/a7-03/</x:v>
      </x:c>
      <x:c r="Z1672" s="11" t="n">
        <x:v>46249.4134212037</x:v>
      </x:c>
      <x:c r="AA1672" s="11" t="n">
        <x:v>46253.71734884259</x:v>
      </x:c>
      <x:c r="AB1672" s="11" t="n">
        <x:v>46253.71734884259</x:v>
      </x:c>
      <x:c r="AC1672" t="str">
        <x:v>slnecna_strana</x:v>
      </x:c>
    </x:row>
    <x:row r="1673" ht="22" customHeight="1">
      <x:c r="A1673" t="str">
        <x:v>Slnečná Strana</x:v>
      </x:c>
      <x:c r="B1673" t="str">
        <x:v>A7-04</x:v>
      </x:c>
      <x:c r="C1673" t="str">
        <x:v>available</x:v>
      </x:c>
      <x:c r="D1673" t="str">
        <x:v>present</x:v>
      </x:c>
      <x:c r="E1673" t="str">
        <x:v>baseline</x:v>
      </x:c>
      <x:c r="F1673" s="11" t="n">
        <x:v>46249.4134212037</x:v>
      </x:c>
      <x:c r="G1673" t="str">
        <x:v>Byt</x:v>
      </x:c>
      <x:c r="H1673" s="12" t="n">
        <x:v>2</x:v>
      </x:c>
      <x:c r="I1673" s="13" t="n">
        <x:v>7</x:v>
      </x:c>
      <x:c r="J1673" t="str">
        <x:v>A</x:v>
      </x:c>
      <x:c r="K1673" s="14" t="n">
        <x:v>60.74</x:v>
      </x:c>
      <x:c r="L1673" s="14" t="n">
        <x:v>3.55</x:v>
      </x:c>
      <x:c r="M1673" s="14" t="n">
        <x:v>0</x:v>
      </x:c>
      <x:c r="N1673" s="14"/>
      <x:c r="O1673" s="14" t="n">
        <x:v>2.4</x:v>
      </x:c>
      <x:c r="P1673" s="14"/>
      <x:c r="Q1673" s="14" t="n">
        <x:v>66.69</x:v>
      </x:c>
      <x:c r="R1673" s="15" t="n">
        <x:v>340082</x:v>
      </x:c>
      <x:c r="S1673" s="15" t="n">
        <x:v>340082</x:v>
      </x:c>
      <x:c r="T1673" s="15"/>
      <x:c r="U1673" s="16" t="n">
        <x:v>5598.98</x:v>
      </x:c>
      <x:c r="V1673" t="str"/>
      <x:c r="W1673" t="str">
        <x:v>Ružinov</x:v>
      </x:c>
      <x:c r="X1673" s="11" t="str">
        <x:v>Voľný</x:v>
      </x:c>
      <x:c r="Y1673" s="11" t="str">
        <x:v>https://slnecnastrana.sk/index.php/byt/a7-04/</x:v>
      </x:c>
      <x:c r="Z1673" s="11" t="n">
        <x:v>46249.4134212037</x:v>
      </x:c>
      <x:c r="AA1673" s="11" t="n">
        <x:v>46253.71734884259</x:v>
      </x:c>
      <x:c r="AB1673" s="11" t="n">
        <x:v>46253.71734884259</x:v>
      </x:c>
      <x:c r="AC1673" t="str">
        <x:v>slnecna_strana</x:v>
      </x:c>
    </x:row>
    <x:row r="1674" ht="22" customHeight="1">
      <x:c r="A1674" t="str">
        <x:v>Slnečná Strana</x:v>
      </x:c>
      <x:c r="B1674" t="str">
        <x:v>A7-05</x:v>
      </x:c>
      <x:c r="C1674" t="str">
        <x:v>available</x:v>
      </x:c>
      <x:c r="D1674" t="str">
        <x:v>present</x:v>
      </x:c>
      <x:c r="E1674" t="str">
        <x:v>baseline</x:v>
      </x:c>
      <x:c r="F1674" s="11" t="n">
        <x:v>46249.4134212037</x:v>
      </x:c>
      <x:c r="G1674" t="str">
        <x:v>Byt</x:v>
      </x:c>
      <x:c r="H1674" s="12" t="n">
        <x:v>2</x:v>
      </x:c>
      <x:c r="I1674" s="13" t="n">
        <x:v>7</x:v>
      </x:c>
      <x:c r="J1674" t="str">
        <x:v>A</x:v>
      </x:c>
      <x:c r="K1674" s="14" t="n">
        <x:v>54.19</x:v>
      </x:c>
      <x:c r="L1674" s="14" t="n">
        <x:v>0</x:v>
      </x:c>
      <x:c r="M1674" s="14" t="n">
        <x:v>4.69</x:v>
      </x:c>
      <x:c r="N1674" s="14"/>
      <x:c r="O1674" s="14" t="n">
        <x:v>2.4</x:v>
      </x:c>
      <x:c r="P1674" s="14"/>
      <x:c r="Q1674" s="14" t="n">
        <x:v>61.28</x:v>
      </x:c>
      <x:c r="R1674" s="15" t="n">
        <x:v>310694</x:v>
      </x:c>
      <x:c r="S1674" s="15" t="n">
        <x:v>361010</x:v>
      </x:c>
      <x:c r="T1674" s="15" t="n">
        <x:v>310694</x:v>
      </x:c>
      <x:c r="U1674" s="16" t="n">
        <x:v>5733.42</x:v>
      </x:c>
      <x:c r="V1674" t="str"/>
      <x:c r="W1674" t="str">
        <x:v>Ružinov</x:v>
      </x:c>
      <x:c r="X1674" s="11" t="str">
        <x:v>Voľný</x:v>
      </x:c>
      <x:c r="Y1674" s="11" t="str">
        <x:v>https://slnecnastrana.sk/index.php/byt/a7-05/</x:v>
      </x:c>
      <x:c r="Z1674" s="11" t="n">
        <x:v>46249.4134212037</x:v>
      </x:c>
      <x:c r="AA1674" s="11" t="n">
        <x:v>46253.71734884259</x:v>
      </x:c>
      <x:c r="AB1674" s="11" t="n">
        <x:v>46253.71734884259</x:v>
      </x:c>
      <x:c r="AC1674" t="str">
        <x:v>slnecna_strana</x:v>
      </x:c>
    </x:row>
    <x:row r="1675" ht="22" customHeight="1">
      <x:c r="A1675" t="str">
        <x:v>Slnečná Strana</x:v>
      </x:c>
      <x:c r="B1675" t="str">
        <x:v>A7-06</x:v>
      </x:c>
      <x:c r="C1675" t="str">
        <x:v>available</x:v>
      </x:c>
      <x:c r="D1675" t="str">
        <x:v>present</x:v>
      </x:c>
      <x:c r="E1675" t="str">
        <x:v>baseline</x:v>
      </x:c>
      <x:c r="F1675" s="11" t="n">
        <x:v>46249.4134212037</x:v>
      </x:c>
      <x:c r="G1675" t="str">
        <x:v>Byt</x:v>
      </x:c>
      <x:c r="H1675" s="12" t="n">
        <x:v>2</x:v>
      </x:c>
      <x:c r="I1675" s="13" t="n">
        <x:v>7</x:v>
      </x:c>
      <x:c r="J1675" t="str">
        <x:v>A</x:v>
      </x:c>
      <x:c r="K1675" s="14" t="n">
        <x:v>51.67</x:v>
      </x:c>
      <x:c r="L1675" s="14" t="n">
        <x:v>0</x:v>
      </x:c>
      <x:c r="M1675" s="14" t="n">
        <x:v>5.73</x:v>
      </x:c>
      <x:c r="N1675" s="14"/>
      <x:c r="O1675" s="14" t="n">
        <x:v>2.4</x:v>
      </x:c>
      <x:c r="P1675" s="14"/>
      <x:c r="Q1675" s="14" t="n">
        <x:v>59.8</x:v>
      </x:c>
      <x:c r="R1675" s="15" t="n">
        <x:v>299486</x:v>
      </x:c>
      <x:c r="S1675" s="15" t="n">
        <x:v>348239</x:v>
      </x:c>
      <x:c r="T1675" s="15" t="n">
        <x:v>299486</x:v>
      </x:c>
      <x:c r="U1675" s="16" t="n">
        <x:v>5796.13</x:v>
      </x:c>
      <x:c r="V1675" t="str"/>
      <x:c r="W1675" t="str">
        <x:v>Ružinov</x:v>
      </x:c>
      <x:c r="X1675" s="11" t="str">
        <x:v>Voľný</x:v>
      </x:c>
      <x:c r="Y1675" s="11" t="str">
        <x:v>https://slnecnastrana.sk/index.php/byt/a7-06/</x:v>
      </x:c>
      <x:c r="Z1675" s="11" t="n">
        <x:v>46249.4134212037</x:v>
      </x:c>
      <x:c r="AA1675" s="11" t="n">
        <x:v>46253.71734884259</x:v>
      </x:c>
      <x:c r="AB1675" s="11" t="n">
        <x:v>46253.71734884259</x:v>
      </x:c>
      <x:c r="AC1675" t="str">
        <x:v>slnecna_strana</x:v>
      </x:c>
    </x:row>
    <x:row r="1676" ht="22" customHeight="1">
      <x:c r="A1676" t="str">
        <x:v>Slnečná Strana</x:v>
      </x:c>
      <x:c r="B1676" t="str">
        <x:v>A7-07</x:v>
      </x:c>
      <x:c r="C1676" t="str">
        <x:v>available</x:v>
      </x:c>
      <x:c r="D1676" t="str">
        <x:v>present</x:v>
      </x:c>
      <x:c r="E1676" t="str">
        <x:v>baseline</x:v>
      </x:c>
      <x:c r="F1676" s="11" t="n">
        <x:v>46249.4134212037</x:v>
      </x:c>
      <x:c r="G1676" t="str">
        <x:v>Byt</x:v>
      </x:c>
      <x:c r="H1676" s="12" t="n">
        <x:v>2</x:v>
      </x:c>
      <x:c r="I1676" s="13" t="n">
        <x:v>7</x:v>
      </x:c>
      <x:c r="J1676" t="str">
        <x:v>A</x:v>
      </x:c>
      <x:c r="K1676" s="14" t="n">
        <x:v>58.55</x:v>
      </x:c>
      <x:c r="L1676" s="14" t="n">
        <x:v>0</x:v>
      </x:c>
      <x:c r="M1676" s="14" t="n">
        <x:v>5.4</x:v>
      </x:c>
      <x:c r="N1676" s="14"/>
      <x:c r="O1676" s="14" t="n">
        <x:v>2.4</x:v>
      </x:c>
      <x:c r="P1676" s="14"/>
      <x:c r="Q1676" s="14" t="n">
        <x:v>65.35</x:v>
      </x:c>
      <x:c r="R1676" s="15" t="n">
        <x:v>309889</x:v>
      </x:c>
      <x:c r="S1676" s="15" t="n">
        <x:v>339253</x:v>
      </x:c>
      <x:c r="T1676" s="15" t="n">
        <x:v>309889</x:v>
      </x:c>
      <x:c r="U1676" s="16" t="n">
        <x:v>5292.72</x:v>
      </x:c>
      <x:c r="V1676" t="str"/>
      <x:c r="W1676" t="str">
        <x:v>Ružinov</x:v>
      </x:c>
      <x:c r="X1676" s="11" t="str">
        <x:v>Voľný</x:v>
      </x:c>
      <x:c r="Y1676" s="11" t="str">
        <x:v>https://slnecnastrana.sk/?post_type=byt&amp;p=992</x:v>
      </x:c>
      <x:c r="Z1676" s="11" t="n">
        <x:v>46249.4134212037</x:v>
      </x:c>
      <x:c r="AA1676" s="11" t="n">
        <x:v>46253.71734884259</x:v>
      </x:c>
      <x:c r="AB1676" s="11" t="n">
        <x:v>46253.71734884259</x:v>
      </x:c>
      <x:c r="AC1676" t="str">
        <x:v>slnecna_strana</x:v>
      </x:c>
    </x:row>
    <x:row r="1677" ht="22" customHeight="1">
      <x:c r="A1677" t="str">
        <x:v>Slnečná Strana</x:v>
      </x:c>
      <x:c r="B1677" t="str">
        <x:v>B2-01</x:v>
      </x:c>
      <x:c r="C1677" t="str">
        <x:v>available</x:v>
      </x:c>
      <x:c r="D1677" t="str">
        <x:v>present</x:v>
      </x:c>
      <x:c r="E1677" t="str">
        <x:v>baseline</x:v>
      </x:c>
      <x:c r="F1677" s="11" t="n">
        <x:v>46249.4134212037</x:v>
      </x:c>
      <x:c r="G1677" t="str">
        <x:v>Apartmán</x:v>
      </x:c>
      <x:c r="H1677" s="12" t="n">
        <x:v>2</x:v>
      </x:c>
      <x:c r="I1677" s="13" t="n">
        <x:v>2</x:v>
      </x:c>
      <x:c r="J1677" t="str">
        <x:v>B</x:v>
      </x:c>
      <x:c r="K1677" s="14" t="n">
        <x:v>49.99</x:v>
      </x:c>
      <x:c r="L1677" s="14" t="n">
        <x:v>4.05</x:v>
      </x:c>
      <x:c r="M1677" s="14" t="n">
        <x:v>0</x:v>
      </x:c>
      <x:c r="N1677" s="14"/>
      <x:c r="O1677" s="14" t="n">
        <x:v>2.4</x:v>
      </x:c>
      <x:c r="P1677" s="14"/>
      <x:c r="Q1677" s="14" t="n">
        <x:v>56.44</x:v>
      </x:c>
      <x:c r="R1677" s="15" t="n">
        <x:v>244710</x:v>
      </x:c>
      <x:c r="S1677" s="15" t="n">
        <x:v>283005</x:v>
      </x:c>
      <x:c r="T1677" s="15" t="n">
        <x:v>244710</x:v>
      </x:c>
      <x:c r="U1677" s="16" t="n">
        <x:v>4895.18</x:v>
      </x:c>
      <x:c r="V1677" t="str"/>
      <x:c r="W1677" t="str">
        <x:v>Ružinov</x:v>
      </x:c>
      <x:c r="X1677" s="11" t="str">
        <x:v>Voľný</x:v>
      </x:c>
      <x:c r="Y1677" s="11" t="str">
        <x:v>https://slnecnastrana.sk/index.php/byt/b2-01/</x:v>
      </x:c>
      <x:c r="Z1677" s="11" t="n">
        <x:v>46249.4134212037</x:v>
      </x:c>
      <x:c r="AA1677" s="11" t="n">
        <x:v>46253.71734884259</x:v>
      </x:c>
      <x:c r="AB1677" s="11" t="n">
        <x:v>46253.71734884259</x:v>
      </x:c>
      <x:c r="AC1677" t="str">
        <x:v>slnecna_strana</x:v>
      </x:c>
    </x:row>
    <x:row r="1678" ht="22" customHeight="1">
      <x:c r="A1678" t="str">
        <x:v>Slnečná Strana</x:v>
      </x:c>
      <x:c r="B1678" t="str">
        <x:v>B2-02</x:v>
      </x:c>
      <x:c r="C1678" t="str">
        <x:v>available</x:v>
      </x:c>
      <x:c r="D1678" t="str">
        <x:v>present</x:v>
      </x:c>
      <x:c r="E1678" t="str">
        <x:v>baseline</x:v>
      </x:c>
      <x:c r="F1678" s="11" t="n">
        <x:v>46249.4134212037</x:v>
      </x:c>
      <x:c r="G1678" t="str">
        <x:v>Byt</x:v>
      </x:c>
      <x:c r="H1678" s="12" t="n">
        <x:v>1</x:v>
      </x:c>
      <x:c r="I1678" s="13" t="n">
        <x:v>2</x:v>
      </x:c>
      <x:c r="J1678" t="str">
        <x:v>B</x:v>
      </x:c>
      <x:c r="K1678" s="14" t="n">
        <x:v>41.38</x:v>
      </x:c>
      <x:c r="L1678" s="14" t="n">
        <x:v>0</x:v>
      </x:c>
      <x:c r="M1678" s="14" t="n">
        <x:v>5.28</x:v>
      </x:c>
      <x:c r="N1678" s="14"/>
      <x:c r="O1678" s="14" t="n">
        <x:v>2.4</x:v>
      </x:c>
      <x:c r="P1678" s="14"/>
      <x:c r="Q1678" s="14" t="n">
        <x:v>49.06</x:v>
      </x:c>
      <x:c r="R1678" s="15" t="n">
        <x:v>216050</x:v>
      </x:c>
      <x:c r="S1678" s="15" t="n">
        <x:v>249903</x:v>
      </x:c>
      <x:c r="T1678" s="15" t="n">
        <x:v>216050</x:v>
      </x:c>
      <x:c r="U1678" s="16" t="n">
        <x:v>5221.12</x:v>
      </x:c>
      <x:c r="V1678" t="str"/>
      <x:c r="W1678" t="str">
        <x:v>Ružinov</x:v>
      </x:c>
      <x:c r="X1678" s="11" t="str">
        <x:v>Voľný</x:v>
      </x:c>
      <x:c r="Y1678" s="11" t="str">
        <x:v>https://slnecnastrana.sk/index.php/byt/b2-02/</x:v>
      </x:c>
      <x:c r="Z1678" s="11" t="n">
        <x:v>46249.4134212037</x:v>
      </x:c>
      <x:c r="AA1678" s="11" t="n">
        <x:v>46253.71734884259</x:v>
      </x:c>
      <x:c r="AB1678" s="11" t="n">
        <x:v>46253.71734884259</x:v>
      </x:c>
      <x:c r="AC1678" t="str">
        <x:v>slnecna_strana</x:v>
      </x:c>
    </x:row>
    <x:row r="1679" ht="22" customHeight="1">
      <x:c r="A1679" t="str">
        <x:v>Slnečná Strana</x:v>
      </x:c>
      <x:c r="B1679" t="str">
        <x:v>B2-03</x:v>
      </x:c>
      <x:c r="C1679" t="str">
        <x:v>reserved</x:v>
      </x:c>
      <x:c r="D1679" t="str">
        <x:v>present</x:v>
      </x:c>
      <x:c r="E1679" t="str">
        <x:v>baseline</x:v>
      </x:c>
      <x:c r="F1679" s="11" t="n">
        <x:v>46249.4134212037</x:v>
      </x:c>
      <x:c r="G1679" t="str">
        <x:v>Byt</x:v>
      </x:c>
      <x:c r="H1679" s="12" t="n">
        <x:v>2</x:v>
      </x:c>
      <x:c r="I1679" s="13" t="n">
        <x:v>2</x:v>
      </x:c>
      <x:c r="J1679" t="str">
        <x:v>B</x:v>
      </x:c>
      <x:c r="K1679" s="14" t="n">
        <x:v>47.77</x:v>
      </x:c>
      <x:c r="L1679" s="14" t="n">
        <x:v>0</x:v>
      </x:c>
      <x:c r="M1679" s="14" t="n">
        <x:v>9.93</x:v>
      </x:c>
      <x:c r="N1679" s="14"/>
      <x:c r="O1679" s="14" t="n">
        <x:v>2.4</x:v>
      </x:c>
      <x:c r="P1679" s="14"/>
      <x:c r="Q1679" s="14" t="n">
        <x:v>60.1</x:v>
      </x:c>
      <x:c r="R1679" s="15"/>
      <x:c r="S1679" s="15"/>
      <x:c r="T1679" s="15"/>
      <x:c r="U1679" s="16"/>
      <x:c r="V1679" t="str"/>
      <x:c r="W1679" t="str">
        <x:v>Ružinov</x:v>
      </x:c>
      <x:c r="X1679" s="11" t="str">
        <x:v>Rezervovaný</x:v>
      </x:c>
      <x:c r="Y1679" s="11" t="str">
        <x:v>https://slnecnastrana.sk/index.php/byt/b2-03/</x:v>
      </x:c>
      <x:c r="Z1679" s="11" t="n">
        <x:v>46249.4134212037</x:v>
      </x:c>
      <x:c r="AA1679" s="11" t="n">
        <x:v>46253.71734884259</x:v>
      </x:c>
      <x:c r="AB1679" s="11" t="n">
        <x:v>46253.71734884259</x:v>
      </x:c>
      <x:c r="AC1679" t="str">
        <x:v>slnecna_strana</x:v>
      </x:c>
    </x:row>
    <x:row r="1680" ht="22" customHeight="1">
      <x:c r="A1680" t="str">
        <x:v>Slnečná Strana</x:v>
      </x:c>
      <x:c r="B1680" t="str">
        <x:v>B2-04</x:v>
      </x:c>
      <x:c r="C1680" t="str">
        <x:v>available</x:v>
      </x:c>
      <x:c r="D1680" t="str">
        <x:v>present</x:v>
      </x:c>
      <x:c r="E1680" t="str">
        <x:v>baseline</x:v>
      </x:c>
      <x:c r="F1680" s="11" t="n">
        <x:v>46249.4134212037</x:v>
      </x:c>
      <x:c r="G1680" t="str">
        <x:v>Apartmán</x:v>
      </x:c>
      <x:c r="H1680" s="12" t="n">
        <x:v>2</x:v>
      </x:c>
      <x:c r="I1680" s="13" t="n">
        <x:v>2</x:v>
      </x:c>
      <x:c r="J1680" t="str">
        <x:v>B</x:v>
      </x:c>
      <x:c r="K1680" s="14" t="n">
        <x:v>46.18</x:v>
      </x:c>
      <x:c r="L1680" s="14" t="n">
        <x:v>6.94</x:v>
      </x:c>
      <x:c r="M1680" s="14" t="n">
        <x:v>0</x:v>
      </x:c>
      <x:c r="N1680" s="14"/>
      <x:c r="O1680" s="14" t="n">
        <x:v>2.4</x:v>
      </x:c>
      <x:c r="P1680" s="14"/>
      <x:c r="Q1680" s="14" t="n">
        <x:v>55.52</x:v>
      </x:c>
      <x:c r="R1680" s="15" t="n">
        <x:v>243809</x:v>
      </x:c>
      <x:c r="S1680" s="15" t="n">
        <x:v>281865</x:v>
      </x:c>
      <x:c r="T1680" s="15" t="n">
        <x:v>243809</x:v>
      </x:c>
      <x:c r="U1680" s="16" t="n">
        <x:v>5279.54</x:v>
      </x:c>
      <x:c r="V1680" t="str"/>
      <x:c r="W1680" t="str">
        <x:v>Ružinov</x:v>
      </x:c>
      <x:c r="X1680" s="11" t="str">
        <x:v>Voľný</x:v>
      </x:c>
      <x:c r="Y1680" s="11" t="str">
        <x:v>https://slnecnastrana.sk/index.php/byt/b2-04/</x:v>
      </x:c>
      <x:c r="Z1680" s="11" t="n">
        <x:v>46249.4134212037</x:v>
      </x:c>
      <x:c r="AA1680" s="11" t="n">
        <x:v>46253.71734884259</x:v>
      </x:c>
      <x:c r="AB1680" s="11" t="n">
        <x:v>46253.71734884259</x:v>
      </x:c>
      <x:c r="AC1680" t="str">
        <x:v>slnecna_strana</x:v>
      </x:c>
    </x:row>
    <x:row r="1681" ht="22" customHeight="1">
      <x:c r="A1681" t="str">
        <x:v>Slnečná Strana</x:v>
      </x:c>
      <x:c r="B1681" t="str">
        <x:v>B2-05</x:v>
      </x:c>
      <x:c r="C1681" t="str">
        <x:v>available</x:v>
      </x:c>
      <x:c r="D1681" t="str">
        <x:v>present</x:v>
      </x:c>
      <x:c r="E1681" t="str">
        <x:v>baseline</x:v>
      </x:c>
      <x:c r="F1681" s="11" t="n">
        <x:v>46249.4134212037</x:v>
      </x:c>
      <x:c r="G1681" t="str">
        <x:v>Byt</x:v>
      </x:c>
      <x:c r="H1681" s="12" t="n">
        <x:v>4</x:v>
      </x:c>
      <x:c r="I1681" s="13" t="n">
        <x:v>2</x:v>
      </x:c>
      <x:c r="J1681" t="str">
        <x:v>B</x:v>
      </x:c>
      <x:c r="K1681" s="14" t="n">
        <x:v>74.01</x:v>
      </x:c>
      <x:c r="L1681" s="14" t="n">
        <x:v>0</x:v>
      </x:c>
      <x:c r="M1681" s="14" t="n">
        <x:v>9.6</x:v>
      </x:c>
      <x:c r="N1681" s="14"/>
      <x:c r="O1681" s="14" t="n">
        <x:v>2.4</x:v>
      </x:c>
      <x:c r="P1681" s="14"/>
      <x:c r="Q1681" s="14" t="n">
        <x:v>86.01</x:v>
      </x:c>
      <x:c r="R1681" s="15" t="n">
        <x:v>374348</x:v>
      </x:c>
      <x:c r="S1681" s="15" t="n">
        <x:v>374348</x:v>
      </x:c>
      <x:c r="T1681" s="15"/>
      <x:c r="U1681" s="16" t="n">
        <x:v>5058.07</x:v>
      </x:c>
      <x:c r="V1681" t="str"/>
      <x:c r="W1681" t="str">
        <x:v>Ružinov</x:v>
      </x:c>
      <x:c r="X1681" s="11" t="str">
        <x:v>Voľný</x:v>
      </x:c>
      <x:c r="Y1681" s="11" t="str">
        <x:v>https://slnecnastrana.sk/index.php/byt/b2-05/</x:v>
      </x:c>
      <x:c r="Z1681" s="11" t="n">
        <x:v>46249.4134212037</x:v>
      </x:c>
      <x:c r="AA1681" s="11" t="n">
        <x:v>46253.71734884259</x:v>
      </x:c>
      <x:c r="AB1681" s="11" t="n">
        <x:v>46253.71734884259</x:v>
      </x:c>
      <x:c r="AC1681" t="str">
        <x:v>slnecna_strana</x:v>
      </x:c>
    </x:row>
    <x:row r="1682" ht="22" customHeight="1">
      <x:c r="A1682" t="str">
        <x:v>Slnečná Strana</x:v>
      </x:c>
      <x:c r="B1682" t="str">
        <x:v>B2-06</x:v>
      </x:c>
      <x:c r="C1682" t="str">
        <x:v>available</x:v>
      </x:c>
      <x:c r="D1682" t="str">
        <x:v>present</x:v>
      </x:c>
      <x:c r="E1682" t="str">
        <x:v>baseline</x:v>
      </x:c>
      <x:c r="F1682" s="11" t="n">
        <x:v>46249.4134212037</x:v>
      </x:c>
      <x:c r="G1682" t="str">
        <x:v>Byt</x:v>
      </x:c>
      <x:c r="H1682" s="12" t="n">
        <x:v>2</x:v>
      </x:c>
      <x:c r="I1682" s="13" t="n">
        <x:v>2</x:v>
      </x:c>
      <x:c r="J1682" t="str">
        <x:v>B</x:v>
      </x:c>
      <x:c r="K1682" s="14" t="n">
        <x:v>52.7</x:v>
      </x:c>
      <x:c r="L1682" s="14" t="n">
        <x:v>4.21</x:v>
      </x:c>
      <x:c r="M1682" s="14" t="n">
        <x:v>0</x:v>
      </x:c>
      <x:c r="N1682" s="14"/>
      <x:c r="O1682" s="14" t="n">
        <x:v>2.4</x:v>
      </x:c>
      <x:c r="P1682" s="14"/>
      <x:c r="Q1682" s="14" t="n">
        <x:v>59.31</x:v>
      </x:c>
      <x:c r="R1682" s="15" t="n">
        <x:v>265964</x:v>
      </x:c>
      <x:c r="S1682" s="15" t="n">
        <x:v>307893</x:v>
      </x:c>
      <x:c r="T1682" s="15" t="n">
        <x:v>265964</x:v>
      </x:c>
      <x:c r="U1682" s="16" t="n">
        <x:v>5046.76</x:v>
      </x:c>
      <x:c r="V1682" t="str"/>
      <x:c r="W1682" t="str">
        <x:v>Ružinov</x:v>
      </x:c>
      <x:c r="X1682" s="11" t="str">
        <x:v>Voľný</x:v>
      </x:c>
      <x:c r="Y1682" s="11" t="str">
        <x:v>https://slnecnastrana.sk/index.php/byt/b2-06/</x:v>
      </x:c>
      <x:c r="Z1682" s="11" t="n">
        <x:v>46249.4134212037</x:v>
      </x:c>
      <x:c r="AA1682" s="11" t="n">
        <x:v>46253.71734884259</x:v>
      </x:c>
      <x:c r="AB1682" s="11" t="n">
        <x:v>46253.71734884259</x:v>
      </x:c>
      <x:c r="AC1682" t="str">
        <x:v>slnecna_strana</x:v>
      </x:c>
    </x:row>
    <x:row r="1683" ht="22" customHeight="1">
      <x:c r="A1683" t="str">
        <x:v>Slnečná Strana</x:v>
      </x:c>
      <x:c r="B1683" t="str">
        <x:v>B3-01</x:v>
      </x:c>
      <x:c r="C1683" t="str">
        <x:v>available</x:v>
      </x:c>
      <x:c r="D1683" t="str">
        <x:v>present</x:v>
      </x:c>
      <x:c r="E1683" t="str">
        <x:v>baseline</x:v>
      </x:c>
      <x:c r="F1683" s="11" t="n">
        <x:v>46249.4134212037</x:v>
      </x:c>
      <x:c r="G1683" t="str">
        <x:v>Apartmán</x:v>
      </x:c>
      <x:c r="H1683" s="12" t="n">
        <x:v>2</x:v>
      </x:c>
      <x:c r="I1683" s="13" t="n">
        <x:v>3</x:v>
      </x:c>
      <x:c r="J1683" t="str">
        <x:v>B</x:v>
      </x:c>
      <x:c r="K1683" s="14" t="n">
        <x:v>49.99</x:v>
      </x:c>
      <x:c r="L1683" s="14" t="n">
        <x:v>4.05</x:v>
      </x:c>
      <x:c r="M1683" s="14" t="n">
        <x:v>0</x:v>
      </x:c>
      <x:c r="N1683" s="14"/>
      <x:c r="O1683" s="14" t="n">
        <x:v>2.4</x:v>
      </x:c>
      <x:c r="P1683" s="14"/>
      <x:c r="Q1683" s="14" t="n">
        <x:v>56.44</x:v>
      </x:c>
      <x:c r="R1683" s="15" t="n">
        <x:v>247284</x:v>
      </x:c>
      <x:c r="S1683" s="15" t="n">
        <x:v>286077</x:v>
      </x:c>
      <x:c r="T1683" s="15" t="n">
        <x:v>247284</x:v>
      </x:c>
      <x:c r="U1683" s="16" t="n">
        <x:v>4946.67</x:v>
      </x:c>
      <x:c r="V1683" t="str"/>
      <x:c r="W1683" t="str">
        <x:v>Ružinov</x:v>
      </x:c>
      <x:c r="X1683" s="11" t="str">
        <x:v>Voľný</x:v>
      </x:c>
      <x:c r="Y1683" s="11" t="str">
        <x:v>https://slnecnastrana.sk/index.php/byt/b3-01/</x:v>
      </x:c>
      <x:c r="Z1683" s="11" t="n">
        <x:v>46249.4134212037</x:v>
      </x:c>
      <x:c r="AA1683" s="11" t="n">
        <x:v>46253.71734884259</x:v>
      </x:c>
      <x:c r="AB1683" s="11" t="n">
        <x:v>46253.71734884259</x:v>
      </x:c>
      <x:c r="AC1683" t="str">
        <x:v>slnecna_strana</x:v>
      </x:c>
    </x:row>
    <x:row r="1684" ht="22" customHeight="1">
      <x:c r="A1684" t="str">
        <x:v>Slnečná Strana</x:v>
      </x:c>
      <x:c r="B1684" t="str">
        <x:v>B3-02</x:v>
      </x:c>
      <x:c r="C1684" t="str">
        <x:v>available</x:v>
      </x:c>
      <x:c r="D1684" t="str">
        <x:v>present</x:v>
      </x:c>
      <x:c r="E1684" t="str">
        <x:v>baseline</x:v>
      </x:c>
      <x:c r="F1684" s="11" t="n">
        <x:v>46249.4134212037</x:v>
      </x:c>
      <x:c r="G1684" t="str">
        <x:v>Byt</x:v>
      </x:c>
      <x:c r="H1684" s="12" t="n">
        <x:v>1</x:v>
      </x:c>
      <x:c r="I1684" s="13" t="n">
        <x:v>3</x:v>
      </x:c>
      <x:c r="J1684" t="str">
        <x:v>B</x:v>
      </x:c>
      <x:c r="K1684" s="14" t="n">
        <x:v>41.38</x:v>
      </x:c>
      <x:c r="L1684" s="14" t="n">
        <x:v>0</x:v>
      </x:c>
      <x:c r="M1684" s="14" t="n">
        <x:v>5.28</x:v>
      </x:c>
      <x:c r="N1684" s="14"/>
      <x:c r="O1684" s="14" t="n">
        <x:v>2.4</x:v>
      </x:c>
      <x:c r="P1684" s="14"/>
      <x:c r="Q1684" s="14" t="n">
        <x:v>49.06</x:v>
      </x:c>
      <x:c r="R1684" s="15" t="n">
        <x:v>216050</x:v>
      </x:c>
      <x:c r="S1684" s="15" t="n">
        <x:v>249903</x:v>
      </x:c>
      <x:c r="T1684" s="15" t="n">
        <x:v>216050</x:v>
      </x:c>
      <x:c r="U1684" s="16" t="n">
        <x:v>5221.12</x:v>
      </x:c>
      <x:c r="V1684" t="str"/>
      <x:c r="W1684" t="str">
        <x:v>Ružinov</x:v>
      </x:c>
      <x:c r="X1684" s="11" t="str">
        <x:v>Voľný</x:v>
      </x:c>
      <x:c r="Y1684" s="11" t="str">
        <x:v>https://slnecnastrana.sk/index.php/byt/b3-02/</x:v>
      </x:c>
      <x:c r="Z1684" s="11" t="n">
        <x:v>46249.4134212037</x:v>
      </x:c>
      <x:c r="AA1684" s="11" t="n">
        <x:v>46253.71734884259</x:v>
      </x:c>
      <x:c r="AB1684" s="11" t="n">
        <x:v>46253.71734884259</x:v>
      </x:c>
      <x:c r="AC1684" t="str">
        <x:v>slnecna_strana</x:v>
      </x:c>
    </x:row>
    <x:row r="1685" ht="22" customHeight="1">
      <x:c r="A1685" t="str">
        <x:v>Slnečná Strana</x:v>
      </x:c>
      <x:c r="B1685" t="str">
        <x:v>B3-03</x:v>
      </x:c>
      <x:c r="C1685" t="str">
        <x:v>reserved</x:v>
      </x:c>
      <x:c r="D1685" t="str">
        <x:v>present</x:v>
      </x:c>
      <x:c r="E1685" t="str">
        <x:v>baseline</x:v>
      </x:c>
      <x:c r="F1685" s="11" t="n">
        <x:v>46249.4134212037</x:v>
      </x:c>
      <x:c r="G1685" t="str">
        <x:v>Byt</x:v>
      </x:c>
      <x:c r="H1685" s="12" t="n">
        <x:v>2</x:v>
      </x:c>
      <x:c r="I1685" s="13" t="n">
        <x:v>3</x:v>
      </x:c>
      <x:c r="J1685" t="str">
        <x:v>B</x:v>
      </x:c>
      <x:c r="K1685" s="14" t="n">
        <x:v>47.77</x:v>
      </x:c>
      <x:c r="L1685" s="14" t="n">
        <x:v>0</x:v>
      </x:c>
      <x:c r="M1685" s="14" t="n">
        <x:v>9.93</x:v>
      </x:c>
      <x:c r="N1685" s="14"/>
      <x:c r="O1685" s="14" t="n">
        <x:v>2.4</x:v>
      </x:c>
      <x:c r="P1685" s="14"/>
      <x:c r="Q1685" s="14" t="n">
        <x:v>60.1</x:v>
      </x:c>
      <x:c r="R1685" s="15"/>
      <x:c r="S1685" s="15"/>
      <x:c r="T1685" s="15"/>
      <x:c r="U1685" s="16"/>
      <x:c r="V1685" t="str"/>
      <x:c r="W1685" t="str">
        <x:v>Ružinov</x:v>
      </x:c>
      <x:c r="X1685" s="11" t="str">
        <x:v>Rezervovaný</x:v>
      </x:c>
      <x:c r="Y1685" s="11" t="str">
        <x:v>https://slnecnastrana.sk/index.php/byt/b3-03/</x:v>
      </x:c>
      <x:c r="Z1685" s="11" t="n">
        <x:v>46249.4134212037</x:v>
      </x:c>
      <x:c r="AA1685" s="11" t="n">
        <x:v>46253.71734884259</x:v>
      </x:c>
      <x:c r="AB1685" s="11" t="n">
        <x:v>46253.71734884259</x:v>
      </x:c>
      <x:c r="AC1685" t="str">
        <x:v>slnecna_strana</x:v>
      </x:c>
    </x:row>
    <x:row r="1686" ht="22" customHeight="1">
      <x:c r="A1686" t="str">
        <x:v>Slnečná Strana</x:v>
      </x:c>
      <x:c r="B1686" t="str">
        <x:v>B3-04</x:v>
      </x:c>
      <x:c r="C1686" t="str">
        <x:v>reserved</x:v>
      </x:c>
      <x:c r="D1686" t="str">
        <x:v>present</x:v>
      </x:c>
      <x:c r="E1686" t="str">
        <x:v>baseline</x:v>
      </x:c>
      <x:c r="F1686" s="11" t="n">
        <x:v>46249.4134212037</x:v>
      </x:c>
      <x:c r="G1686" t="str">
        <x:v>Apartmán</x:v>
      </x:c>
      <x:c r="H1686" s="12" t="n">
        <x:v>2</x:v>
      </x:c>
      <x:c r="I1686" s="13" t="n">
        <x:v>3</x:v>
      </x:c>
      <x:c r="J1686" t="str">
        <x:v>B</x:v>
      </x:c>
      <x:c r="K1686" s="14" t="n">
        <x:v>46.18</x:v>
      </x:c>
      <x:c r="L1686" s="14" t="n">
        <x:v>6.94</x:v>
      </x:c>
      <x:c r="M1686" s="14" t="n">
        <x:v>0</x:v>
      </x:c>
      <x:c r="N1686" s="14"/>
      <x:c r="O1686" s="14" t="n">
        <x:v>2.4</x:v>
      </x:c>
      <x:c r="P1686" s="14"/>
      <x:c r="Q1686" s="14" t="n">
        <x:v>55.52</x:v>
      </x:c>
      <x:c r="R1686" s="15" t="n">
        <x:v>239052</x:v>
      </x:c>
      <x:c r="S1686" s="15" t="n">
        <x:v>276000</x:v>
      </x:c>
      <x:c r="T1686" s="15" t="n">
        <x:v>239052</x:v>
      </x:c>
      <x:c r="U1686" s="16" t="n">
        <x:v>5176.53</x:v>
      </x:c>
      <x:c r="V1686" t="str"/>
      <x:c r="W1686" t="str">
        <x:v>Ružinov</x:v>
      </x:c>
      <x:c r="X1686" s="11" t="str">
        <x:v>Rezervovaný</x:v>
      </x:c>
      <x:c r="Y1686" s="11" t="str">
        <x:v>https://slnecnastrana.sk/index.php/byt/b3-04/</x:v>
      </x:c>
      <x:c r="Z1686" s="11" t="n">
        <x:v>46249.4134212037</x:v>
      </x:c>
      <x:c r="AA1686" s="11" t="n">
        <x:v>46253.71734884259</x:v>
      </x:c>
      <x:c r="AB1686" s="11" t="n">
        <x:v>46253.71734884259</x:v>
      </x:c>
      <x:c r="AC1686" t="str">
        <x:v>slnecna_strana</x:v>
      </x:c>
    </x:row>
    <x:row r="1687" ht="22" customHeight="1">
      <x:c r="A1687" t="str">
        <x:v>Slnečná Strana</x:v>
      </x:c>
      <x:c r="B1687" t="str">
        <x:v>B3-05</x:v>
      </x:c>
      <x:c r="C1687" t="str">
        <x:v>reserved</x:v>
      </x:c>
      <x:c r="D1687" t="str">
        <x:v>present</x:v>
      </x:c>
      <x:c r="E1687" t="str">
        <x:v>baseline</x:v>
      </x:c>
      <x:c r="F1687" s="11" t="n">
        <x:v>46249.4134212037</x:v>
      </x:c>
      <x:c r="G1687" t="str">
        <x:v>Byt</x:v>
      </x:c>
      <x:c r="H1687" s="12" t="n">
        <x:v>2</x:v>
      </x:c>
      <x:c r="I1687" s="13" t="n">
        <x:v>3</x:v>
      </x:c>
      <x:c r="J1687" t="str">
        <x:v>B</x:v>
      </x:c>
      <x:c r="K1687" s="14" t="n">
        <x:v>46.93</x:v>
      </x:c>
      <x:c r="L1687" s="14" t="n">
        <x:v>0</x:v>
      </x:c>
      <x:c r="M1687" s="14" t="n">
        <x:v>9.6</x:v>
      </x:c>
      <x:c r="N1687" s="14"/>
      <x:c r="O1687" s="14" t="n">
        <x:v>2.4</x:v>
      </x:c>
      <x:c r="P1687" s="14"/>
      <x:c r="Q1687" s="14" t="n">
        <x:v>58.93</x:v>
      </x:c>
      <x:c r="R1687" s="15"/>
      <x:c r="S1687" s="15"/>
      <x:c r="T1687" s="15"/>
      <x:c r="U1687" s="16"/>
      <x:c r="V1687" t="str"/>
      <x:c r="W1687" t="str">
        <x:v>Ružinov</x:v>
      </x:c>
      <x:c r="X1687" s="11" t="str">
        <x:v>Rezervovaný</x:v>
      </x:c>
      <x:c r="Y1687" s="11" t="str">
        <x:v>https://slnecnastrana.sk/index.php/byt/b3-05/</x:v>
      </x:c>
      <x:c r="Z1687" s="11" t="n">
        <x:v>46249.4134212037</x:v>
      </x:c>
      <x:c r="AA1687" s="11" t="n">
        <x:v>46253.71734884259</x:v>
      </x:c>
      <x:c r="AB1687" s="11" t="n">
        <x:v>46253.71734884259</x:v>
      </x:c>
      <x:c r="AC1687" t="str">
        <x:v>slnecna_strana</x:v>
      </x:c>
    </x:row>
    <x:row r="1688" ht="22" customHeight="1">
      <x:c r="A1688" t="str">
        <x:v>Slnečná Strana</x:v>
      </x:c>
      <x:c r="B1688" t="str">
        <x:v>B3-06</x:v>
      </x:c>
      <x:c r="C1688" t="str">
        <x:v>reserved</x:v>
      </x:c>
      <x:c r="D1688" t="str">
        <x:v>present</x:v>
      </x:c>
      <x:c r="E1688" t="str">
        <x:v>baseline</x:v>
      </x:c>
      <x:c r="F1688" s="11" t="n">
        <x:v>46249.4134212037</x:v>
      </x:c>
      <x:c r="G1688" t="str">
        <x:v>Byt</x:v>
      </x:c>
      <x:c r="H1688" s="12" t="n">
        <x:v>2</x:v>
      </x:c>
      <x:c r="I1688" s="13" t="n">
        <x:v>3</x:v>
      </x:c>
      <x:c r="J1688" t="str">
        <x:v>B</x:v>
      </x:c>
      <x:c r="K1688" s="14" t="n">
        <x:v>43.83</x:v>
      </x:c>
      <x:c r="L1688" s="14" t="n">
        <x:v>4.22</x:v>
      </x:c>
      <x:c r="M1688" s="14" t="n">
        <x:v>0</x:v>
      </x:c>
      <x:c r="N1688" s="14"/>
      <x:c r="O1688" s="14" t="n">
        <x:v>2.4</x:v>
      </x:c>
      <x:c r="P1688" s="14"/>
      <x:c r="Q1688" s="14" t="n">
        <x:v>50.45</x:v>
      </x:c>
      <x:c r="R1688" s="15"/>
      <x:c r="S1688" s="15"/>
      <x:c r="T1688" s="15"/>
      <x:c r="U1688" s="16"/>
      <x:c r="V1688" t="str"/>
      <x:c r="W1688" t="str">
        <x:v>Ružinov</x:v>
      </x:c>
      <x:c r="X1688" s="11" t="str">
        <x:v>Rezervovaný</x:v>
      </x:c>
      <x:c r="Y1688" s="11" t="str">
        <x:v>https://slnecnastrana.sk/index.php/byt/b3-06/</x:v>
      </x:c>
      <x:c r="Z1688" s="11" t="n">
        <x:v>46249.4134212037</x:v>
      </x:c>
      <x:c r="AA1688" s="11" t="n">
        <x:v>46253.71734884259</x:v>
      </x:c>
      <x:c r="AB1688" s="11" t="n">
        <x:v>46253.71734884259</x:v>
      </x:c>
      <x:c r="AC1688" t="str">
        <x:v>slnecna_strana</x:v>
      </x:c>
    </x:row>
    <x:row r="1689" ht="22" customHeight="1">
      <x:c r="A1689" t="str">
        <x:v>Slnečná Strana</x:v>
      </x:c>
      <x:c r="B1689" t="str">
        <x:v>B3-07</x:v>
      </x:c>
      <x:c r="C1689" t="str">
        <x:v>reserved</x:v>
      </x:c>
      <x:c r="D1689" t="str">
        <x:v>present</x:v>
      </x:c>
      <x:c r="E1689" t="str">
        <x:v>baseline</x:v>
      </x:c>
      <x:c r="F1689" s="11" t="n">
        <x:v>46249.4134212037</x:v>
      </x:c>
      <x:c r="G1689" t="str">
        <x:v>Byt</x:v>
      </x:c>
      <x:c r="H1689" s="12" t="n">
        <x:v>1.5</x:v>
      </x:c>
      <x:c r="I1689" s="13" t="n">
        <x:v>3</x:v>
      </x:c>
      <x:c r="J1689" t="str">
        <x:v>B</x:v>
      </x:c>
      <x:c r="K1689" s="14" t="n">
        <x:v>31.47</x:v>
      </x:c>
      <x:c r="L1689" s="14" t="n">
        <x:v>3.33</x:v>
      </x:c>
      <x:c r="M1689" s="14" t="n">
        <x:v>0</x:v>
      </x:c>
      <x:c r="N1689" s="14"/>
      <x:c r="O1689" s="14" t="n">
        <x:v>2.4</x:v>
      </x:c>
      <x:c r="P1689" s="14"/>
      <x:c r="Q1689" s="14" t="n">
        <x:v>37.2</x:v>
      </x:c>
      <x:c r="R1689" s="15"/>
      <x:c r="S1689" s="15"/>
      <x:c r="T1689" s="15"/>
      <x:c r="U1689" s="16"/>
      <x:c r="V1689" t="str"/>
      <x:c r="W1689" t="str">
        <x:v>Ružinov</x:v>
      </x:c>
      <x:c r="X1689" s="11" t="str">
        <x:v>Rezervovaný</x:v>
      </x:c>
      <x:c r="Y1689" s="11" t="str">
        <x:v>https://slnecnastrana.sk/index.php/byt/b3-07/</x:v>
      </x:c>
      <x:c r="Z1689" s="11" t="n">
        <x:v>46249.4134212037</x:v>
      </x:c>
      <x:c r="AA1689" s="11" t="n">
        <x:v>46253.71734884259</x:v>
      </x:c>
      <x:c r="AB1689" s="11" t="n">
        <x:v>46253.71734884259</x:v>
      </x:c>
      <x:c r="AC1689" t="str">
        <x:v>slnecna_strana</x:v>
      </x:c>
    </x:row>
    <x:row r="1690" ht="22" customHeight="1">
      <x:c r="A1690" t="str">
        <x:v>Slnečná Strana</x:v>
      </x:c>
      <x:c r="B1690" t="str">
        <x:v>B4-01</x:v>
      </x:c>
      <x:c r="C1690" t="str">
        <x:v>available</x:v>
      </x:c>
      <x:c r="D1690" t="str">
        <x:v>present</x:v>
      </x:c>
      <x:c r="E1690" t="str">
        <x:v>baseline</x:v>
      </x:c>
      <x:c r="F1690" s="11" t="n">
        <x:v>46249.4134212037</x:v>
      </x:c>
      <x:c r="G1690" t="str">
        <x:v>Apartmán</x:v>
      </x:c>
      <x:c r="H1690" s="12" t="n">
        <x:v>2</x:v>
      </x:c>
      <x:c r="I1690" s="13" t="n">
        <x:v>4</x:v>
      </x:c>
      <x:c r="J1690" t="str">
        <x:v>B</x:v>
      </x:c>
      <x:c r="K1690" s="14" t="n">
        <x:v>49.99</x:v>
      </x:c>
      <x:c r="L1690" s="14" t="n">
        <x:v>4.05</x:v>
      </x:c>
      <x:c r="M1690" s="14" t="n">
        <x:v>0</x:v>
      </x:c>
      <x:c r="N1690" s="14"/>
      <x:c r="O1690" s="14" t="n">
        <x:v>2.4</x:v>
      </x:c>
      <x:c r="P1690" s="14"/>
      <x:c r="Q1690" s="14" t="n">
        <x:v>56.44</x:v>
      </x:c>
      <x:c r="R1690" s="15" t="n">
        <x:v>260157</x:v>
      </x:c>
      <x:c r="S1690" s="15" t="n">
        <x:v>301434</x:v>
      </x:c>
      <x:c r="T1690" s="15" t="n">
        <x:v>260157</x:v>
      </x:c>
      <x:c r="U1690" s="16" t="n">
        <x:v>5204.18</x:v>
      </x:c>
      <x:c r="V1690" t="str"/>
      <x:c r="W1690" t="str">
        <x:v>Ružinov</x:v>
      </x:c>
      <x:c r="X1690" s="11" t="str">
        <x:v>Voľný</x:v>
      </x:c>
      <x:c r="Y1690" s="11" t="str">
        <x:v>https://slnecnastrana.sk/index.php/byt/b4-01/</x:v>
      </x:c>
      <x:c r="Z1690" s="11" t="n">
        <x:v>46249.4134212037</x:v>
      </x:c>
      <x:c r="AA1690" s="11" t="n">
        <x:v>46253.71734884259</x:v>
      </x:c>
      <x:c r="AB1690" s="11" t="n">
        <x:v>46253.71734884259</x:v>
      </x:c>
      <x:c r="AC1690" t="str">
        <x:v>slnecna_strana</x:v>
      </x:c>
    </x:row>
    <x:row r="1691" ht="22" customHeight="1">
      <x:c r="A1691" t="str">
        <x:v>Slnečná Strana</x:v>
      </x:c>
      <x:c r="B1691" t="str">
        <x:v>B4-02</x:v>
      </x:c>
      <x:c r="C1691" t="str">
        <x:v>reserved</x:v>
      </x:c>
      <x:c r="D1691" t="str">
        <x:v>present</x:v>
      </x:c>
      <x:c r="E1691" t="str">
        <x:v>baseline</x:v>
      </x:c>
      <x:c r="F1691" s="11" t="n">
        <x:v>46249.4134212037</x:v>
      </x:c>
      <x:c r="G1691" t="str">
        <x:v>Byt</x:v>
      </x:c>
      <x:c r="H1691" s="12" t="n">
        <x:v>1</x:v>
      </x:c>
      <x:c r="I1691" s="13" t="n">
        <x:v>4</x:v>
      </x:c>
      <x:c r="J1691" t="str">
        <x:v>B</x:v>
      </x:c>
      <x:c r="K1691" s="14" t="n">
        <x:v>41.38</x:v>
      </x:c>
      <x:c r="L1691" s="14" t="n">
        <x:v>0</x:v>
      </x:c>
      <x:c r="M1691" s="14" t="n">
        <x:v>5.28</x:v>
      </x:c>
      <x:c r="N1691" s="14"/>
      <x:c r="O1691" s="14" t="n">
        <x:v>2.4</x:v>
      </x:c>
      <x:c r="P1691" s="14"/>
      <x:c r="Q1691" s="14" t="n">
        <x:v>49.06</x:v>
      </x:c>
      <x:c r="R1691" s="15" t="n">
        <x:v>216050</x:v>
      </x:c>
      <x:c r="S1691" s="15" t="n">
        <x:v>249903</x:v>
      </x:c>
      <x:c r="T1691" s="15" t="n">
        <x:v>216050</x:v>
      </x:c>
      <x:c r="U1691" s="16" t="n">
        <x:v>5221.12</x:v>
      </x:c>
      <x:c r="V1691" t="str"/>
      <x:c r="W1691" t="str">
        <x:v>Ružinov</x:v>
      </x:c>
      <x:c r="X1691" s="11" t="str">
        <x:v>Rezervovaný</x:v>
      </x:c>
      <x:c r="Y1691" s="11" t="str">
        <x:v>https://slnecnastrana.sk/index.php/byt/b4-02/</x:v>
      </x:c>
      <x:c r="Z1691" s="11" t="n">
        <x:v>46249.4134212037</x:v>
      </x:c>
      <x:c r="AA1691" s="11" t="n">
        <x:v>46253.71734884259</x:v>
      </x:c>
      <x:c r="AB1691" s="11" t="n">
        <x:v>46253.71734884259</x:v>
      </x:c>
      <x:c r="AC1691" t="str">
        <x:v>slnecna_strana</x:v>
      </x:c>
    </x:row>
    <x:row r="1692" ht="22" customHeight="1">
      <x:c r="A1692" t="str">
        <x:v>Slnečná Strana</x:v>
      </x:c>
      <x:c r="B1692" t="str">
        <x:v>B4-03</x:v>
      </x:c>
      <x:c r="C1692" t="str">
        <x:v>reserved</x:v>
      </x:c>
      <x:c r="D1692" t="str">
        <x:v>present</x:v>
      </x:c>
      <x:c r="E1692" t="str">
        <x:v>baseline</x:v>
      </x:c>
      <x:c r="F1692" s="11" t="n">
        <x:v>46249.4134212037</x:v>
      </x:c>
      <x:c r="G1692" t="str">
        <x:v>Byt</x:v>
      </x:c>
      <x:c r="H1692" s="12" t="n">
        <x:v>2</x:v>
      </x:c>
      <x:c r="I1692" s="13" t="n">
        <x:v>4</x:v>
      </x:c>
      <x:c r="J1692" t="str">
        <x:v>B</x:v>
      </x:c>
      <x:c r="K1692" s="14" t="n">
        <x:v>47.77</x:v>
      </x:c>
      <x:c r="L1692" s="14" t="n">
        <x:v>0</x:v>
      </x:c>
      <x:c r="M1692" s="14" t="n">
        <x:v>9.93</x:v>
      </x:c>
      <x:c r="N1692" s="14"/>
      <x:c r="O1692" s="14" t="n">
        <x:v>2.4</x:v>
      </x:c>
      <x:c r="P1692" s="14"/>
      <x:c r="Q1692" s="14" t="n">
        <x:v>60.1</x:v>
      </x:c>
      <x:c r="R1692" s="15"/>
      <x:c r="S1692" s="15"/>
      <x:c r="T1692" s="15"/>
      <x:c r="U1692" s="16"/>
      <x:c r="V1692" t="str"/>
      <x:c r="W1692" t="str">
        <x:v>Ružinov</x:v>
      </x:c>
      <x:c r="X1692" s="11" t="str">
        <x:v>Rezervovaný</x:v>
      </x:c>
      <x:c r="Y1692" s="11" t="str">
        <x:v>https://slnecnastrana.sk/index.php/byt/b4-03/</x:v>
      </x:c>
      <x:c r="Z1692" s="11" t="n">
        <x:v>46249.4134212037</x:v>
      </x:c>
      <x:c r="AA1692" s="11" t="n">
        <x:v>46253.71734884259</x:v>
      </x:c>
      <x:c r="AB1692" s="11" t="n">
        <x:v>46253.71734884259</x:v>
      </x:c>
      <x:c r="AC1692" t="str">
        <x:v>slnecna_strana</x:v>
      </x:c>
    </x:row>
    <x:row r="1693" ht="22" customHeight="1">
      <x:c r="A1693" t="str">
        <x:v>Slnečná Strana</x:v>
      </x:c>
      <x:c r="B1693" t="str">
        <x:v>B4-04</x:v>
      </x:c>
      <x:c r="C1693" t="str">
        <x:v>reserved</x:v>
      </x:c>
      <x:c r="D1693" t="str">
        <x:v>present</x:v>
      </x:c>
      <x:c r="E1693" t="str">
        <x:v>baseline</x:v>
      </x:c>
      <x:c r="F1693" s="11" t="n">
        <x:v>46249.4134212037</x:v>
      </x:c>
      <x:c r="G1693" t="str">
        <x:v>Byt</x:v>
      </x:c>
      <x:c r="H1693" s="12" t="n">
        <x:v>2</x:v>
      </x:c>
      <x:c r="I1693" s="13" t="n">
        <x:v>4</x:v>
      </x:c>
      <x:c r="J1693" t="str">
        <x:v>B</x:v>
      </x:c>
      <x:c r="K1693" s="14" t="n">
        <x:v>46.18</x:v>
      </x:c>
      <x:c r="L1693" s="14" t="n">
        <x:v>6.94</x:v>
      </x:c>
      <x:c r="M1693" s="14" t="n">
        <x:v>0</x:v>
      </x:c>
      <x:c r="N1693" s="14"/>
      <x:c r="O1693" s="14" t="n">
        <x:v>2.4</x:v>
      </x:c>
      <x:c r="P1693" s="14"/>
      <x:c r="Q1693" s="14" t="n">
        <x:v>55.52</x:v>
      </x:c>
      <x:c r="R1693" s="15"/>
      <x:c r="S1693" s="15"/>
      <x:c r="T1693" s="15"/>
      <x:c r="U1693" s="16"/>
      <x:c r="V1693" t="str"/>
      <x:c r="W1693" t="str">
        <x:v>Ružinov</x:v>
      </x:c>
      <x:c r="X1693" s="11" t="str">
        <x:v>Rezervovaný</x:v>
      </x:c>
      <x:c r="Y1693" s="11" t="str">
        <x:v>https://slnecnastrana.sk/index.php/byt/b4-04/</x:v>
      </x:c>
      <x:c r="Z1693" s="11" t="n">
        <x:v>46249.4134212037</x:v>
      </x:c>
      <x:c r="AA1693" s="11" t="n">
        <x:v>46253.71734884259</x:v>
      </x:c>
      <x:c r="AB1693" s="11" t="n">
        <x:v>46253.71734884259</x:v>
      </x:c>
      <x:c r="AC1693" t="str">
        <x:v>slnecna_strana</x:v>
      </x:c>
    </x:row>
    <x:row r="1694" ht="22" customHeight="1">
      <x:c r="A1694" t="str">
        <x:v>Slnečná Strana</x:v>
      </x:c>
      <x:c r="B1694" t="str">
        <x:v>B4-05</x:v>
      </x:c>
      <x:c r="C1694" t="str">
        <x:v>reserved</x:v>
      </x:c>
      <x:c r="D1694" t="str">
        <x:v>present</x:v>
      </x:c>
      <x:c r="E1694" t="str">
        <x:v>baseline</x:v>
      </x:c>
      <x:c r="F1694" s="11" t="n">
        <x:v>46249.4134212037</x:v>
      </x:c>
      <x:c r="G1694" t="str">
        <x:v>Byt</x:v>
      </x:c>
      <x:c r="H1694" s="12" t="n">
        <x:v>2</x:v>
      </x:c>
      <x:c r="I1694" s="13" t="n">
        <x:v>4</x:v>
      </x:c>
      <x:c r="J1694" t="str">
        <x:v>B</x:v>
      </x:c>
      <x:c r="K1694" s="14" t="n">
        <x:v>46.93</x:v>
      </x:c>
      <x:c r="L1694" s="14" t="n">
        <x:v>0</x:v>
      </x:c>
      <x:c r="M1694" s="14" t="n">
        <x:v>9.6</x:v>
      </x:c>
      <x:c r="N1694" s="14"/>
      <x:c r="O1694" s="14" t="n">
        <x:v>2.4</x:v>
      </x:c>
      <x:c r="P1694" s="14"/>
      <x:c r="Q1694" s="14" t="n">
        <x:v>58.93</x:v>
      </x:c>
      <x:c r="R1694" s="15"/>
      <x:c r="S1694" s="15"/>
      <x:c r="T1694" s="15"/>
      <x:c r="U1694" s="16"/>
      <x:c r="V1694" t="str"/>
      <x:c r="W1694" t="str">
        <x:v>Ružinov</x:v>
      </x:c>
      <x:c r="X1694" s="11" t="str">
        <x:v>Rezervovaný</x:v>
      </x:c>
      <x:c r="Y1694" s="11" t="str">
        <x:v>https://slnecnastrana.sk/index.php/byt/b4-05/</x:v>
      </x:c>
      <x:c r="Z1694" s="11" t="n">
        <x:v>46249.4134212037</x:v>
      </x:c>
      <x:c r="AA1694" s="11" t="n">
        <x:v>46253.71734884259</x:v>
      </x:c>
      <x:c r="AB1694" s="11" t="n">
        <x:v>46253.71734884259</x:v>
      </x:c>
      <x:c r="AC1694" t="str">
        <x:v>slnecna_strana</x:v>
      </x:c>
    </x:row>
    <x:row r="1695" ht="22" customHeight="1">
      <x:c r="A1695" t="str">
        <x:v>Slnečná Strana</x:v>
      </x:c>
      <x:c r="B1695" t="str">
        <x:v>B4-06</x:v>
      </x:c>
      <x:c r="C1695" t="str">
        <x:v>reserved</x:v>
      </x:c>
      <x:c r="D1695" t="str">
        <x:v>present</x:v>
      </x:c>
      <x:c r="E1695" t="str">
        <x:v>baseline</x:v>
      </x:c>
      <x:c r="F1695" s="11" t="n">
        <x:v>46249.4134212037</x:v>
      </x:c>
      <x:c r="G1695" t="str">
        <x:v>Byt</x:v>
      </x:c>
      <x:c r="H1695" s="12" t="n">
        <x:v>2</x:v>
      </x:c>
      <x:c r="I1695" s="13" t="n">
        <x:v>4</x:v>
      </x:c>
      <x:c r="J1695" t="str">
        <x:v>B</x:v>
      </x:c>
      <x:c r="K1695" s="14" t="n">
        <x:v>43.83</x:v>
      </x:c>
      <x:c r="L1695" s="14" t="n">
        <x:v>4.22</x:v>
      </x:c>
      <x:c r="M1695" s="14" t="n">
        <x:v>0</x:v>
      </x:c>
      <x:c r="N1695" s="14"/>
      <x:c r="O1695" s="14" t="n">
        <x:v>2.4</x:v>
      </x:c>
      <x:c r="P1695" s="14"/>
      <x:c r="Q1695" s="14" t="n">
        <x:v>50.45</x:v>
      </x:c>
      <x:c r="R1695" s="15"/>
      <x:c r="S1695" s="15"/>
      <x:c r="T1695" s="15"/>
      <x:c r="U1695" s="16"/>
      <x:c r="V1695" t="str"/>
      <x:c r="W1695" t="str">
        <x:v>Ružinov</x:v>
      </x:c>
      <x:c r="X1695" s="11" t="str">
        <x:v>Rezervovaný</x:v>
      </x:c>
      <x:c r="Y1695" s="11" t="str">
        <x:v>https://slnecnastrana.sk/index.php/byt/b4-06/</x:v>
      </x:c>
      <x:c r="Z1695" s="11" t="n">
        <x:v>46249.4134212037</x:v>
      </x:c>
      <x:c r="AA1695" s="11" t="n">
        <x:v>46253.71734884259</x:v>
      </x:c>
      <x:c r="AB1695" s="11" t="n">
        <x:v>46253.71734884259</x:v>
      </x:c>
      <x:c r="AC1695" t="str">
        <x:v>slnecna_strana</x:v>
      </x:c>
    </x:row>
    <x:row r="1696" ht="22" customHeight="1">
      <x:c r="A1696" t="str">
        <x:v>Slnečná Strana</x:v>
      </x:c>
      <x:c r="B1696" t="str">
        <x:v>B4-07</x:v>
      </x:c>
      <x:c r="C1696" t="str">
        <x:v>reserved</x:v>
      </x:c>
      <x:c r="D1696" t="str">
        <x:v>present</x:v>
      </x:c>
      <x:c r="E1696" t="str">
        <x:v>baseline</x:v>
      </x:c>
      <x:c r="F1696" s="11" t="n">
        <x:v>46249.4134212037</x:v>
      </x:c>
      <x:c r="G1696" t="str">
        <x:v>Byt</x:v>
      </x:c>
      <x:c r="H1696" s="12" t="n">
        <x:v>1.5</x:v>
      </x:c>
      <x:c r="I1696" s="13" t="n">
        <x:v>4</x:v>
      </x:c>
      <x:c r="J1696" t="str">
        <x:v>B</x:v>
      </x:c>
      <x:c r="K1696" s="14" t="n">
        <x:v>31.47</x:v>
      </x:c>
      <x:c r="L1696" s="14" t="n">
        <x:v>3.33</x:v>
      </x:c>
      <x:c r="M1696" s="14" t="n">
        <x:v>0</x:v>
      </x:c>
      <x:c r="N1696" s="14"/>
      <x:c r="O1696" s="14" t="n">
        <x:v>2.4</x:v>
      </x:c>
      <x:c r="P1696" s="14"/>
      <x:c r="Q1696" s="14" t="n">
        <x:v>37.2</x:v>
      </x:c>
      <x:c r="R1696" s="15"/>
      <x:c r="S1696" s="15"/>
      <x:c r="T1696" s="15"/>
      <x:c r="U1696" s="16"/>
      <x:c r="V1696" t="str"/>
      <x:c r="W1696" t="str">
        <x:v>Ružinov</x:v>
      </x:c>
      <x:c r="X1696" s="11" t="str">
        <x:v>Rezervovaný</x:v>
      </x:c>
      <x:c r="Y1696" s="11" t="str">
        <x:v>https://slnecnastrana.sk/index.php/byt/b4-07/</x:v>
      </x:c>
      <x:c r="Z1696" s="11" t="n">
        <x:v>46249.4134212037</x:v>
      </x:c>
      <x:c r="AA1696" s="11" t="n">
        <x:v>46253.71734884259</x:v>
      </x:c>
      <x:c r="AB1696" s="11" t="n">
        <x:v>46253.71734884259</x:v>
      </x:c>
      <x:c r="AC1696" t="str">
        <x:v>slnecna_strana</x:v>
      </x:c>
    </x:row>
    <x:row r="1697" ht="22" customHeight="1">
      <x:c r="A1697" t="str">
        <x:v>Slnečná Strana</x:v>
      </x:c>
      <x:c r="B1697" t="str">
        <x:v>B5-01</x:v>
      </x:c>
      <x:c r="C1697" t="str">
        <x:v>available</x:v>
      </x:c>
      <x:c r="D1697" t="str">
        <x:v>present</x:v>
      </x:c>
      <x:c r="E1697" t="str">
        <x:v>baseline</x:v>
      </x:c>
      <x:c r="F1697" s="11" t="n">
        <x:v>46249.4134212037</x:v>
      </x:c>
      <x:c r="G1697" t="str">
        <x:v>Byt</x:v>
      </x:c>
      <x:c r="H1697" s="12" t="n">
        <x:v>2</x:v>
      </x:c>
      <x:c r="I1697" s="13" t="n">
        <x:v>5</x:v>
      </x:c>
      <x:c r="J1697" t="str">
        <x:v>B</x:v>
      </x:c>
      <x:c r="K1697" s="14" t="n">
        <x:v>49.99</x:v>
      </x:c>
      <x:c r="L1697" s="14" t="n">
        <x:v>4.05</x:v>
      </x:c>
      <x:c r="M1697" s="14" t="n">
        <x:v>0</x:v>
      </x:c>
      <x:c r="N1697" s="14"/>
      <x:c r="O1697" s="14" t="n">
        <x:v>2.4</x:v>
      </x:c>
      <x:c r="P1697" s="14"/>
      <x:c r="Q1697" s="14" t="n">
        <x:v>56.44</x:v>
      </x:c>
      <x:c r="R1697" s="15" t="n">
        <x:v>267880</x:v>
      </x:c>
      <x:c r="S1697" s="15" t="n">
        <x:v>310648</x:v>
      </x:c>
      <x:c r="T1697" s="15" t="n">
        <x:v>267880</x:v>
      </x:c>
      <x:c r="U1697" s="16" t="n">
        <x:v>5358.67</x:v>
      </x:c>
      <x:c r="V1697" t="str"/>
      <x:c r="W1697" t="str">
        <x:v>Ružinov</x:v>
      </x:c>
      <x:c r="X1697" s="11" t="str">
        <x:v>Voľný</x:v>
      </x:c>
      <x:c r="Y1697" s="11" t="str">
        <x:v>https://slnecnastrana.sk/index.php/byt/b5-01/</x:v>
      </x:c>
      <x:c r="Z1697" s="11" t="n">
        <x:v>46249.4134212037</x:v>
      </x:c>
      <x:c r="AA1697" s="11" t="n">
        <x:v>46253.71734884259</x:v>
      </x:c>
      <x:c r="AB1697" s="11" t="n">
        <x:v>46253.71734884259</x:v>
      </x:c>
      <x:c r="AC1697" t="str">
        <x:v>slnecna_strana</x:v>
      </x:c>
    </x:row>
    <x:row r="1698" ht="22" customHeight="1">
      <x:c r="A1698" t="str">
        <x:v>Slnečná Strana</x:v>
      </x:c>
      <x:c r="B1698" t="str">
        <x:v>B5-02</x:v>
      </x:c>
      <x:c r="C1698" t="str">
        <x:v>available</x:v>
      </x:c>
      <x:c r="D1698" t="str">
        <x:v>present</x:v>
      </x:c>
      <x:c r="E1698" t="str">
        <x:v>baseline</x:v>
      </x:c>
      <x:c r="F1698" s="11" t="n">
        <x:v>46249.4134212037</x:v>
      </x:c>
      <x:c r="G1698" t="str">
        <x:v>Byt</x:v>
      </x:c>
      <x:c r="H1698" s="12" t="n">
        <x:v>1</x:v>
      </x:c>
      <x:c r="I1698" s="13" t="n">
        <x:v>5</x:v>
      </x:c>
      <x:c r="J1698" t="str">
        <x:v>B</x:v>
      </x:c>
      <x:c r="K1698" s="14" t="n">
        <x:v>41.38</x:v>
      </x:c>
      <x:c r="L1698" s="14" t="n">
        <x:v>0</x:v>
      </x:c>
      <x:c r="M1698" s="14" t="n">
        <x:v>5.28</x:v>
      </x:c>
      <x:c r="N1698" s="14"/>
      <x:c r="O1698" s="14" t="n">
        <x:v>2.4</x:v>
      </x:c>
      <x:c r="P1698" s="14"/>
      <x:c r="Q1698" s="14" t="n">
        <x:v>49.06</x:v>
      </x:c>
      <x:c r="R1698" s="15" t="n">
        <x:v>233098</x:v>
      </x:c>
      <x:c r="S1698" s="15" t="n">
        <x:v>270698</x:v>
      </x:c>
      <x:c r="T1698" s="15" t="n">
        <x:v>233098</x:v>
      </x:c>
      <x:c r="U1698" s="16" t="n">
        <x:v>5633.11</x:v>
      </x:c>
      <x:c r="V1698" t="str"/>
      <x:c r="W1698" t="str">
        <x:v>Ružinov</x:v>
      </x:c>
      <x:c r="X1698" s="11" t="str">
        <x:v>Voľný</x:v>
      </x:c>
      <x:c r="Y1698" s="11" t="str">
        <x:v>https://slnecnastrana.sk/index.php/byt/b5-02/</x:v>
      </x:c>
      <x:c r="Z1698" s="11" t="n">
        <x:v>46249.4134212037</x:v>
      </x:c>
      <x:c r="AA1698" s="11" t="n">
        <x:v>46253.71734884259</x:v>
      </x:c>
      <x:c r="AB1698" s="11" t="n">
        <x:v>46253.71734884259</x:v>
      </x:c>
      <x:c r="AC1698" t="str">
        <x:v>slnecna_strana</x:v>
      </x:c>
    </x:row>
    <x:row r="1699" ht="22" customHeight="1">
      <x:c r="A1699" t="str">
        <x:v>Slnečná Strana</x:v>
      </x:c>
      <x:c r="B1699" t="str">
        <x:v>B5-03</x:v>
      </x:c>
      <x:c r="C1699" t="str">
        <x:v>reserved</x:v>
      </x:c>
      <x:c r="D1699" t="str">
        <x:v>present</x:v>
      </x:c>
      <x:c r="E1699" t="str">
        <x:v>baseline</x:v>
      </x:c>
      <x:c r="F1699" s="11" t="n">
        <x:v>46249.4134212037</x:v>
      </x:c>
      <x:c r="G1699" t="str">
        <x:v>Byt</x:v>
      </x:c>
      <x:c r="H1699" s="12" t="n">
        <x:v>2</x:v>
      </x:c>
      <x:c r="I1699" s="13" t="n">
        <x:v>5</x:v>
      </x:c>
      <x:c r="J1699" t="str">
        <x:v>B</x:v>
      </x:c>
      <x:c r="K1699" s="14" t="n">
        <x:v>47.77</x:v>
      </x:c>
      <x:c r="L1699" s="14" t="n">
        <x:v>0</x:v>
      </x:c>
      <x:c r="M1699" s="14" t="n">
        <x:v>9.93</x:v>
      </x:c>
      <x:c r="N1699" s="14"/>
      <x:c r="O1699" s="14" t="n">
        <x:v>2.4</x:v>
      </x:c>
      <x:c r="P1699" s="14"/>
      <x:c r="Q1699" s="14" t="n">
        <x:v>60.1</x:v>
      </x:c>
      <x:c r="R1699" s="15"/>
      <x:c r="S1699" s="15"/>
      <x:c r="T1699" s="15"/>
      <x:c r="U1699" s="16"/>
      <x:c r="V1699" t="str"/>
      <x:c r="W1699" t="str">
        <x:v>Ružinov</x:v>
      </x:c>
      <x:c r="X1699" s="11" t="str">
        <x:v>Rezervovaný</x:v>
      </x:c>
      <x:c r="Y1699" s="11" t="str">
        <x:v>https://slnecnastrana.sk/index.php/byt/b5-03/</x:v>
      </x:c>
      <x:c r="Z1699" s="11" t="n">
        <x:v>46249.4134212037</x:v>
      </x:c>
      <x:c r="AA1699" s="11" t="n">
        <x:v>46253.71734884259</x:v>
      </x:c>
      <x:c r="AB1699" s="11" t="n">
        <x:v>46253.71734884259</x:v>
      </x:c>
      <x:c r="AC1699" t="str">
        <x:v>slnecna_strana</x:v>
      </x:c>
    </x:row>
    <x:row r="1700" ht="22" customHeight="1">
      <x:c r="A1700" t="str">
        <x:v>Slnečná Strana</x:v>
      </x:c>
      <x:c r="B1700" t="str">
        <x:v>B5-04</x:v>
      </x:c>
      <x:c r="C1700" t="str">
        <x:v>available</x:v>
      </x:c>
      <x:c r="D1700" t="str">
        <x:v>present</x:v>
      </x:c>
      <x:c r="E1700" t="str">
        <x:v>baseline</x:v>
      </x:c>
      <x:c r="F1700" s="11" t="n">
        <x:v>46249.4134212037</x:v>
      </x:c>
      <x:c r="G1700" t="str">
        <x:v>Byt</x:v>
      </x:c>
      <x:c r="H1700" s="12" t="n">
        <x:v>2</x:v>
      </x:c>
      <x:c r="I1700" s="13" t="n">
        <x:v>5</x:v>
      </x:c>
      <x:c r="J1700" t="str">
        <x:v>B</x:v>
      </x:c>
      <x:c r="K1700" s="14" t="n">
        <x:v>46.18</x:v>
      </x:c>
      <x:c r="L1700" s="14" t="n">
        <x:v>6.94</x:v>
      </x:c>
      <x:c r="M1700" s="14" t="n">
        <x:v>0</x:v>
      </x:c>
      <x:c r="N1700" s="14"/>
      <x:c r="O1700" s="14" t="n">
        <x:v>2.4</x:v>
      </x:c>
      <x:c r="P1700" s="14"/>
      <x:c r="Q1700" s="14" t="n">
        <x:v>55.52</x:v>
      </x:c>
      <x:c r="R1700" s="15" t="n">
        <x:v>255224</x:v>
      </x:c>
      <x:c r="S1700" s="15" t="n">
        <x:v>295937</x:v>
      </x:c>
      <x:c r="T1700" s="15" t="n">
        <x:v>255224</x:v>
      </x:c>
      <x:c r="U1700" s="16" t="n">
        <x:v>5526.72</x:v>
      </x:c>
      <x:c r="V1700" t="str"/>
      <x:c r="W1700" t="str">
        <x:v>Ružinov</x:v>
      </x:c>
      <x:c r="X1700" s="11" t="str">
        <x:v>Voľný</x:v>
      </x:c>
      <x:c r="Y1700" s="11" t="str">
        <x:v>https://slnecnastrana.sk/index.php/byt/b5-04/</x:v>
      </x:c>
      <x:c r="Z1700" s="11" t="n">
        <x:v>46249.4134212037</x:v>
      </x:c>
      <x:c r="AA1700" s="11" t="n">
        <x:v>46253.71734884259</x:v>
      </x:c>
      <x:c r="AB1700" s="11" t="n">
        <x:v>46253.71734884259</x:v>
      </x:c>
      <x:c r="AC1700" t="str">
        <x:v>slnecna_strana</x:v>
      </x:c>
    </x:row>
    <x:row r="1701" ht="22" customHeight="1">
      <x:c r="A1701" t="str">
        <x:v>Slnečná Strana</x:v>
      </x:c>
      <x:c r="B1701" t="str">
        <x:v>B5-05</x:v>
      </x:c>
      <x:c r="C1701" t="str">
        <x:v>reserved</x:v>
      </x:c>
      <x:c r="D1701" t="str">
        <x:v>present</x:v>
      </x:c>
      <x:c r="E1701" t="str">
        <x:v>baseline</x:v>
      </x:c>
      <x:c r="F1701" s="11" t="n">
        <x:v>46249.4134212037</x:v>
      </x:c>
      <x:c r="G1701" t="str">
        <x:v>Byt</x:v>
      </x:c>
      <x:c r="H1701" s="12" t="n">
        <x:v>2</x:v>
      </x:c>
      <x:c r="I1701" s="13" t="n">
        <x:v>5</x:v>
      </x:c>
      <x:c r="J1701" t="str">
        <x:v>B</x:v>
      </x:c>
      <x:c r="K1701" s="14" t="n">
        <x:v>46.93</x:v>
      </x:c>
      <x:c r="L1701" s="14" t="n">
        <x:v>0</x:v>
      </x:c>
      <x:c r="M1701" s="14" t="n">
        <x:v>9.6</x:v>
      </x:c>
      <x:c r="N1701" s="14"/>
      <x:c r="O1701" s="14" t="n">
        <x:v>2.4</x:v>
      </x:c>
      <x:c r="P1701" s="14"/>
      <x:c r="Q1701" s="14" t="n">
        <x:v>58.93</x:v>
      </x:c>
      <x:c r="R1701" s="15"/>
      <x:c r="S1701" s="15"/>
      <x:c r="T1701" s="15"/>
      <x:c r="U1701" s="16"/>
      <x:c r="V1701" t="str"/>
      <x:c r="W1701" t="str">
        <x:v>Ružinov</x:v>
      </x:c>
      <x:c r="X1701" s="11" t="str">
        <x:v>Rezervovaný</x:v>
      </x:c>
      <x:c r="Y1701" s="11" t="str">
        <x:v>https://slnecnastrana.sk/index.php/byt/b5-05/</x:v>
      </x:c>
      <x:c r="Z1701" s="11" t="n">
        <x:v>46249.4134212037</x:v>
      </x:c>
      <x:c r="AA1701" s="11" t="n">
        <x:v>46253.71734884259</x:v>
      </x:c>
      <x:c r="AB1701" s="11" t="n">
        <x:v>46253.71734884259</x:v>
      </x:c>
      <x:c r="AC1701" t="str">
        <x:v>slnecna_strana</x:v>
      </x:c>
    </x:row>
    <x:row r="1702" ht="22" customHeight="1">
      <x:c r="A1702" t="str">
        <x:v>Slnečná Strana</x:v>
      </x:c>
      <x:c r="B1702" t="str">
        <x:v>B5-06</x:v>
      </x:c>
      <x:c r="C1702" t="str">
        <x:v>reserved</x:v>
      </x:c>
      <x:c r="D1702" t="str">
        <x:v>present</x:v>
      </x:c>
      <x:c r="E1702" t="str">
        <x:v>baseline</x:v>
      </x:c>
      <x:c r="F1702" s="11" t="n">
        <x:v>46249.4134212037</x:v>
      </x:c>
      <x:c r="G1702" t="str">
        <x:v>Byt</x:v>
      </x:c>
      <x:c r="H1702" s="12" t="n">
        <x:v>2</x:v>
      </x:c>
      <x:c r="I1702" s="13" t="n">
        <x:v>5</x:v>
      </x:c>
      <x:c r="J1702" t="str">
        <x:v>B</x:v>
      </x:c>
      <x:c r="K1702" s="14" t="n">
        <x:v>43.83</x:v>
      </x:c>
      <x:c r="L1702" s="14" t="n">
        <x:v>4.22</x:v>
      </x:c>
      <x:c r="M1702" s="14" t="n">
        <x:v>0</x:v>
      </x:c>
      <x:c r="N1702" s="14"/>
      <x:c r="O1702" s="14" t="n">
        <x:v>2.4</x:v>
      </x:c>
      <x:c r="P1702" s="14"/>
      <x:c r="Q1702" s="14" t="n">
        <x:v>50.45</x:v>
      </x:c>
      <x:c r="R1702" s="15"/>
      <x:c r="S1702" s="15"/>
      <x:c r="T1702" s="15"/>
      <x:c r="U1702" s="16"/>
      <x:c r="V1702" t="str"/>
      <x:c r="W1702" t="str">
        <x:v>Ružinov</x:v>
      </x:c>
      <x:c r="X1702" s="11" t="str">
        <x:v>Rezervovaný</x:v>
      </x:c>
      <x:c r="Y1702" s="11" t="str">
        <x:v>https://slnecnastrana.sk/index.php/byt/b5-06/</x:v>
      </x:c>
      <x:c r="Z1702" s="11" t="n">
        <x:v>46249.4134212037</x:v>
      </x:c>
      <x:c r="AA1702" s="11" t="n">
        <x:v>46253.71734884259</x:v>
      </x:c>
      <x:c r="AB1702" s="11" t="n">
        <x:v>46253.71734884259</x:v>
      </x:c>
      <x:c r="AC1702" t="str">
        <x:v>slnecna_strana</x:v>
      </x:c>
    </x:row>
    <x:row r="1703" ht="22" customHeight="1">
      <x:c r="A1703" t="str">
        <x:v>Slnečná Strana</x:v>
      </x:c>
      <x:c r="B1703" t="str">
        <x:v>B5-07</x:v>
      </x:c>
      <x:c r="C1703" t="str">
        <x:v>reserved</x:v>
      </x:c>
      <x:c r="D1703" t="str">
        <x:v>present</x:v>
      </x:c>
      <x:c r="E1703" t="str">
        <x:v>baseline</x:v>
      </x:c>
      <x:c r="F1703" s="11" t="n">
        <x:v>46249.4134212037</x:v>
      </x:c>
      <x:c r="G1703" t="str">
        <x:v>Byt</x:v>
      </x:c>
      <x:c r="H1703" s="12" t="n">
        <x:v>1.5</x:v>
      </x:c>
      <x:c r="I1703" s="13" t="n">
        <x:v>5</x:v>
      </x:c>
      <x:c r="J1703" t="str">
        <x:v>B</x:v>
      </x:c>
      <x:c r="K1703" s="14" t="n">
        <x:v>31.47</x:v>
      </x:c>
      <x:c r="L1703" s="14" t="n">
        <x:v>3.33</x:v>
      </x:c>
      <x:c r="M1703" s="14" t="n">
        <x:v>0</x:v>
      </x:c>
      <x:c r="N1703" s="14"/>
      <x:c r="O1703" s="14" t="n">
        <x:v>2.4</x:v>
      </x:c>
      <x:c r="P1703" s="14"/>
      <x:c r="Q1703" s="14" t="n">
        <x:v>37.2</x:v>
      </x:c>
      <x:c r="R1703" s="15"/>
      <x:c r="S1703" s="15"/>
      <x:c r="T1703" s="15"/>
      <x:c r="U1703" s="16"/>
      <x:c r="V1703" t="str"/>
      <x:c r="W1703" t="str">
        <x:v>Ružinov</x:v>
      </x:c>
      <x:c r="X1703" s="11" t="str">
        <x:v>Rezervovaný</x:v>
      </x:c>
      <x:c r="Y1703" s="11" t="str">
        <x:v>https://slnecnastrana.sk/index.php/byt/b5-07/</x:v>
      </x:c>
      <x:c r="Z1703" s="11" t="n">
        <x:v>46249.4134212037</x:v>
      </x:c>
      <x:c r="AA1703" s="11" t="n">
        <x:v>46253.71734884259</x:v>
      </x:c>
      <x:c r="AB1703" s="11" t="n">
        <x:v>46253.71734884259</x:v>
      </x:c>
      <x:c r="AC1703" t="str">
        <x:v>slnecna_strana</x:v>
      </x:c>
    </x:row>
    <x:row r="1704" ht="22" customHeight="1">
      <x:c r="A1704" t="str">
        <x:v>Slnečná Strana</x:v>
      </x:c>
      <x:c r="B1704" t="str">
        <x:v>B6-01</x:v>
      </x:c>
      <x:c r="C1704" t="str">
        <x:v>available</x:v>
      </x:c>
      <x:c r="D1704" t="str">
        <x:v>present</x:v>
      </x:c>
      <x:c r="E1704" t="str">
        <x:v>baseline</x:v>
      </x:c>
      <x:c r="F1704" s="11" t="n">
        <x:v>46249.4134212037</x:v>
      </x:c>
      <x:c r="G1704" t="str">
        <x:v>Byt</x:v>
      </x:c>
      <x:c r="H1704" s="12" t="n">
        <x:v>2</x:v>
      </x:c>
      <x:c r="I1704" s="13" t="n">
        <x:v>6</x:v>
      </x:c>
      <x:c r="J1704" t="str">
        <x:v>B</x:v>
      </x:c>
      <x:c r="K1704" s="14" t="n">
        <x:v>49.99</x:v>
      </x:c>
      <x:c r="L1704" s="14" t="n">
        <x:v>4.05</x:v>
      </x:c>
      <x:c r="M1704" s="14" t="n">
        <x:v>0</x:v>
      </x:c>
      <x:c r="N1704" s="14"/>
      <x:c r="O1704" s="14" t="n">
        <x:v>2.4</x:v>
      </x:c>
      <x:c r="P1704" s="14"/>
      <x:c r="Q1704" s="14" t="n">
        <x:v>56.44</x:v>
      </x:c>
      <x:c r="R1704" s="15" t="n">
        <x:v>277663</x:v>
      </x:c>
      <x:c r="S1704" s="15" t="n">
        <x:v>322319</x:v>
      </x:c>
      <x:c r="T1704" s="15" t="n">
        <x:v>277663</x:v>
      </x:c>
      <x:c r="U1704" s="16" t="n">
        <x:v>5554.37</x:v>
      </x:c>
      <x:c r="V1704" t="str"/>
      <x:c r="W1704" t="str">
        <x:v>Ružinov</x:v>
      </x:c>
      <x:c r="X1704" s="11" t="str">
        <x:v>Voľný</x:v>
      </x:c>
      <x:c r="Y1704" s="11" t="str">
        <x:v>https://slnecnastrana.sk/index.php/byt/b6-01/</x:v>
      </x:c>
      <x:c r="Z1704" s="11" t="n">
        <x:v>46249.4134212037</x:v>
      </x:c>
      <x:c r="AA1704" s="11" t="n">
        <x:v>46253.71734884259</x:v>
      </x:c>
      <x:c r="AB1704" s="11" t="n">
        <x:v>46253.71734884259</x:v>
      </x:c>
      <x:c r="AC1704" t="str">
        <x:v>slnecna_strana</x:v>
      </x:c>
    </x:row>
    <x:row r="1705" ht="22" customHeight="1">
      <x:c r="A1705" t="str">
        <x:v>Slnečná Strana</x:v>
      </x:c>
      <x:c r="B1705" t="str">
        <x:v>B6-02</x:v>
      </x:c>
      <x:c r="C1705" t="str">
        <x:v>available</x:v>
      </x:c>
      <x:c r="D1705" t="str">
        <x:v>present</x:v>
      </x:c>
      <x:c r="E1705" t="str">
        <x:v>baseline</x:v>
      </x:c>
      <x:c r="F1705" s="11" t="n">
        <x:v>46249.4134212037</x:v>
      </x:c>
      <x:c r="G1705" t="str">
        <x:v>Byt</x:v>
      </x:c>
      <x:c r="H1705" s="12" t="n">
        <x:v>1</x:v>
      </x:c>
      <x:c r="I1705" s="13" t="n">
        <x:v>6</x:v>
      </x:c>
      <x:c r="J1705" t="str">
        <x:v>B</x:v>
      </x:c>
      <x:c r="K1705" s="14" t="n">
        <x:v>41.38</x:v>
      </x:c>
      <x:c r="L1705" s="14" t="n">
        <x:v>0</x:v>
      </x:c>
      <x:c r="M1705" s="14" t="n">
        <x:v>5.28</x:v>
      </x:c>
      <x:c r="N1705" s="14"/>
      <x:c r="O1705" s="14" t="n">
        <x:v>2.4</x:v>
      </x:c>
      <x:c r="P1705" s="14"/>
      <x:c r="Q1705" s="14" t="n">
        <x:v>49.06</x:v>
      </x:c>
      <x:c r="R1705" s="15" t="n">
        <x:v>226279</x:v>
      </x:c>
      <x:c r="S1705" s="15" t="n">
        <x:v>262379</x:v>
      </x:c>
      <x:c r="T1705" s="15" t="n">
        <x:v>226279</x:v>
      </x:c>
      <x:c r="U1705" s="16" t="n">
        <x:v>5468.32</x:v>
      </x:c>
      <x:c r="V1705" t="str"/>
      <x:c r="W1705" t="str">
        <x:v>Ružinov</x:v>
      </x:c>
      <x:c r="X1705" s="11" t="str">
        <x:v>Voľný</x:v>
      </x:c>
      <x:c r="Y1705" s="11" t="str">
        <x:v>https://slnecnastrana.sk/index.php/byt/b6-02/</x:v>
      </x:c>
      <x:c r="Z1705" s="11" t="n">
        <x:v>46249.4134212037</x:v>
      </x:c>
      <x:c r="AA1705" s="11" t="n">
        <x:v>46253.71734884259</x:v>
      </x:c>
      <x:c r="AB1705" s="11" t="n">
        <x:v>46253.71734884259</x:v>
      </x:c>
      <x:c r="AC1705" t="str">
        <x:v>slnecna_strana</x:v>
      </x:c>
    </x:row>
    <x:row r="1706" ht="22" customHeight="1">
      <x:c r="A1706" t="str">
        <x:v>Slnečná Strana</x:v>
      </x:c>
      <x:c r="B1706" t="str">
        <x:v>B6-03</x:v>
      </x:c>
      <x:c r="C1706" t="str">
        <x:v>reserved</x:v>
      </x:c>
      <x:c r="D1706" t="str">
        <x:v>present</x:v>
      </x:c>
      <x:c r="E1706" t="str">
        <x:v>baseline</x:v>
      </x:c>
      <x:c r="F1706" s="11" t="n">
        <x:v>46249.4134212037</x:v>
      </x:c>
      <x:c r="G1706" t="str">
        <x:v>Byt</x:v>
      </x:c>
      <x:c r="H1706" s="12" t="n">
        <x:v>2</x:v>
      </x:c>
      <x:c r="I1706" s="13" t="n">
        <x:v>6</x:v>
      </x:c>
      <x:c r="J1706" t="str">
        <x:v>B</x:v>
      </x:c>
      <x:c r="K1706" s="14" t="n">
        <x:v>47.77</x:v>
      </x:c>
      <x:c r="L1706" s="14" t="n">
        <x:v>0</x:v>
      </x:c>
      <x:c r="M1706" s="14" t="n">
        <x:v>9.93</x:v>
      </x:c>
      <x:c r="N1706" s="14"/>
      <x:c r="O1706" s="14" t="n">
        <x:v>2.4</x:v>
      </x:c>
      <x:c r="P1706" s="14"/>
      <x:c r="Q1706" s="14" t="n">
        <x:v>60.1</x:v>
      </x:c>
      <x:c r="R1706" s="15"/>
      <x:c r="S1706" s="15"/>
      <x:c r="T1706" s="15"/>
      <x:c r="U1706" s="16"/>
      <x:c r="V1706" t="str"/>
      <x:c r="W1706" t="str">
        <x:v>Ružinov</x:v>
      </x:c>
      <x:c r="X1706" s="11" t="str">
        <x:v>Rezervovaný</x:v>
      </x:c>
      <x:c r="Y1706" s="11" t="str">
        <x:v>https://slnecnastrana.sk/index.php/byt/b6-03/</x:v>
      </x:c>
      <x:c r="Z1706" s="11" t="n">
        <x:v>46249.4134212037</x:v>
      </x:c>
      <x:c r="AA1706" s="11" t="n">
        <x:v>46253.71734884259</x:v>
      </x:c>
      <x:c r="AB1706" s="11" t="n">
        <x:v>46253.71734884259</x:v>
      </x:c>
      <x:c r="AC1706" t="str">
        <x:v>slnecna_strana</x:v>
      </x:c>
    </x:row>
    <x:row r="1707" ht="22" customHeight="1">
      <x:c r="A1707" t="str">
        <x:v>Slnečná Strana</x:v>
      </x:c>
      <x:c r="B1707" t="str">
        <x:v>B6-04</x:v>
      </x:c>
      <x:c r="C1707" t="str">
        <x:v>reserved</x:v>
      </x:c>
      <x:c r="D1707" t="str">
        <x:v>present</x:v>
      </x:c>
      <x:c r="E1707" t="str">
        <x:v>baseline</x:v>
      </x:c>
      <x:c r="F1707" s="11" t="n">
        <x:v>46249.4134212037</x:v>
      </x:c>
      <x:c r="G1707" t="str">
        <x:v>Byt</x:v>
      </x:c>
      <x:c r="H1707" s="12" t="n">
        <x:v>2</x:v>
      </x:c>
      <x:c r="I1707" s="13" t="n">
        <x:v>6</x:v>
      </x:c>
      <x:c r="J1707" t="str">
        <x:v>B</x:v>
      </x:c>
      <x:c r="K1707" s="14" t="n">
        <x:v>46.18</x:v>
      </x:c>
      <x:c r="L1707" s="14" t="n">
        <x:v>6.94</x:v>
      </x:c>
      <x:c r="M1707" s="14" t="n">
        <x:v>0</x:v>
      </x:c>
      <x:c r="N1707" s="14"/>
      <x:c r="O1707" s="14" t="n">
        <x:v>2.4</x:v>
      </x:c>
      <x:c r="P1707" s="14"/>
      <x:c r="Q1707" s="14" t="n">
        <x:v>55.52</x:v>
      </x:c>
      <x:c r="R1707" s="15"/>
      <x:c r="S1707" s="15"/>
      <x:c r="T1707" s="15"/>
      <x:c r="U1707" s="16"/>
      <x:c r="V1707" t="str"/>
      <x:c r="W1707" t="str">
        <x:v>Ružinov</x:v>
      </x:c>
      <x:c r="X1707" s="11" t="str">
        <x:v>Rezervovaný</x:v>
      </x:c>
      <x:c r="Y1707" s="11" t="str">
        <x:v>https://slnecnastrana.sk/index.php/byt/b6-04/</x:v>
      </x:c>
      <x:c r="Z1707" s="11" t="n">
        <x:v>46249.4134212037</x:v>
      </x:c>
      <x:c r="AA1707" s="11" t="n">
        <x:v>46253.71734884259</x:v>
      </x:c>
      <x:c r="AB1707" s="11" t="n">
        <x:v>46253.71734884259</x:v>
      </x:c>
      <x:c r="AC1707" t="str">
        <x:v>slnecna_strana</x:v>
      </x:c>
    </x:row>
    <x:row r="1708" ht="22" customHeight="1">
      <x:c r="A1708" t="str">
        <x:v>Slnečná Strana</x:v>
      </x:c>
      <x:c r="B1708" t="str">
        <x:v>B6-05</x:v>
      </x:c>
      <x:c r="C1708" t="str">
        <x:v>reserved</x:v>
      </x:c>
      <x:c r="D1708" t="str">
        <x:v>present</x:v>
      </x:c>
      <x:c r="E1708" t="str">
        <x:v>baseline</x:v>
      </x:c>
      <x:c r="F1708" s="11" t="n">
        <x:v>46249.4134212037</x:v>
      </x:c>
      <x:c r="G1708" t="str">
        <x:v>Byt</x:v>
      </x:c>
      <x:c r="H1708" s="12" t="n">
        <x:v>2</x:v>
      </x:c>
      <x:c r="I1708" s="13" t="n">
        <x:v>6</x:v>
      </x:c>
      <x:c r="J1708" t="str">
        <x:v>B</x:v>
      </x:c>
      <x:c r="K1708" s="14" t="n">
        <x:v>46.93</x:v>
      </x:c>
      <x:c r="L1708" s="14" t="n">
        <x:v>0</x:v>
      </x:c>
      <x:c r="M1708" s="14" t="n">
        <x:v>9.6</x:v>
      </x:c>
      <x:c r="N1708" s="14"/>
      <x:c r="O1708" s="14" t="n">
        <x:v>2.4</x:v>
      </x:c>
      <x:c r="P1708" s="14"/>
      <x:c r="Q1708" s="14" t="n">
        <x:v>58.93</x:v>
      </x:c>
      <x:c r="R1708" s="15"/>
      <x:c r="S1708" s="15"/>
      <x:c r="T1708" s="15"/>
      <x:c r="U1708" s="16"/>
      <x:c r="V1708" t="str"/>
      <x:c r="W1708" t="str">
        <x:v>Ružinov</x:v>
      </x:c>
      <x:c r="X1708" s="11" t="str">
        <x:v>Rezervovaný</x:v>
      </x:c>
      <x:c r="Y1708" s="11" t="str">
        <x:v>https://slnecnastrana.sk/index.php/byt/b6-05/</x:v>
      </x:c>
      <x:c r="Z1708" s="11" t="n">
        <x:v>46249.4134212037</x:v>
      </x:c>
      <x:c r="AA1708" s="11" t="n">
        <x:v>46253.71734884259</x:v>
      </x:c>
      <x:c r="AB1708" s="11" t="n">
        <x:v>46253.71734884259</x:v>
      </x:c>
      <x:c r="AC1708" t="str">
        <x:v>slnecna_strana</x:v>
      </x:c>
    </x:row>
    <x:row r="1709" ht="22" customHeight="1">
      <x:c r="A1709" t="str">
        <x:v>Slnečná Strana</x:v>
      </x:c>
      <x:c r="B1709" t="str">
        <x:v>B6-06</x:v>
      </x:c>
      <x:c r="C1709" t="str">
        <x:v>reserved</x:v>
      </x:c>
      <x:c r="D1709" t="str">
        <x:v>present</x:v>
      </x:c>
      <x:c r="E1709" t="str">
        <x:v>baseline</x:v>
      </x:c>
      <x:c r="F1709" s="11" t="n">
        <x:v>46249.4134212037</x:v>
      </x:c>
      <x:c r="G1709" t="str">
        <x:v>Byt</x:v>
      </x:c>
      <x:c r="H1709" s="12" t="n">
        <x:v>2</x:v>
      </x:c>
      <x:c r="I1709" s="13" t="n">
        <x:v>6</x:v>
      </x:c>
      <x:c r="J1709" t="str">
        <x:v>B</x:v>
      </x:c>
      <x:c r="K1709" s="14" t="n">
        <x:v>43.83</x:v>
      </x:c>
      <x:c r="L1709" s="14" t="n">
        <x:v>4.22</x:v>
      </x:c>
      <x:c r="M1709" s="14" t="n">
        <x:v>0</x:v>
      </x:c>
      <x:c r="N1709" s="14"/>
      <x:c r="O1709" s="14" t="n">
        <x:v>2.4</x:v>
      </x:c>
      <x:c r="P1709" s="14"/>
      <x:c r="Q1709" s="14" t="n">
        <x:v>50.45</x:v>
      </x:c>
      <x:c r="R1709" s="15"/>
      <x:c r="S1709" s="15"/>
      <x:c r="T1709" s="15"/>
      <x:c r="U1709" s="16"/>
      <x:c r="V1709" t="str"/>
      <x:c r="W1709" t="str">
        <x:v>Ružinov</x:v>
      </x:c>
      <x:c r="X1709" s="11" t="str">
        <x:v>Rezervovaný</x:v>
      </x:c>
      <x:c r="Y1709" s="11" t="str">
        <x:v>https://slnecnastrana.sk/index.php/byt/b6-06/</x:v>
      </x:c>
      <x:c r="Z1709" s="11" t="n">
        <x:v>46249.4134212037</x:v>
      </x:c>
      <x:c r="AA1709" s="11" t="n">
        <x:v>46253.71734884259</x:v>
      </x:c>
      <x:c r="AB1709" s="11" t="n">
        <x:v>46253.71734884259</x:v>
      </x:c>
      <x:c r="AC1709" t="str">
        <x:v>slnecna_strana</x:v>
      </x:c>
    </x:row>
    <x:row r="1710" ht="22" customHeight="1">
      <x:c r="A1710" t="str">
        <x:v>Slnečná Strana</x:v>
      </x:c>
      <x:c r="B1710" t="str">
        <x:v>B6-07</x:v>
      </x:c>
      <x:c r="C1710" t="str">
        <x:v>reserved</x:v>
      </x:c>
      <x:c r="D1710" t="str">
        <x:v>present</x:v>
      </x:c>
      <x:c r="E1710" t="str">
        <x:v>baseline</x:v>
      </x:c>
      <x:c r="F1710" s="11" t="n">
        <x:v>46249.4134212037</x:v>
      </x:c>
      <x:c r="G1710" t="str">
        <x:v>Byt</x:v>
      </x:c>
      <x:c r="H1710" s="12" t="n">
        <x:v>1.5</x:v>
      </x:c>
      <x:c r="I1710" s="13" t="n">
        <x:v>6</x:v>
      </x:c>
      <x:c r="J1710" t="str">
        <x:v>B</x:v>
      </x:c>
      <x:c r="K1710" s="14" t="n">
        <x:v>31.47</x:v>
      </x:c>
      <x:c r="L1710" s="14" t="n">
        <x:v>3.33</x:v>
      </x:c>
      <x:c r="M1710" s="14" t="n">
        <x:v>0</x:v>
      </x:c>
      <x:c r="N1710" s="14"/>
      <x:c r="O1710" s="14" t="n">
        <x:v>2.4</x:v>
      </x:c>
      <x:c r="P1710" s="14"/>
      <x:c r="Q1710" s="14" t="n">
        <x:v>37.2</x:v>
      </x:c>
      <x:c r="R1710" s="15"/>
      <x:c r="S1710" s="15"/>
      <x:c r="T1710" s="15"/>
      <x:c r="U1710" s="16"/>
      <x:c r="V1710" t="str"/>
      <x:c r="W1710" t="str">
        <x:v>Ružinov</x:v>
      </x:c>
      <x:c r="X1710" s="11" t="str">
        <x:v>Rezervovaný</x:v>
      </x:c>
      <x:c r="Y1710" s="11" t="str">
        <x:v>https://slnecnastrana.sk/index.php/byt/b6-07/</x:v>
      </x:c>
      <x:c r="Z1710" s="11" t="n">
        <x:v>46249.4134212037</x:v>
      </x:c>
      <x:c r="AA1710" s="11" t="n">
        <x:v>46253.71734884259</x:v>
      </x:c>
      <x:c r="AB1710" s="11" t="n">
        <x:v>46253.71734884259</x:v>
      </x:c>
      <x:c r="AC1710" t="str">
        <x:v>slnecna_strana</x:v>
      </x:c>
    </x:row>
    <x:row r="1711" ht="22" customHeight="1">
      <x:c r="A1711" t="str">
        <x:v>Slnečná Strana</x:v>
      </x:c>
      <x:c r="B1711" t="str">
        <x:v>B7-01</x:v>
      </x:c>
      <x:c r="C1711" t="str">
        <x:v>reserved</x:v>
      </x:c>
      <x:c r="D1711" t="str">
        <x:v>present</x:v>
      </x:c>
      <x:c r="E1711" t="str">
        <x:v>baseline</x:v>
      </x:c>
      <x:c r="F1711" s="11" t="n">
        <x:v>46249.4134212037</x:v>
      </x:c>
      <x:c r="G1711" t="str">
        <x:v>Byt</x:v>
      </x:c>
      <x:c r="H1711" s="12" t="n">
        <x:v>2</x:v>
      </x:c>
      <x:c r="I1711" s="13" t="n">
        <x:v>7</x:v>
      </x:c>
      <x:c r="J1711" t="str">
        <x:v>B</x:v>
      </x:c>
      <x:c r="K1711" s="14" t="n">
        <x:v>49.99</x:v>
      </x:c>
      <x:c r="L1711" s="14" t="n">
        <x:v>4.05</x:v>
      </x:c>
      <x:c r="M1711" s="14" t="n">
        <x:v>0</x:v>
      </x:c>
      <x:c r="N1711" s="14"/>
      <x:c r="O1711" s="14" t="n">
        <x:v>2.4</x:v>
      </x:c>
      <x:c r="P1711" s="14"/>
      <x:c r="Q1711" s="14" t="n">
        <x:v>56.44</x:v>
      </x:c>
      <x:c r="R1711" s="15"/>
      <x:c r="S1711" s="15"/>
      <x:c r="T1711" s="15"/>
      <x:c r="U1711" s="16"/>
      <x:c r="V1711" t="str"/>
      <x:c r="W1711" t="str">
        <x:v>Ružinov</x:v>
      </x:c>
      <x:c r="X1711" s="11" t="str">
        <x:v>Rezervovaný</x:v>
      </x:c>
      <x:c r="Y1711" s="11" t="str">
        <x:v>https://slnecnastrana.sk/index.php/byt/b7-01/</x:v>
      </x:c>
      <x:c r="Z1711" s="11" t="n">
        <x:v>46249.4134212037</x:v>
      </x:c>
      <x:c r="AA1711" s="11" t="n">
        <x:v>46253.71734884259</x:v>
      </x:c>
      <x:c r="AB1711" s="11" t="n">
        <x:v>46253.71734884259</x:v>
      </x:c>
      <x:c r="AC1711" t="str">
        <x:v>slnecna_strana</x:v>
      </x:c>
    </x:row>
    <x:row r="1712" ht="22" customHeight="1">
      <x:c r="A1712" t="str">
        <x:v>Slnečná Strana</x:v>
      </x:c>
      <x:c r="B1712" t="str">
        <x:v>B7-02</x:v>
      </x:c>
      <x:c r="C1712" t="str">
        <x:v>reserved</x:v>
      </x:c>
      <x:c r="D1712" t="str">
        <x:v>present</x:v>
      </x:c>
      <x:c r="E1712" t="str">
        <x:v>baseline</x:v>
      </x:c>
      <x:c r="F1712" s="11" t="n">
        <x:v>46249.4134212037</x:v>
      </x:c>
      <x:c r="G1712" t="str">
        <x:v>Byt</x:v>
      </x:c>
      <x:c r="H1712" s="12" t="n">
        <x:v>1</x:v>
      </x:c>
      <x:c r="I1712" s="13" t="n">
        <x:v>7</x:v>
      </x:c>
      <x:c r="J1712" t="str">
        <x:v>B</x:v>
      </x:c>
      <x:c r="K1712" s="14" t="n">
        <x:v>41.38</x:v>
      </x:c>
      <x:c r="L1712" s="14" t="n">
        <x:v>0</x:v>
      </x:c>
      <x:c r="M1712" s="14" t="n">
        <x:v>5.28</x:v>
      </x:c>
      <x:c r="N1712" s="14"/>
      <x:c r="O1712" s="14" t="n">
        <x:v>2.4</x:v>
      </x:c>
      <x:c r="P1712" s="14"/>
      <x:c r="Q1712" s="14" t="n">
        <x:v>49.06</x:v>
      </x:c>
      <x:c r="R1712" s="15"/>
      <x:c r="S1712" s="15"/>
      <x:c r="T1712" s="15"/>
      <x:c r="U1712" s="16"/>
      <x:c r="V1712" t="str"/>
      <x:c r="W1712" t="str">
        <x:v>Ružinov</x:v>
      </x:c>
      <x:c r="X1712" s="11" t="str">
        <x:v>Rezervovaný</x:v>
      </x:c>
      <x:c r="Y1712" s="11" t="str">
        <x:v>https://slnecnastrana.sk/index.php/byt/b7-02/</x:v>
      </x:c>
      <x:c r="Z1712" s="11" t="n">
        <x:v>46249.4134212037</x:v>
      </x:c>
      <x:c r="AA1712" s="11" t="n">
        <x:v>46253.71734884259</x:v>
      </x:c>
      <x:c r="AB1712" s="11" t="n">
        <x:v>46253.71734884259</x:v>
      </x:c>
      <x:c r="AC1712" t="str">
        <x:v>slnecna_strana</x:v>
      </x:c>
    </x:row>
    <x:row r="1713" ht="22" customHeight="1">
      <x:c r="A1713" t="str">
        <x:v>Slnečná Strana</x:v>
      </x:c>
      <x:c r="B1713" t="str">
        <x:v>B7-03</x:v>
      </x:c>
      <x:c r="C1713" t="str">
        <x:v>reserved</x:v>
      </x:c>
      <x:c r="D1713" t="str">
        <x:v>present</x:v>
      </x:c>
      <x:c r="E1713" t="str">
        <x:v>baseline</x:v>
      </x:c>
      <x:c r="F1713" s="11" t="n">
        <x:v>46249.4134212037</x:v>
      </x:c>
      <x:c r="G1713" t="str">
        <x:v>Byt</x:v>
      </x:c>
      <x:c r="H1713" s="12" t="n">
        <x:v>2</x:v>
      </x:c>
      <x:c r="I1713" s="13" t="n">
        <x:v>7</x:v>
      </x:c>
      <x:c r="J1713" t="str">
        <x:v>B</x:v>
      </x:c>
      <x:c r="K1713" s="14" t="n">
        <x:v>47.77</x:v>
      </x:c>
      <x:c r="L1713" s="14" t="n">
        <x:v>0</x:v>
      </x:c>
      <x:c r="M1713" s="14" t="n">
        <x:v>9.93</x:v>
      </x:c>
      <x:c r="N1713" s="14"/>
      <x:c r="O1713" s="14" t="n">
        <x:v>2.4</x:v>
      </x:c>
      <x:c r="P1713" s="14"/>
      <x:c r="Q1713" s="14" t="n">
        <x:v>60.1</x:v>
      </x:c>
      <x:c r="R1713" s="15"/>
      <x:c r="S1713" s="15"/>
      <x:c r="T1713" s="15"/>
      <x:c r="U1713" s="16"/>
      <x:c r="V1713" t="str"/>
      <x:c r="W1713" t="str">
        <x:v>Ružinov</x:v>
      </x:c>
      <x:c r="X1713" s="11" t="str">
        <x:v>Rezervovaný</x:v>
      </x:c>
      <x:c r="Y1713" s="11" t="str">
        <x:v>https://slnecnastrana.sk/index.php/byt/b7-03/</x:v>
      </x:c>
      <x:c r="Z1713" s="11" t="n">
        <x:v>46249.4134212037</x:v>
      </x:c>
      <x:c r="AA1713" s="11" t="n">
        <x:v>46253.71734884259</x:v>
      </x:c>
      <x:c r="AB1713" s="11" t="n">
        <x:v>46253.71734884259</x:v>
      </x:c>
      <x:c r="AC1713" t="str">
        <x:v>slnecna_strana</x:v>
      </x:c>
    </x:row>
    <x:row r="1714" ht="22" customHeight="1">
      <x:c r="A1714" t="str">
        <x:v>Slnečná Strana</x:v>
      </x:c>
      <x:c r="B1714" t="str">
        <x:v>B7-04</x:v>
      </x:c>
      <x:c r="C1714" t="str">
        <x:v>reserved</x:v>
      </x:c>
      <x:c r="D1714" t="str">
        <x:v>present</x:v>
      </x:c>
      <x:c r="E1714" t="str">
        <x:v>baseline</x:v>
      </x:c>
      <x:c r="F1714" s="11" t="n">
        <x:v>46249.4134212037</x:v>
      </x:c>
      <x:c r="G1714" t="str">
        <x:v>Byt</x:v>
      </x:c>
      <x:c r="H1714" s="12" t="n">
        <x:v>2</x:v>
      </x:c>
      <x:c r="I1714" s="13" t="n">
        <x:v>7</x:v>
      </x:c>
      <x:c r="J1714" t="str">
        <x:v>B</x:v>
      </x:c>
      <x:c r="K1714" s="14" t="n">
        <x:v>46.18</x:v>
      </x:c>
      <x:c r="L1714" s="14" t="n">
        <x:v>6.94</x:v>
      </x:c>
      <x:c r="M1714" s="14" t="n">
        <x:v>0</x:v>
      </x:c>
      <x:c r="N1714" s="14"/>
      <x:c r="O1714" s="14" t="n">
        <x:v>2.4</x:v>
      </x:c>
      <x:c r="P1714" s="14"/>
      <x:c r="Q1714" s="14" t="n">
        <x:v>55.52</x:v>
      </x:c>
      <x:c r="R1714" s="15"/>
      <x:c r="S1714" s="15"/>
      <x:c r="T1714" s="15"/>
      <x:c r="U1714" s="16"/>
      <x:c r="V1714" t="str"/>
      <x:c r="W1714" t="str">
        <x:v>Ružinov</x:v>
      </x:c>
      <x:c r="X1714" s="11" t="str">
        <x:v>Rezervovaný</x:v>
      </x:c>
      <x:c r="Y1714" s="11" t="str">
        <x:v>https://slnecnastrana.sk/index.php/byt/b7-04/</x:v>
      </x:c>
      <x:c r="Z1714" s="11" t="n">
        <x:v>46249.4134212037</x:v>
      </x:c>
      <x:c r="AA1714" s="11" t="n">
        <x:v>46253.71734884259</x:v>
      </x:c>
      <x:c r="AB1714" s="11" t="n">
        <x:v>46253.71734884259</x:v>
      </x:c>
      <x:c r="AC1714" t="str">
        <x:v>slnecna_strana</x:v>
      </x:c>
    </x:row>
    <x:row r="1715" ht="22" customHeight="1">
      <x:c r="A1715" t="str">
        <x:v>Slnečná Strana</x:v>
      </x:c>
      <x:c r="B1715" t="str">
        <x:v>B7-05</x:v>
      </x:c>
      <x:c r="C1715" t="str">
        <x:v>reserved</x:v>
      </x:c>
      <x:c r="D1715" t="str">
        <x:v>present</x:v>
      </x:c>
      <x:c r="E1715" t="str">
        <x:v>baseline</x:v>
      </x:c>
      <x:c r="F1715" s="11" t="n">
        <x:v>46249.4134212037</x:v>
      </x:c>
      <x:c r="G1715" t="str">
        <x:v>Byt</x:v>
      </x:c>
      <x:c r="H1715" s="12" t="n">
        <x:v>3</x:v>
      </x:c>
      <x:c r="I1715" s="13" t="n">
        <x:v>7</x:v>
      </x:c>
      <x:c r="J1715" t="str">
        <x:v>B</x:v>
      </x:c>
      <x:c r="K1715" s="14" t="n">
        <x:v>72.67</x:v>
      </x:c>
      <x:c r="L1715" s="14" t="n">
        <x:v>72.46</x:v>
      </x:c>
      <x:c r="M1715" s="14" t="n">
        <x:v>0</x:v>
      </x:c>
      <x:c r="N1715" s="14"/>
      <x:c r="O1715" s="14" t="n">
        <x:v>2.4</x:v>
      </x:c>
      <x:c r="P1715" s="14"/>
      <x:c r="Q1715" s="14" t="n">
        <x:v>147.53</x:v>
      </x:c>
      <x:c r="R1715" s="15"/>
      <x:c r="S1715" s="15"/>
      <x:c r="T1715" s="15"/>
      <x:c r="U1715" s="16"/>
      <x:c r="V1715" t="str"/>
      <x:c r="W1715" t="str">
        <x:v>Ružinov</x:v>
      </x:c>
      <x:c r="X1715" s="11" t="str">
        <x:v>Rezervovaný</x:v>
      </x:c>
      <x:c r="Y1715" s="11" t="str">
        <x:v>https://slnecnastrana.sk/index.php/byt/b7-05/</x:v>
      </x:c>
      <x:c r="Z1715" s="11" t="n">
        <x:v>46249.4134212037</x:v>
      </x:c>
      <x:c r="AA1715" s="11" t="n">
        <x:v>46253.71734884259</x:v>
      </x:c>
      <x:c r="AB1715" s="11" t="n">
        <x:v>46253.71734884259</x:v>
      </x:c>
      <x:c r="AC1715" t="str">
        <x:v>slnecna_strana</x:v>
      </x:c>
    </x:row>
    <x:row r="1716" ht="22" customHeight="1">
      <x:c r="A1716" t="str">
        <x:v>Tíšiny</x:v>
      </x:c>
      <x:c r="B1716" t="str">
        <x:v>BD-02-2A</x:v>
      </x:c>
      <x:c r="C1716" t="str">
        <x:v>available</x:v>
      </x:c>
      <x:c r="D1716" t="str">
        <x:v>present</x:v>
      </x:c>
      <x:c r="E1716" t="str">
        <x:v>baseline</x:v>
      </x:c>
      <x:c r="F1716" s="11" t="n">
        <x:v>46252.68496519676</x:v>
      </x:c>
      <x:c r="G1716" t="str">
        <x:v>Byt</x:v>
      </x:c>
      <x:c r="H1716" s="12" t="n">
        <x:v>2</x:v>
      </x:c>
      <x:c r="I1716" s="13" t="n">
        <x:v>2</x:v>
      </x:c>
      <x:c r="J1716" t="str">
        <x:v>BD</x:v>
      </x:c>
      <x:c r="K1716" s="14" t="n">
        <x:v>50</x:v>
      </x:c>
      <x:c r="L1716" s="14"/>
      <x:c r="M1716" s="14"/>
      <x:c r="N1716" s="14"/>
      <x:c r="O1716" s="14"/>
      <x:c r="P1716" s="14" t="n">
        <x:v>4</x:v>
      </x:c>
      <x:c r="Q1716" s="14" t="n">
        <x:v>54</x:v>
      </x:c>
      <x:c r="R1716" s="15" t="n">
        <x:v>297030</x:v>
      </x:c>
      <x:c r="S1716" s="15" t="n">
        <x:v>297030</x:v>
      </x:c>
      <x:c r="T1716" s="15"/>
      <x:c r="U1716" s="16" t="n">
        <x:v>5940.6</x:v>
      </x:c>
      <x:c r="V1716" t="str">
        <x:v>CRESCO Real Estate</x:v>
      </x:c>
      <x:c r="W1716" t="str">
        <x:v>Nové Mesto</x:v>
      </x:c>
      <x:c r="X1716" s="11" t="str">
        <x:v>Voľný</x:v>
      </x:c>
      <x:c r="Y1716" s="11" t="str">
        <x:v>https://www.tisiny.sk/ponuka-byvania/byt-bd-02-2a/</x:v>
      </x:c>
      <x:c r="Z1716" s="11" t="n">
        <x:v>46252.68496519676</x:v>
      </x:c>
      <x:c r="AA1716" s="11" t="n">
        <x:v>46254.51251577547</x:v>
      </x:c>
      <x:c r="AB1716" s="11" t="n">
        <x:v>46254.51251577547</x:v>
      </x:c>
      <x:c r="AC1716" t="str">
        <x:v>tisiny</x:v>
      </x:c>
    </x:row>
    <x:row r="1717" ht="22" customHeight="1">
      <x:c r="A1717" t="str">
        <x:v>Tíšiny</x:v>
      </x:c>
      <x:c r="B1717" t="str">
        <x:v>BD-02-2B</x:v>
      </x:c>
      <x:c r="C1717" t="str">
        <x:v>available</x:v>
      </x:c>
      <x:c r="D1717" t="str">
        <x:v>present</x:v>
      </x:c>
      <x:c r="E1717" t="str">
        <x:v>baseline</x:v>
      </x:c>
      <x:c r="F1717" s="11" t="n">
        <x:v>46252.68496519676</x:v>
      </x:c>
      <x:c r="G1717" t="str">
        <x:v>Byt</x:v>
      </x:c>
      <x:c r="H1717" s="12" t="n">
        <x:v>3</x:v>
      </x:c>
      <x:c r="I1717" s="13" t="n">
        <x:v>2</x:v>
      </x:c>
      <x:c r="J1717" t="str">
        <x:v>BD</x:v>
      </x:c>
      <x:c r="K1717" s="14" t="n">
        <x:v>81</x:v>
      </x:c>
      <x:c r="L1717" s="14"/>
      <x:c r="M1717" s="14"/>
      <x:c r="N1717" s="14"/>
      <x:c r="O1717" s="14"/>
      <x:c r="P1717" s="14" t="n">
        <x:v>9</x:v>
      </x:c>
      <x:c r="Q1717" s="14" t="n">
        <x:v>90</x:v>
      </x:c>
      <x:c r="R1717" s="15" t="n">
        <x:v>529744</x:v>
      </x:c>
      <x:c r="S1717" s="15" t="n">
        <x:v>529744</x:v>
      </x:c>
      <x:c r="T1717" s="15"/>
      <x:c r="U1717" s="16" t="n">
        <x:v>6540.05</x:v>
      </x:c>
      <x:c r="V1717" t="str">
        <x:v>CRESCO Real Estate</x:v>
      </x:c>
      <x:c r="W1717" t="str">
        <x:v>Nové Mesto</x:v>
      </x:c>
      <x:c r="X1717" s="11" t="str">
        <x:v>Voľný</x:v>
      </x:c>
      <x:c r="Y1717" s="11" t="str">
        <x:v>https://www.tisiny.sk/ponuka-byvania/byt-bd-02-2b/</x:v>
      </x:c>
      <x:c r="Z1717" s="11" t="n">
        <x:v>46252.68496519676</x:v>
      </x:c>
      <x:c r="AA1717" s="11" t="n">
        <x:v>46254.51251577547</x:v>
      </x:c>
      <x:c r="AB1717" s="11" t="n">
        <x:v>46254.51251577547</x:v>
      </x:c>
      <x:c r="AC1717" t="str">
        <x:v>tisiny</x:v>
      </x:c>
    </x:row>
    <x:row r="1718" ht="22" customHeight="1">
      <x:c r="A1718" t="str">
        <x:v>Tíšiny</x:v>
      </x:c>
      <x:c r="B1718" t="str">
        <x:v>BD-02-2C</x:v>
      </x:c>
      <x:c r="C1718" t="str">
        <x:v>available</x:v>
      </x:c>
      <x:c r="D1718" t="str">
        <x:v>present</x:v>
      </x:c>
      <x:c r="E1718" t="str">
        <x:v>baseline</x:v>
      </x:c>
      <x:c r="F1718" s="11" t="n">
        <x:v>46252.68496519676</x:v>
      </x:c>
      <x:c r="G1718" t="str">
        <x:v>Byt</x:v>
      </x:c>
      <x:c r="H1718" s="12" t="n">
        <x:v>2</x:v>
      </x:c>
      <x:c r="I1718" s="13" t="n">
        <x:v>2</x:v>
      </x:c>
      <x:c r="J1718" t="str">
        <x:v>BD</x:v>
      </x:c>
      <x:c r="K1718" s="14" t="n">
        <x:v>49</x:v>
      </x:c>
      <x:c r="L1718" s="14"/>
      <x:c r="M1718" s="14"/>
      <x:c r="N1718" s="14"/>
      <x:c r="O1718" s="14"/>
      <x:c r="P1718" s="14" t="n">
        <x:v>5</x:v>
      </x:c>
      <x:c r="Q1718" s="14" t="n">
        <x:v>54</x:v>
      </x:c>
      <x:c r="R1718" s="15" t="n">
        <x:v>322940</x:v>
      </x:c>
      <x:c r="S1718" s="15" t="n">
        <x:v>322940</x:v>
      </x:c>
      <x:c r="T1718" s="15"/>
      <x:c r="U1718" s="16" t="n">
        <x:v>6590.61</x:v>
      </x:c>
      <x:c r="V1718" t="str">
        <x:v>CRESCO Real Estate</x:v>
      </x:c>
      <x:c r="W1718" t="str">
        <x:v>Nové Mesto</x:v>
      </x:c>
      <x:c r="X1718" s="11" t="str">
        <x:v>Voľný</x:v>
      </x:c>
      <x:c r="Y1718" s="11" t="str">
        <x:v>https://www.tisiny.sk/ponuka-byvania/byt-bd-02-2c/</x:v>
      </x:c>
      <x:c r="Z1718" s="11" t="n">
        <x:v>46252.68496519676</x:v>
      </x:c>
      <x:c r="AA1718" s="11" t="n">
        <x:v>46254.51251577547</x:v>
      </x:c>
      <x:c r="AB1718" s="11" t="n">
        <x:v>46254.51251577547</x:v>
      </x:c>
      <x:c r="AC1718" t="str">
        <x:v>tisiny</x:v>
      </x:c>
    </x:row>
    <x:row r="1719" ht="22" customHeight="1">
      <x:c r="A1719" t="str">
        <x:v>Tíšiny</x:v>
      </x:c>
      <x:c r="B1719" t="str">
        <x:v>BD-02-2FH</x:v>
      </x:c>
      <x:c r="C1719" t="str">
        <x:v>available</x:v>
      </x:c>
      <x:c r="D1719" t="str">
        <x:v>present</x:v>
      </x:c>
      <x:c r="E1719" t="str">
        <x:v>baseline</x:v>
      </x:c>
      <x:c r="F1719" s="11" t="n">
        <x:v>46252.68496519676</x:v>
      </x:c>
      <x:c r="G1719" t="str">
        <x:v>Byt</x:v>
      </x:c>
      <x:c r="H1719" s="12" t="n">
        <x:v>4</x:v>
      </x:c>
      <x:c r="I1719" s="13" t="n">
        <x:v>2</x:v>
      </x:c>
      <x:c r="J1719" t="str">
        <x:v>BD</x:v>
      </x:c>
      <x:c r="K1719" s="14" t="n">
        <x:v>109</x:v>
      </x:c>
      <x:c r="L1719" s="14"/>
      <x:c r="M1719" s="14"/>
      <x:c r="N1719" s="14"/>
      <x:c r="O1719" s="14"/>
      <x:c r="P1719" s="14" t="n">
        <x:v>20</x:v>
      </x:c>
      <x:c r="Q1719" s="14" t="n">
        <x:v>129</x:v>
      </x:c>
      <x:c r="R1719" s="15" t="n">
        <x:v>708445</x:v>
      </x:c>
      <x:c r="S1719" s="15" t="n">
        <x:v>708445</x:v>
      </x:c>
      <x:c r="T1719" s="15"/>
      <x:c r="U1719" s="16" t="n">
        <x:v>6499.5</x:v>
      </x:c>
      <x:c r="V1719" t="str">
        <x:v>CRESCO Real Estate</x:v>
      </x:c>
      <x:c r="W1719" t="str">
        <x:v>Nové Mesto</x:v>
      </x:c>
      <x:c r="X1719" s="11" t="str">
        <x:v>Voľný</x:v>
      </x:c>
      <x:c r="Y1719" s="11" t="str">
        <x:v>https://www.tisiny.sk/ponuka-byvania/byt-bd-02-2fh/</x:v>
      </x:c>
      <x:c r="Z1719" s="11" t="n">
        <x:v>46252.68496519676</x:v>
      </x:c>
      <x:c r="AA1719" s="11" t="n">
        <x:v>46254.51251577547</x:v>
      </x:c>
      <x:c r="AB1719" s="11" t="n">
        <x:v>46254.51251577547</x:v>
      </x:c>
      <x:c r="AC1719" t="str">
        <x:v>tisiny</x:v>
      </x:c>
    </x:row>
    <x:row r="1720" ht="22" customHeight="1">
      <x:c r="A1720" t="str">
        <x:v>Tíšiny</x:v>
      </x:c>
      <x:c r="B1720" t="str">
        <x:v>BD-02-2I</x:v>
      </x:c>
      <x:c r="C1720" t="str">
        <x:v>available</x:v>
      </x:c>
      <x:c r="D1720" t="str">
        <x:v>present</x:v>
      </x:c>
      <x:c r="E1720" t="str">
        <x:v>baseline</x:v>
      </x:c>
      <x:c r="F1720" s="11" t="n">
        <x:v>46252.68496519676</x:v>
      </x:c>
      <x:c r="G1720" t="str">
        <x:v>Byt</x:v>
      </x:c>
      <x:c r="H1720" s="12" t="n">
        <x:v>3</x:v>
      </x:c>
      <x:c r="I1720" s="13" t="n">
        <x:v>2</x:v>
      </x:c>
      <x:c r="J1720" t="str">
        <x:v>BD</x:v>
      </x:c>
      <x:c r="K1720" s="14" t="n">
        <x:v>74</x:v>
      </x:c>
      <x:c r="L1720" s="14"/>
      <x:c r="M1720" s="14"/>
      <x:c r="N1720" s="14"/>
      <x:c r="O1720" s="14"/>
      <x:c r="P1720" s="14" t="n">
        <x:v>9</x:v>
      </x:c>
      <x:c r="Q1720" s="14" t="n">
        <x:v>83</x:v>
      </x:c>
      <x:c r="R1720" s="15" t="n">
        <x:v>497005</x:v>
      </x:c>
      <x:c r="S1720" s="15" t="n">
        <x:v>497005</x:v>
      </x:c>
      <x:c r="T1720" s="15"/>
      <x:c r="U1720" s="16" t="n">
        <x:v>6716.28</x:v>
      </x:c>
      <x:c r="V1720" t="str">
        <x:v>CRESCO Real Estate</x:v>
      </x:c>
      <x:c r="W1720" t="str">
        <x:v>Nové Mesto</x:v>
      </x:c>
      <x:c r="X1720" s="11" t="str">
        <x:v>Voľný</x:v>
      </x:c>
      <x:c r="Y1720" s="11" t="str">
        <x:v>https://www.tisiny.sk/ponuka-byvania/byt-bd-02-2i/</x:v>
      </x:c>
      <x:c r="Z1720" s="11" t="n">
        <x:v>46252.68496519676</x:v>
      </x:c>
      <x:c r="AA1720" s="11" t="n">
        <x:v>46254.51251577547</x:v>
      </x:c>
      <x:c r="AB1720" s="11" t="n">
        <x:v>46254.51251577547</x:v>
      </x:c>
      <x:c r="AC1720" t="str">
        <x:v>tisiny</x:v>
      </x:c>
    </x:row>
    <x:row r="1721" ht="22" customHeight="1">
      <x:c r="A1721" t="str">
        <x:v>Tíšiny</x:v>
      </x:c>
      <x:c r="B1721" t="str">
        <x:v>BD-02-2K</x:v>
      </x:c>
      <x:c r="C1721" t="str">
        <x:v>available</x:v>
      </x:c>
      <x:c r="D1721" t="str">
        <x:v>present</x:v>
      </x:c>
      <x:c r="E1721" t="str">
        <x:v>baseline</x:v>
      </x:c>
      <x:c r="F1721" s="11" t="n">
        <x:v>46252.68496519676</x:v>
      </x:c>
      <x:c r="G1721" t="str">
        <x:v>Byt</x:v>
      </x:c>
      <x:c r="H1721" s="12" t="n">
        <x:v>2</x:v>
      </x:c>
      <x:c r="I1721" s="13" t="n">
        <x:v>2</x:v>
      </x:c>
      <x:c r="J1721" t="str">
        <x:v>BD</x:v>
      </x:c>
      <x:c r="K1721" s="14" t="n">
        <x:v>51</x:v>
      </x:c>
      <x:c r="L1721" s="14"/>
      <x:c r="M1721" s="14"/>
      <x:c r="N1721" s="14"/>
      <x:c r="O1721" s="14"/>
      <x:c r="P1721" s="14" t="n">
        <x:v>4</x:v>
      </x:c>
      <x:c r="Q1721" s="14" t="n">
        <x:v>55</x:v>
      </x:c>
      <x:c r="R1721" s="15" t="n">
        <x:v>300083</x:v>
      </x:c>
      <x:c r="S1721" s="15" t="n">
        <x:v>300083</x:v>
      </x:c>
      <x:c r="T1721" s="15"/>
      <x:c r="U1721" s="16" t="n">
        <x:v>5883.98</x:v>
      </x:c>
      <x:c r="V1721" t="str">
        <x:v>CRESCO Real Estate</x:v>
      </x:c>
      <x:c r="W1721" t="str">
        <x:v>Nové Mesto</x:v>
      </x:c>
      <x:c r="X1721" s="11" t="str">
        <x:v>Voľný</x:v>
      </x:c>
      <x:c r="Y1721" s="11" t="str">
        <x:v>https://www.tisiny.sk/ponuka-byvania/byt-bd-02-2k/</x:v>
      </x:c>
      <x:c r="Z1721" s="11" t="n">
        <x:v>46252.68496519676</x:v>
      </x:c>
      <x:c r="AA1721" s="11" t="n">
        <x:v>46254.51251577547</x:v>
      </x:c>
      <x:c r="AB1721" s="11" t="n">
        <x:v>46254.51251577547</x:v>
      </x:c>
      <x:c r="AC1721" t="str">
        <x:v>tisiny</x:v>
      </x:c>
    </x:row>
    <x:row r="1722" ht="22" customHeight="1">
      <x:c r="A1722" t="str">
        <x:v>Tíšiny</x:v>
      </x:c>
      <x:c r="B1722" t="str">
        <x:v>BD-02-2L</x:v>
      </x:c>
      <x:c r="C1722" t="str">
        <x:v>available</x:v>
      </x:c>
      <x:c r="D1722" t="str">
        <x:v>present</x:v>
      </x:c>
      <x:c r="E1722" t="str">
        <x:v>baseline</x:v>
      </x:c>
      <x:c r="F1722" s="11" t="n">
        <x:v>46252.68496519676</x:v>
      </x:c>
      <x:c r="G1722" t="str">
        <x:v>Byt</x:v>
      </x:c>
      <x:c r="H1722" s="12" t="n">
        <x:v>2</x:v>
      </x:c>
      <x:c r="I1722" s="13" t="n">
        <x:v>2</x:v>
      </x:c>
      <x:c r="J1722" t="str">
        <x:v>BD</x:v>
      </x:c>
      <x:c r="K1722" s="14" t="n">
        <x:v>51</x:v>
      </x:c>
      <x:c r="L1722" s="14"/>
      <x:c r="M1722" s="14"/>
      <x:c r="N1722" s="14"/>
      <x:c r="O1722" s="14"/>
      <x:c r="P1722" s="14" t="n">
        <x:v>4</x:v>
      </x:c>
      <x:c r="Q1722" s="14" t="n">
        <x:v>55</x:v>
      </x:c>
      <x:c r="R1722" s="15" t="n">
        <x:v>299857</x:v>
      </x:c>
      <x:c r="S1722" s="15" t="n">
        <x:v>299857</x:v>
      </x:c>
      <x:c r="T1722" s="15"/>
      <x:c r="U1722" s="16" t="n">
        <x:v>5879.55</x:v>
      </x:c>
      <x:c r="V1722" t="str">
        <x:v>CRESCO Real Estate</x:v>
      </x:c>
      <x:c r="W1722" t="str">
        <x:v>Nové Mesto</x:v>
      </x:c>
      <x:c r="X1722" s="11" t="str">
        <x:v>Voľný</x:v>
      </x:c>
      <x:c r="Y1722" s="11" t="str">
        <x:v>https://www.tisiny.sk/ponuka-byvania/byt-bd-02-2l/</x:v>
      </x:c>
      <x:c r="Z1722" s="11" t="n">
        <x:v>46252.68496519676</x:v>
      </x:c>
      <x:c r="AA1722" s="11" t="n">
        <x:v>46254.51251577547</x:v>
      </x:c>
      <x:c r="AB1722" s="11" t="n">
        <x:v>46254.51251577547</x:v>
      </x:c>
      <x:c r="AC1722" t="str">
        <x:v>tisiny</x:v>
      </x:c>
    </x:row>
    <x:row r="1723" ht="22" customHeight="1">
      <x:c r="A1723" t="str">
        <x:v>Tíšiny</x:v>
      </x:c>
      <x:c r="B1723" t="str">
        <x:v>BD-03-3A</x:v>
      </x:c>
      <x:c r="C1723" t="str">
        <x:v>available</x:v>
      </x:c>
      <x:c r="D1723" t="str">
        <x:v>present</x:v>
      </x:c>
      <x:c r="E1723" t="str">
        <x:v>baseline</x:v>
      </x:c>
      <x:c r="F1723" s="11" t="n">
        <x:v>46252.68496519676</x:v>
      </x:c>
      <x:c r="G1723" t="str">
        <x:v>Byt</x:v>
      </x:c>
      <x:c r="H1723" s="12" t="n">
        <x:v>2</x:v>
      </x:c>
      <x:c r="I1723" s="13" t="n">
        <x:v>3</x:v>
      </x:c>
      <x:c r="J1723" t="str">
        <x:v>BD</x:v>
      </x:c>
      <x:c r="K1723" s="14" t="n">
        <x:v>50</x:v>
      </x:c>
      <x:c r="L1723" s="14"/>
      <x:c r="M1723" s="14"/>
      <x:c r="N1723" s="14"/>
      <x:c r="O1723" s="14"/>
      <x:c r="P1723" s="14" t="n">
        <x:v>4</x:v>
      </x:c>
      <x:c r="Q1723" s="14" t="n">
        <x:v>54</x:v>
      </x:c>
      <x:c r="R1723" s="15" t="n">
        <x:v>304102</x:v>
      </x:c>
      <x:c r="S1723" s="15" t="n">
        <x:v>304102</x:v>
      </x:c>
      <x:c r="T1723" s="15"/>
      <x:c r="U1723" s="16" t="n">
        <x:v>6082.04</x:v>
      </x:c>
      <x:c r="V1723" t="str">
        <x:v>CRESCO Real Estate</x:v>
      </x:c>
      <x:c r="W1723" t="str">
        <x:v>Nové Mesto</x:v>
      </x:c>
      <x:c r="X1723" s="11" t="str">
        <x:v>Voľný</x:v>
      </x:c>
      <x:c r="Y1723" s="11" t="str">
        <x:v>https://www.tisiny.sk/ponuka-byvania/byt-bd-03-3a/</x:v>
      </x:c>
      <x:c r="Z1723" s="11" t="n">
        <x:v>46252.68496519676</x:v>
      </x:c>
      <x:c r="AA1723" s="11" t="n">
        <x:v>46254.51251577547</x:v>
      </x:c>
      <x:c r="AB1723" s="11" t="n">
        <x:v>46254.51251577547</x:v>
      </x:c>
      <x:c r="AC1723" t="str">
        <x:v>tisiny</x:v>
      </x:c>
    </x:row>
    <x:row r="1724" ht="22" customHeight="1">
      <x:c r="A1724" t="str">
        <x:v>Tíšiny</x:v>
      </x:c>
      <x:c r="B1724" t="str">
        <x:v>BD-03-3B</x:v>
      </x:c>
      <x:c r="C1724" t="str">
        <x:v>available</x:v>
      </x:c>
      <x:c r="D1724" t="str">
        <x:v>present</x:v>
      </x:c>
      <x:c r="E1724" t="str">
        <x:v>baseline</x:v>
      </x:c>
      <x:c r="F1724" s="11" t="n">
        <x:v>46252.68496519676</x:v>
      </x:c>
      <x:c r="G1724" t="str">
        <x:v>Byt</x:v>
      </x:c>
      <x:c r="H1724" s="12" t="n">
        <x:v>3</x:v>
      </x:c>
      <x:c r="I1724" s="13" t="n">
        <x:v>3</x:v>
      </x:c>
      <x:c r="J1724" t="str">
        <x:v>BD</x:v>
      </x:c>
      <x:c r="K1724" s="14" t="n">
        <x:v>81</x:v>
      </x:c>
      <x:c r="L1724" s="14"/>
      <x:c r="M1724" s="14"/>
      <x:c r="N1724" s="14"/>
      <x:c r="O1724" s="14"/>
      <x:c r="P1724" s="14" t="n">
        <x:v>9</x:v>
      </x:c>
      <x:c r="Q1724" s="14" t="n">
        <x:v>90</x:v>
      </x:c>
      <x:c r="R1724" s="15" t="n">
        <x:v>535040</x:v>
      </x:c>
      <x:c r="S1724" s="15" t="n">
        <x:v>535040</x:v>
      </x:c>
      <x:c r="T1724" s="15"/>
      <x:c r="U1724" s="16" t="n">
        <x:v>6605.43</x:v>
      </x:c>
      <x:c r="V1724" t="str">
        <x:v>CRESCO Real Estate</x:v>
      </x:c>
      <x:c r="W1724" t="str">
        <x:v>Nové Mesto</x:v>
      </x:c>
      <x:c r="X1724" s="11" t="str">
        <x:v>Voľný</x:v>
      </x:c>
      <x:c r="Y1724" s="11" t="str">
        <x:v>https://www.tisiny.sk/ponuka-byvania/byt-bd-03-3b/</x:v>
      </x:c>
      <x:c r="Z1724" s="11" t="n">
        <x:v>46252.68496519676</x:v>
      </x:c>
      <x:c r="AA1724" s="11" t="n">
        <x:v>46254.51251577547</x:v>
      </x:c>
      <x:c r="AB1724" s="11" t="n">
        <x:v>46254.51251577547</x:v>
      </x:c>
      <x:c r="AC1724" t="str">
        <x:v>tisiny</x:v>
      </x:c>
    </x:row>
    <x:row r="1725" ht="22" customHeight="1">
      <x:c r="A1725" t="str">
        <x:v>Tíšiny</x:v>
      </x:c>
      <x:c r="B1725" t="str">
        <x:v>BD-03-3C</x:v>
      </x:c>
      <x:c r="C1725" t="str">
        <x:v>available</x:v>
      </x:c>
      <x:c r="D1725" t="str">
        <x:v>present</x:v>
      </x:c>
      <x:c r="E1725" t="str">
        <x:v>baseline</x:v>
      </x:c>
      <x:c r="F1725" s="11" t="n">
        <x:v>46252.68496519676</x:v>
      </x:c>
      <x:c r="G1725" t="str">
        <x:v>Byt</x:v>
      </x:c>
      <x:c r="H1725" s="12" t="n">
        <x:v>2</x:v>
      </x:c>
      <x:c r="I1725" s="13" t="n">
        <x:v>3</x:v>
      </x:c>
      <x:c r="J1725" t="str">
        <x:v>BD</x:v>
      </x:c>
      <x:c r="K1725" s="14" t="n">
        <x:v>49</x:v>
      </x:c>
      <x:c r="L1725" s="14"/>
      <x:c r="M1725" s="14"/>
      <x:c r="N1725" s="14"/>
      <x:c r="O1725" s="14"/>
      <x:c r="P1725" s="14" t="n">
        <x:v>5</x:v>
      </x:c>
      <x:c r="Q1725" s="14" t="n">
        <x:v>54</x:v>
      </x:c>
      <x:c r="R1725" s="15" t="n">
        <x:v>327897</x:v>
      </x:c>
      <x:c r="S1725" s="15" t="n">
        <x:v>327897</x:v>
      </x:c>
      <x:c r="T1725" s="15"/>
      <x:c r="U1725" s="16" t="n">
        <x:v>6691.78</x:v>
      </x:c>
      <x:c r="V1725" t="str">
        <x:v>CRESCO Real Estate</x:v>
      </x:c>
      <x:c r="W1725" t="str">
        <x:v>Nové Mesto</x:v>
      </x:c>
      <x:c r="X1725" s="11" t="str">
        <x:v>Voľný</x:v>
      </x:c>
      <x:c r="Y1725" s="11" t="str">
        <x:v>https://www.tisiny.sk/ponuka-byvania/byt-bd-03-3c/</x:v>
      </x:c>
      <x:c r="Z1725" s="11" t="n">
        <x:v>46252.68496519676</x:v>
      </x:c>
      <x:c r="AA1725" s="11" t="n">
        <x:v>46254.51251577547</x:v>
      </x:c>
      <x:c r="AB1725" s="11" t="n">
        <x:v>46254.51251577547</x:v>
      </x:c>
      <x:c r="AC1725" t="str">
        <x:v>tisiny</x:v>
      </x:c>
    </x:row>
    <x:row r="1726" ht="22" customHeight="1">
      <x:c r="A1726" t="str">
        <x:v>Tíšiny</x:v>
      </x:c>
      <x:c r="B1726" t="str">
        <x:v>BD-03-3D</x:v>
      </x:c>
      <x:c r="C1726" t="str">
        <x:v>available</x:v>
      </x:c>
      <x:c r="D1726" t="str">
        <x:v>present</x:v>
      </x:c>
      <x:c r="E1726" t="str">
        <x:v>baseline</x:v>
      </x:c>
      <x:c r="F1726" s="11" t="n">
        <x:v>46252.68496519676</x:v>
      </x:c>
      <x:c r="G1726" t="str">
        <x:v>Byt</x:v>
      </x:c>
      <x:c r="H1726" s="12" t="n">
        <x:v>2</x:v>
      </x:c>
      <x:c r="I1726" s="13" t="n">
        <x:v>3</x:v>
      </x:c>
      <x:c r="J1726" t="str">
        <x:v>BD</x:v>
      </x:c>
      <x:c r="K1726" s="14" t="n">
        <x:v>49</x:v>
      </x:c>
      <x:c r="L1726" s="14"/>
      <x:c r="M1726" s="14"/>
      <x:c r="N1726" s="14"/>
      <x:c r="O1726" s="14"/>
      <x:c r="P1726" s="14" t="n">
        <x:v>10</x:v>
      </x:c>
      <x:c r="Q1726" s="14" t="n">
        <x:v>59</x:v>
      </x:c>
      <x:c r="R1726" s="15" t="n">
        <x:v>343471</x:v>
      </x:c>
      <x:c r="S1726" s="15" t="n">
        <x:v>343471</x:v>
      </x:c>
      <x:c r="T1726" s="15"/>
      <x:c r="U1726" s="16" t="n">
        <x:v>7009.61</x:v>
      </x:c>
      <x:c r="V1726" t="str">
        <x:v>CRESCO Real Estate</x:v>
      </x:c>
      <x:c r="W1726" t="str">
        <x:v>Nové Mesto</x:v>
      </x:c>
      <x:c r="X1726" s="11" t="str">
        <x:v>Voľný</x:v>
      </x:c>
      <x:c r="Y1726" s="11" t="str">
        <x:v>https://www.tisiny.sk/ponuka-byvania/byt-bd-03-3d/</x:v>
      </x:c>
      <x:c r="Z1726" s="11" t="n">
        <x:v>46252.68496519676</x:v>
      </x:c>
      <x:c r="AA1726" s="11" t="n">
        <x:v>46254.51251577547</x:v>
      </x:c>
      <x:c r="AB1726" s="11" t="n">
        <x:v>46254.51251577547</x:v>
      </x:c>
      <x:c r="AC1726" t="str">
        <x:v>tisiny</x:v>
      </x:c>
    </x:row>
    <x:row r="1727" ht="22" customHeight="1">
      <x:c r="A1727" t="str">
        <x:v>Tíšiny</x:v>
      </x:c>
      <x:c r="B1727" t="str">
        <x:v>BD-03-3FH</x:v>
      </x:c>
      <x:c r="C1727" t="str">
        <x:v>available</x:v>
      </x:c>
      <x:c r="D1727" t="str">
        <x:v>present</x:v>
      </x:c>
      <x:c r="E1727" t="str">
        <x:v>baseline</x:v>
      </x:c>
      <x:c r="F1727" s="11" t="n">
        <x:v>46252.68496519676</x:v>
      </x:c>
      <x:c r="G1727" t="str">
        <x:v>Byt</x:v>
      </x:c>
      <x:c r="H1727" s="12" t="n">
        <x:v>4</x:v>
      </x:c>
      <x:c r="I1727" s="13" t="n">
        <x:v>3</x:v>
      </x:c>
      <x:c r="J1727" t="str">
        <x:v>BD</x:v>
      </x:c>
      <x:c r="K1727" s="14" t="n">
        <x:v>109</x:v>
      </x:c>
      <x:c r="L1727" s="14"/>
      <x:c r="M1727" s="14"/>
      <x:c r="N1727" s="14"/>
      <x:c r="O1727" s="14"/>
      <x:c r="P1727" s="14" t="n">
        <x:v>16</x:v>
      </x:c>
      <x:c r="Q1727" s="14" t="n">
        <x:v>125</x:v>
      </x:c>
      <x:c r="R1727" s="15" t="n">
        <x:v>711292</x:v>
      </x:c>
      <x:c r="S1727" s="15" t="n">
        <x:v>711292</x:v>
      </x:c>
      <x:c r="T1727" s="15"/>
      <x:c r="U1727" s="16" t="n">
        <x:v>6525.61</x:v>
      </x:c>
      <x:c r="V1727" t="str">
        <x:v>CRESCO Real Estate</x:v>
      </x:c>
      <x:c r="W1727" t="str">
        <x:v>Nové Mesto</x:v>
      </x:c>
      <x:c r="X1727" s="11" t="str">
        <x:v>Voľný</x:v>
      </x:c>
      <x:c r="Y1727" s="11" t="str">
        <x:v>https://www.tisiny.sk/ponuka-byvania/byt-bd-03-3fh/</x:v>
      </x:c>
      <x:c r="Z1727" s="11" t="n">
        <x:v>46252.68496519676</x:v>
      </x:c>
      <x:c r="AA1727" s="11" t="n">
        <x:v>46254.51251577547</x:v>
      </x:c>
      <x:c r="AB1727" s="11" t="n">
        <x:v>46254.51251577547</x:v>
      </x:c>
      <x:c r="AC1727" t="str">
        <x:v>tisiny</x:v>
      </x:c>
    </x:row>
    <x:row r="1728" ht="22" customHeight="1">
      <x:c r="A1728" t="str">
        <x:v>Tíšiny</x:v>
      </x:c>
      <x:c r="B1728" t="str">
        <x:v>BD-03-3I</x:v>
      </x:c>
      <x:c r="C1728" t="str">
        <x:v>available</x:v>
      </x:c>
      <x:c r="D1728" t="str">
        <x:v>present</x:v>
      </x:c>
      <x:c r="E1728" t="str">
        <x:v>baseline</x:v>
      </x:c>
      <x:c r="F1728" s="11" t="n">
        <x:v>46252.68496519676</x:v>
      </x:c>
      <x:c r="G1728" t="str">
        <x:v>Byt</x:v>
      </x:c>
      <x:c r="H1728" s="12" t="n">
        <x:v>3</x:v>
      </x:c>
      <x:c r="I1728" s="13" t="n">
        <x:v>3</x:v>
      </x:c>
      <x:c r="J1728" t="str">
        <x:v>BD</x:v>
      </x:c>
      <x:c r="K1728" s="14" t="n">
        <x:v>74</x:v>
      </x:c>
      <x:c r="L1728" s="14"/>
      <x:c r="M1728" s="14"/>
      <x:c r="N1728" s="14"/>
      <x:c r="O1728" s="14"/>
      <x:c r="P1728" s="14" t="n">
        <x:v>15</x:v>
      </x:c>
      <x:c r="Q1728" s="14" t="n">
        <x:v>89</x:v>
      </x:c>
      <x:c r="R1728" s="15" t="n">
        <x:v>514741</x:v>
      </x:c>
      <x:c r="S1728" s="15" t="n">
        <x:v>514741</x:v>
      </x:c>
      <x:c r="T1728" s="15"/>
      <x:c r="U1728" s="16" t="n">
        <x:v>6955.96</x:v>
      </x:c>
      <x:c r="V1728" t="str">
        <x:v>CRESCO Real Estate</x:v>
      </x:c>
      <x:c r="W1728" t="str">
        <x:v>Nové Mesto</x:v>
      </x:c>
      <x:c r="X1728" s="11" t="str">
        <x:v>Voľný</x:v>
      </x:c>
      <x:c r="Y1728" s="11" t="str">
        <x:v>https://www.tisiny.sk/ponuka-byvania/byt-bd-03-3i/</x:v>
      </x:c>
      <x:c r="Z1728" s="11" t="n">
        <x:v>46252.68496519676</x:v>
      </x:c>
      <x:c r="AA1728" s="11" t="n">
        <x:v>46254.51251577547</x:v>
      </x:c>
      <x:c r="AB1728" s="11" t="n">
        <x:v>46254.51251577547</x:v>
      </x:c>
      <x:c r="AC1728" t="str">
        <x:v>tisiny</x:v>
      </x:c>
    </x:row>
    <x:row r="1729" ht="22" customHeight="1">
      <x:c r="A1729" t="str">
        <x:v>Tíšiny</x:v>
      </x:c>
      <x:c r="B1729" t="str">
        <x:v>BD-03-3J</x:v>
      </x:c>
      <x:c r="C1729" t="str">
        <x:v>available</x:v>
      </x:c>
      <x:c r="D1729" t="str">
        <x:v>present</x:v>
      </x:c>
      <x:c r="E1729" t="str">
        <x:v>baseline</x:v>
      </x:c>
      <x:c r="F1729" s="11" t="n">
        <x:v>46252.68496519676</x:v>
      </x:c>
      <x:c r="G1729" t="str">
        <x:v>Apartmán</x:v>
      </x:c>
      <x:c r="H1729" s="12" t="n">
        <x:v>1</x:v>
      </x:c>
      <x:c r="I1729" s="13" t="n">
        <x:v>3</x:v>
      </x:c>
      <x:c r="J1729" t="str">
        <x:v>BD</x:v>
      </x:c>
      <x:c r="K1729" s="14" t="n">
        <x:v>23</x:v>
      </x:c>
      <x:c r="L1729" s="14"/>
      <x:c r="M1729" s="14"/>
      <x:c r="N1729" s="14"/>
      <x:c r="O1729" s="14"/>
      <x:c r="P1729" s="14" t="n">
        <x:v>0</x:v>
      </x:c>
      <x:c r="Q1729" s="14" t="n">
        <x:v>23</x:v>
      </x:c>
      <x:c r="R1729" s="15" t="n">
        <x:v>177991</x:v>
      </x:c>
      <x:c r="S1729" s="15" t="n">
        <x:v>177991</x:v>
      </x:c>
      <x:c r="T1729" s="15"/>
      <x:c r="U1729" s="16" t="n">
        <x:v>7738.74</x:v>
      </x:c>
      <x:c r="V1729" t="str">
        <x:v>CRESCO Real Estate</x:v>
      </x:c>
      <x:c r="W1729" t="str">
        <x:v>Nové Mesto</x:v>
      </x:c>
      <x:c r="X1729" s="11" t="str">
        <x:v>Voľný</x:v>
      </x:c>
      <x:c r="Y1729" s="11" t="str">
        <x:v>https://www.tisiny.sk/ponuka-byvania/apartman-bd-03-3j/</x:v>
      </x:c>
      <x:c r="Z1729" s="11" t="n">
        <x:v>46252.68496519676</x:v>
      </x:c>
      <x:c r="AA1729" s="11" t="n">
        <x:v>46254.51251577547</x:v>
      </x:c>
      <x:c r="AB1729" s="11" t="n">
        <x:v>46254.51251577547</x:v>
      </x:c>
      <x:c r="AC1729" t="str">
        <x:v>tisiny</x:v>
      </x:c>
    </x:row>
    <x:row r="1730" ht="22" customHeight="1">
      <x:c r="A1730" t="str">
        <x:v>Tíšiny</x:v>
      </x:c>
      <x:c r="B1730" t="str">
        <x:v>BD-03-3K</x:v>
      </x:c>
      <x:c r="C1730" t="str">
        <x:v>available</x:v>
      </x:c>
      <x:c r="D1730" t="str">
        <x:v>present</x:v>
      </x:c>
      <x:c r="E1730" t="str">
        <x:v>baseline</x:v>
      </x:c>
      <x:c r="F1730" s="11" t="n">
        <x:v>46252.68496519676</x:v>
      </x:c>
      <x:c r="G1730" t="str">
        <x:v>Byt</x:v>
      </x:c>
      <x:c r="H1730" s="12" t="n">
        <x:v>2</x:v>
      </x:c>
      <x:c r="I1730" s="13" t="n">
        <x:v>3</x:v>
      </x:c>
      <x:c r="J1730" t="str">
        <x:v>BD</x:v>
      </x:c>
      <x:c r="K1730" s="14" t="n">
        <x:v>51</x:v>
      </x:c>
      <x:c r="L1730" s="14"/>
      <x:c r="M1730" s="14"/>
      <x:c r="N1730" s="14"/>
      <x:c r="O1730" s="14"/>
      <x:c r="P1730" s="14" t="n">
        <x:v>4</x:v>
      </x:c>
      <x:c r="Q1730" s="14" t="n">
        <x:v>55</x:v>
      </x:c>
      <x:c r="R1730" s="15" t="n">
        <x:v>307262</x:v>
      </x:c>
      <x:c r="S1730" s="15" t="n">
        <x:v>307262</x:v>
      </x:c>
      <x:c r="T1730" s="15"/>
      <x:c r="U1730" s="16" t="n">
        <x:v>6024.75</x:v>
      </x:c>
      <x:c r="V1730" t="str">
        <x:v>CRESCO Real Estate</x:v>
      </x:c>
      <x:c r="W1730" t="str">
        <x:v>Nové Mesto</x:v>
      </x:c>
      <x:c r="X1730" s="11" t="str">
        <x:v>Voľný</x:v>
      </x:c>
      <x:c r="Y1730" s="11" t="str">
        <x:v>https://www.tisiny.sk/ponuka-byvania/byt-bd-03-3k/</x:v>
      </x:c>
      <x:c r="Z1730" s="11" t="n">
        <x:v>46252.68496519676</x:v>
      </x:c>
      <x:c r="AA1730" s="11" t="n">
        <x:v>46254.51251577547</x:v>
      </x:c>
      <x:c r="AB1730" s="11" t="n">
        <x:v>46254.51251577547</x:v>
      </x:c>
      <x:c r="AC1730" t="str">
        <x:v>tisiny</x:v>
      </x:c>
    </x:row>
    <x:row r="1731" ht="22" customHeight="1">
      <x:c r="A1731" t="str">
        <x:v>Tíšiny</x:v>
      </x:c>
      <x:c r="B1731" t="str">
        <x:v>BD-03-3L</x:v>
      </x:c>
      <x:c r="C1731" t="str">
        <x:v>available</x:v>
      </x:c>
      <x:c r="D1731" t="str">
        <x:v>present</x:v>
      </x:c>
      <x:c r="E1731" t="str">
        <x:v>baseline</x:v>
      </x:c>
      <x:c r="F1731" s="11" t="n">
        <x:v>46252.68496519676</x:v>
      </x:c>
      <x:c r="G1731" t="str">
        <x:v>Byt</x:v>
      </x:c>
      <x:c r="H1731" s="12" t="n">
        <x:v>2</x:v>
      </x:c>
      <x:c r="I1731" s="13" t="n">
        <x:v>3</x:v>
      </x:c>
      <x:c r="J1731" t="str">
        <x:v>BD</x:v>
      </x:c>
      <x:c r="K1731" s="14" t="n">
        <x:v>51</x:v>
      </x:c>
      <x:c r="L1731" s="14"/>
      <x:c r="M1731" s="14"/>
      <x:c r="N1731" s="14"/>
      <x:c r="O1731" s="14"/>
      <x:c r="P1731" s="14" t="n">
        <x:v>8</x:v>
      </x:c>
      <x:c r="Q1731" s="14" t="n">
        <x:v>59</x:v>
      </x:c>
      <x:c r="R1731" s="15" t="n">
        <x:v>318004</x:v>
      </x:c>
      <x:c r="S1731" s="15" t="n">
        <x:v>318004</x:v>
      </x:c>
      <x:c r="T1731" s="15"/>
      <x:c r="U1731" s="16" t="n">
        <x:v>6235.37</x:v>
      </x:c>
      <x:c r="V1731" t="str">
        <x:v>CRESCO Real Estate</x:v>
      </x:c>
      <x:c r="W1731" t="str">
        <x:v>Nové Mesto</x:v>
      </x:c>
      <x:c r="X1731" s="11" t="str">
        <x:v>Voľný</x:v>
      </x:c>
      <x:c r="Y1731" s="11" t="str">
        <x:v>https://www.tisiny.sk/ponuka-byvania/byt-bd-03-3l/</x:v>
      </x:c>
      <x:c r="Z1731" s="11" t="n">
        <x:v>46252.68496519676</x:v>
      </x:c>
      <x:c r="AA1731" s="11" t="n">
        <x:v>46254.51251577547</x:v>
      </x:c>
      <x:c r="AB1731" s="11" t="n">
        <x:v>46254.51251577547</x:v>
      </x:c>
      <x:c r="AC1731" t="str">
        <x:v>tisiny</x:v>
      </x:c>
    </x:row>
    <x:row r="1732" ht="22" customHeight="1">
      <x:c r="A1732" t="str">
        <x:v>Tíšiny</x:v>
      </x:c>
      <x:c r="B1732" t="str">
        <x:v>BD-04-4A</x:v>
      </x:c>
      <x:c r="C1732" t="str">
        <x:v>available</x:v>
      </x:c>
      <x:c r="D1732" t="str">
        <x:v>present</x:v>
      </x:c>
      <x:c r="E1732" t="str">
        <x:v>baseline</x:v>
      </x:c>
      <x:c r="F1732" s="11" t="n">
        <x:v>46252.68496519676</x:v>
      </x:c>
      <x:c r="G1732" t="str">
        <x:v>Byt</x:v>
      </x:c>
      <x:c r="H1732" s="12" t="n">
        <x:v>2</x:v>
      </x:c>
      <x:c r="I1732" s="13" t="n">
        <x:v>4</x:v>
      </x:c>
      <x:c r="J1732" t="str">
        <x:v>BD</x:v>
      </x:c>
      <x:c r="K1732" s="14" t="n">
        <x:v>50</x:v>
      </x:c>
      <x:c r="L1732" s="14"/>
      <x:c r="M1732" s="14"/>
      <x:c r="N1732" s="14"/>
      <x:c r="O1732" s="14"/>
      <x:c r="P1732" s="14" t="n">
        <x:v>9</x:v>
      </x:c>
      <x:c r="Q1732" s="14" t="n">
        <x:v>59</x:v>
      </x:c>
      <x:c r="R1732" s="15" t="n">
        <x:v>317956</x:v>
      </x:c>
      <x:c r="S1732" s="15" t="n">
        <x:v>317956</x:v>
      </x:c>
      <x:c r="T1732" s="15"/>
      <x:c r="U1732" s="16" t="n">
        <x:v>6359.12</x:v>
      </x:c>
      <x:c r="V1732" t="str">
        <x:v>CRESCO Real Estate</x:v>
      </x:c>
      <x:c r="W1732" t="str">
        <x:v>Nové Mesto</x:v>
      </x:c>
      <x:c r="X1732" s="11" t="str">
        <x:v>Voľný</x:v>
      </x:c>
      <x:c r="Y1732" s="11" t="str">
        <x:v>https://www.tisiny.sk/ponuka-byvania/byt-bd-04-4a/</x:v>
      </x:c>
      <x:c r="Z1732" s="11" t="n">
        <x:v>46252.68496519676</x:v>
      </x:c>
      <x:c r="AA1732" s="11" t="n">
        <x:v>46254.51251577547</x:v>
      </x:c>
      <x:c r="AB1732" s="11" t="n">
        <x:v>46254.51251577547</x:v>
      </x:c>
      <x:c r="AC1732" t="str">
        <x:v>tisiny</x:v>
      </x:c>
    </x:row>
    <x:row r="1733" ht="22" customHeight="1">
      <x:c r="A1733" t="str">
        <x:v>Tíšiny</x:v>
      </x:c>
      <x:c r="B1733" t="str">
        <x:v>BD-04-4B</x:v>
      </x:c>
      <x:c r="C1733" t="str">
        <x:v>available</x:v>
      </x:c>
      <x:c r="D1733" t="str">
        <x:v>present</x:v>
      </x:c>
      <x:c r="E1733" t="str">
        <x:v>baseline</x:v>
      </x:c>
      <x:c r="F1733" s="11" t="n">
        <x:v>46252.68496519676</x:v>
      </x:c>
      <x:c r="G1733" t="str">
        <x:v>Byt</x:v>
      </x:c>
      <x:c r="H1733" s="12" t="n">
        <x:v>3</x:v>
      </x:c>
      <x:c r="I1733" s="13" t="n">
        <x:v>4</x:v>
      </x:c>
      <x:c r="J1733" t="str">
        <x:v>BD</x:v>
      </x:c>
      <x:c r="K1733" s="14" t="n">
        <x:v>81</x:v>
      </x:c>
      <x:c r="L1733" s="14"/>
      <x:c r="M1733" s="14"/>
      <x:c r="N1733" s="14"/>
      <x:c r="O1733" s="14"/>
      <x:c r="P1733" s="14" t="n">
        <x:v>15</x:v>
      </x:c>
      <x:c r="Q1733" s="14" t="n">
        <x:v>96</x:v>
      </x:c>
      <x:c r="R1733" s="15" t="n">
        <x:v>557651</x:v>
      </x:c>
      <x:c r="S1733" s="15" t="n">
        <x:v>557651</x:v>
      </x:c>
      <x:c r="T1733" s="15"/>
      <x:c r="U1733" s="16" t="n">
        <x:v>6884.58</x:v>
      </x:c>
      <x:c r="V1733" t="str">
        <x:v>CRESCO Real Estate</x:v>
      </x:c>
      <x:c r="W1733" t="str">
        <x:v>Nové Mesto</x:v>
      </x:c>
      <x:c r="X1733" s="11" t="str">
        <x:v>Voľný</x:v>
      </x:c>
      <x:c r="Y1733" s="11" t="str">
        <x:v>https://www.tisiny.sk/ponuka-byvania/byt-bd-04-4b/</x:v>
      </x:c>
      <x:c r="Z1733" s="11" t="n">
        <x:v>46252.68496519676</x:v>
      </x:c>
      <x:c r="AA1733" s="11" t="n">
        <x:v>46254.51251577547</x:v>
      </x:c>
      <x:c r="AB1733" s="11" t="n">
        <x:v>46254.51251577547</x:v>
      </x:c>
      <x:c r="AC1733" t="str">
        <x:v>tisiny</x:v>
      </x:c>
    </x:row>
    <x:row r="1734" ht="22" customHeight="1">
      <x:c r="A1734" t="str">
        <x:v>Tíšiny</x:v>
      </x:c>
      <x:c r="B1734" t="str">
        <x:v>BD-04-4C</x:v>
      </x:c>
      <x:c r="C1734" t="str">
        <x:v>available</x:v>
      </x:c>
      <x:c r="D1734" t="str">
        <x:v>present</x:v>
      </x:c>
      <x:c r="E1734" t="str">
        <x:v>baseline</x:v>
      </x:c>
      <x:c r="F1734" s="11" t="n">
        <x:v>46252.68496519676</x:v>
      </x:c>
      <x:c r="G1734" t="str">
        <x:v>Byt</x:v>
      </x:c>
      <x:c r="H1734" s="12" t="n">
        <x:v>2</x:v>
      </x:c>
      <x:c r="I1734" s="13" t="n">
        <x:v>4</x:v>
      </x:c>
      <x:c r="J1734" t="str">
        <x:v>BD</x:v>
      </x:c>
      <x:c r="K1734" s="14" t="n">
        <x:v>49</x:v>
      </x:c>
      <x:c r="L1734" s="14"/>
      <x:c r="M1734" s="14"/>
      <x:c r="N1734" s="14"/>
      <x:c r="O1734" s="14"/>
      <x:c r="P1734" s="14" t="n">
        <x:v>10</x:v>
      </x:c>
      <x:c r="Q1734" s="14" t="n">
        <x:v>59</x:v>
      </x:c>
      <x:c r="R1734" s="15" t="n">
        <x:v>351525</x:v>
      </x:c>
      <x:c r="S1734" s="15" t="n">
        <x:v>351525</x:v>
      </x:c>
      <x:c r="T1734" s="15"/>
      <x:c r="U1734" s="16" t="n">
        <x:v>7173.98</x:v>
      </x:c>
      <x:c r="V1734" t="str">
        <x:v>CRESCO Real Estate</x:v>
      </x:c>
      <x:c r="W1734" t="str">
        <x:v>Nové Mesto</x:v>
      </x:c>
      <x:c r="X1734" s="11" t="str">
        <x:v>Voľný</x:v>
      </x:c>
      <x:c r="Y1734" s="11" t="str">
        <x:v>https://www.tisiny.sk/ponuka-byvania/byt-bd-04-4c/</x:v>
      </x:c>
      <x:c r="Z1734" s="11" t="n">
        <x:v>46252.68496519676</x:v>
      </x:c>
      <x:c r="AA1734" s="11" t="n">
        <x:v>46254.51251577547</x:v>
      </x:c>
      <x:c r="AB1734" s="11" t="n">
        <x:v>46254.51251577547</x:v>
      </x:c>
      <x:c r="AC1734" t="str">
        <x:v>tisiny</x:v>
      </x:c>
    </x:row>
    <x:row r="1735" ht="22" customHeight="1">
      <x:c r="A1735" t="str">
        <x:v>Tíšiny</x:v>
      </x:c>
      <x:c r="B1735" t="str">
        <x:v>BD-04-4D</x:v>
      </x:c>
      <x:c r="C1735" t="str">
        <x:v>available</x:v>
      </x:c>
      <x:c r="D1735" t="str">
        <x:v>present</x:v>
      </x:c>
      <x:c r="E1735" t="str">
        <x:v>baseline</x:v>
      </x:c>
      <x:c r="F1735" s="11" t="n">
        <x:v>46252.68496519676</x:v>
      </x:c>
      <x:c r="G1735" t="str">
        <x:v>Byt</x:v>
      </x:c>
      <x:c r="H1735" s="12" t="n">
        <x:v>2</x:v>
      </x:c>
      <x:c r="I1735" s="13" t="n">
        <x:v>4</x:v>
      </x:c>
      <x:c r="J1735" t="str">
        <x:v>BD</x:v>
      </x:c>
      <x:c r="K1735" s="14" t="n">
        <x:v>49</x:v>
      </x:c>
      <x:c r="L1735" s="14"/>
      <x:c r="M1735" s="14"/>
      <x:c r="N1735" s="14"/>
      <x:c r="O1735" s="14"/>
      <x:c r="P1735" s="14" t="n">
        <x:v>6</x:v>
      </x:c>
      <x:c r="Q1735" s="14" t="n">
        <x:v>55</x:v>
      </x:c>
      <x:c r="R1735" s="15" t="n">
        <x:v>338426</x:v>
      </x:c>
      <x:c r="S1735" s="15" t="n">
        <x:v>338426</x:v>
      </x:c>
      <x:c r="T1735" s="15"/>
      <x:c r="U1735" s="16" t="n">
        <x:v>6906.65</x:v>
      </x:c>
      <x:c r="V1735" t="str">
        <x:v>CRESCO Real Estate</x:v>
      </x:c>
      <x:c r="W1735" t="str">
        <x:v>Nové Mesto</x:v>
      </x:c>
      <x:c r="X1735" s="11" t="str">
        <x:v>Voľný</x:v>
      </x:c>
      <x:c r="Y1735" s="11" t="str">
        <x:v>https://www.tisiny.sk/ponuka-byvania/byt-bd-04-4d/</x:v>
      </x:c>
      <x:c r="Z1735" s="11" t="n">
        <x:v>46252.68496519676</x:v>
      </x:c>
      <x:c r="AA1735" s="11" t="n">
        <x:v>46254.51251577547</x:v>
      </x:c>
      <x:c r="AB1735" s="11" t="n">
        <x:v>46254.51251577547</x:v>
      </x:c>
      <x:c r="AC1735" t="str">
        <x:v>tisiny</x:v>
      </x:c>
    </x:row>
    <x:row r="1736" ht="22" customHeight="1">
      <x:c r="A1736" t="str">
        <x:v>Tíšiny</x:v>
      </x:c>
      <x:c r="B1736" t="str">
        <x:v>BD-04-4FH</x:v>
      </x:c>
      <x:c r="C1736" t="str">
        <x:v>available</x:v>
      </x:c>
      <x:c r="D1736" t="str">
        <x:v>present</x:v>
      </x:c>
      <x:c r="E1736" t="str">
        <x:v>baseline</x:v>
      </x:c>
      <x:c r="F1736" s="11" t="n">
        <x:v>46252.68496519676</x:v>
      </x:c>
      <x:c r="G1736" t="str">
        <x:v>Byt</x:v>
      </x:c>
      <x:c r="H1736" s="12" t="n">
        <x:v>4</x:v>
      </x:c>
      <x:c r="I1736" s="13" t="n">
        <x:v>4</x:v>
      </x:c>
      <x:c r="J1736" t="str">
        <x:v>BD</x:v>
      </x:c>
      <x:c r="K1736" s="14" t="n">
        <x:v>109</x:v>
      </x:c>
      <x:c r="L1736" s="14"/>
      <x:c r="M1736" s="14"/>
      <x:c r="N1736" s="14"/>
      <x:c r="O1736" s="14"/>
      <x:c r="P1736" s="14" t="n">
        <x:v>12</x:v>
      </x:c>
      <x:c r="Q1736" s="14" t="n">
        <x:v>121</x:v>
      </x:c>
      <x:c r="R1736" s="15" t="n">
        <x:v>722935</x:v>
      </x:c>
      <x:c r="S1736" s="15" t="n">
        <x:v>722935</x:v>
      </x:c>
      <x:c r="T1736" s="15"/>
      <x:c r="U1736" s="16" t="n">
        <x:v>6632.43</x:v>
      </x:c>
      <x:c r="V1736" t="str">
        <x:v>CRESCO Real Estate</x:v>
      </x:c>
      <x:c r="W1736" t="str">
        <x:v>Nové Mesto</x:v>
      </x:c>
      <x:c r="X1736" s="11" t="str">
        <x:v>Voľný</x:v>
      </x:c>
      <x:c r="Y1736" s="11" t="str">
        <x:v>https://www.tisiny.sk/ponuka-byvania/byt-bd-04-4fh/</x:v>
      </x:c>
      <x:c r="Z1736" s="11" t="n">
        <x:v>46252.68496519676</x:v>
      </x:c>
      <x:c r="AA1736" s="11" t="n">
        <x:v>46254.51251577547</x:v>
      </x:c>
      <x:c r="AB1736" s="11" t="n">
        <x:v>46254.51251577547</x:v>
      </x:c>
      <x:c r="AC1736" t="str">
        <x:v>tisiny</x:v>
      </x:c>
    </x:row>
    <x:row r="1737" ht="22" customHeight="1">
      <x:c r="A1737" t="str">
        <x:v>Tíšiny</x:v>
      </x:c>
      <x:c r="B1737" t="str">
        <x:v>BD-04-4G</x:v>
      </x:c>
      <x:c r="C1737" t="str">
        <x:v>available</x:v>
      </x:c>
      <x:c r="D1737" t="str">
        <x:v>present</x:v>
      </x:c>
      <x:c r="E1737" t="str">
        <x:v>baseline</x:v>
      </x:c>
      <x:c r="F1737" s="11" t="n">
        <x:v>46252.68496519676</x:v>
      </x:c>
      <x:c r="G1737" t="str">
        <x:v>Byt</x:v>
      </x:c>
      <x:c r="H1737" s="12" t="n">
        <x:v>3</x:v>
      </x:c>
      <x:c r="I1737" s="13" t="n">
        <x:v>4</x:v>
      </x:c>
      <x:c r="J1737" t="str">
        <x:v>BD</x:v>
      </x:c>
      <x:c r="K1737" s="14" t="n">
        <x:v>74</x:v>
      </x:c>
      <x:c r="L1737" s="14"/>
      <x:c r="M1737" s="14"/>
      <x:c r="N1737" s="14"/>
      <x:c r="O1737" s="14"/>
      <x:c r="P1737" s="14" t="n">
        <x:v>9</x:v>
      </x:c>
      <x:c r="Q1737" s="14" t="n">
        <x:v>83</x:v>
      </x:c>
      <x:c r="R1737" s="15" t="n">
        <x:v>507172</x:v>
      </x:c>
      <x:c r="S1737" s="15" t="n">
        <x:v>507172</x:v>
      </x:c>
      <x:c r="T1737" s="15"/>
      <x:c r="U1737" s="16" t="n">
        <x:v>6853.68</x:v>
      </x:c>
      <x:c r="V1737" t="str">
        <x:v>CRESCO Real Estate</x:v>
      </x:c>
      <x:c r="W1737" t="str">
        <x:v>Nové Mesto</x:v>
      </x:c>
      <x:c r="X1737" s="11" t="str">
        <x:v>Voľný</x:v>
      </x:c>
      <x:c r="Y1737" s="11" t="str">
        <x:v>https://www.tisiny.sk/ponuka-byvania/byt-bd-04-4g/</x:v>
      </x:c>
      <x:c r="Z1737" s="11" t="n">
        <x:v>46252.68496519676</x:v>
      </x:c>
      <x:c r="AA1737" s="11" t="n">
        <x:v>46254.51251577547</x:v>
      </x:c>
      <x:c r="AB1737" s="11" t="n">
        <x:v>46254.51251577547</x:v>
      </x:c>
      <x:c r="AC1737" t="str">
        <x:v>tisiny</x:v>
      </x:c>
    </x:row>
    <x:row r="1738" ht="22" customHeight="1">
      <x:c r="A1738" t="str">
        <x:v>Tíšiny</x:v>
      </x:c>
      <x:c r="B1738" t="str">
        <x:v>BD-04-4H</x:v>
      </x:c>
      <x:c r="C1738" t="str">
        <x:v>available</x:v>
      </x:c>
      <x:c r="D1738" t="str">
        <x:v>present</x:v>
      </x:c>
      <x:c r="E1738" t="str">
        <x:v>baseline</x:v>
      </x:c>
      <x:c r="F1738" s="11" t="n">
        <x:v>46252.68496519676</x:v>
      </x:c>
      <x:c r="G1738" t="str">
        <x:v>Apartmán</x:v>
      </x:c>
      <x:c r="H1738" s="12" t="n">
        <x:v>1</x:v>
      </x:c>
      <x:c r="I1738" s="13" t="n">
        <x:v>4</x:v>
      </x:c>
      <x:c r="J1738" t="str">
        <x:v>BD</x:v>
      </x:c>
      <x:c r="K1738" s="14" t="n">
        <x:v>23</x:v>
      </x:c>
      <x:c r="L1738" s="14"/>
      <x:c r="M1738" s="14"/>
      <x:c r="N1738" s="14"/>
      <x:c r="O1738" s="14"/>
      <x:c r="P1738" s="14" t="n">
        <x:v>0</x:v>
      </x:c>
      <x:c r="Q1738" s="14" t="n">
        <x:v>23</x:v>
      </x:c>
      <x:c r="R1738" s="15" t="n">
        <x:v>179713</x:v>
      </x:c>
      <x:c r="S1738" s="15" t="n">
        <x:v>179713</x:v>
      </x:c>
      <x:c r="T1738" s="15"/>
      <x:c r="U1738" s="16" t="n">
        <x:v>7813.61</x:v>
      </x:c>
      <x:c r="V1738" t="str">
        <x:v>CRESCO Real Estate</x:v>
      </x:c>
      <x:c r="W1738" t="str">
        <x:v>Nové Mesto</x:v>
      </x:c>
      <x:c r="X1738" s="11" t="str">
        <x:v>Voľný</x:v>
      </x:c>
      <x:c r="Y1738" s="11" t="str">
        <x:v>https://www.tisiny.sk/ponuka-byvania/apartman-bd-04-4h/</x:v>
      </x:c>
      <x:c r="Z1738" s="11" t="n">
        <x:v>46252.68496519676</x:v>
      </x:c>
      <x:c r="AA1738" s="11" t="n">
        <x:v>46254.51251577547</x:v>
      </x:c>
      <x:c r="AB1738" s="11" t="n">
        <x:v>46254.51251577547</x:v>
      </x:c>
      <x:c r="AC1738" t="str">
        <x:v>tisiny</x:v>
      </x:c>
    </x:row>
    <x:row r="1739" ht="22" customHeight="1">
      <x:c r="A1739" t="str">
        <x:v>Tíšiny</x:v>
      </x:c>
      <x:c r="B1739" t="str">
        <x:v>BD-04-4I</x:v>
      </x:c>
      <x:c r="C1739" t="str">
        <x:v>available</x:v>
      </x:c>
      <x:c r="D1739" t="str">
        <x:v>present</x:v>
      </x:c>
      <x:c r="E1739" t="str">
        <x:v>baseline</x:v>
      </x:c>
      <x:c r="F1739" s="11" t="n">
        <x:v>46252.68496519676</x:v>
      </x:c>
      <x:c r="G1739" t="str">
        <x:v>Byt</x:v>
      </x:c>
      <x:c r="H1739" s="12" t="n">
        <x:v>2</x:v>
      </x:c>
      <x:c r="I1739" s="13" t="n">
        <x:v>4</x:v>
      </x:c>
      <x:c r="J1739" t="str">
        <x:v>BD</x:v>
      </x:c>
      <x:c r="K1739" s="14" t="n">
        <x:v>51</x:v>
      </x:c>
      <x:c r="L1739" s="14"/>
      <x:c r="M1739" s="14"/>
      <x:c r="N1739" s="14"/>
      <x:c r="O1739" s="14"/>
      <x:c r="P1739" s="14" t="n">
        <x:v>4</x:v>
      </x:c>
      <x:c r="Q1739" s="14" t="n">
        <x:v>55</x:v>
      </x:c>
      <x:c r="R1739" s="15" t="n">
        <x:v>308303</x:v>
      </x:c>
      <x:c r="S1739" s="15" t="n">
        <x:v>308303</x:v>
      </x:c>
      <x:c r="T1739" s="15"/>
      <x:c r="U1739" s="16" t="n">
        <x:v>6045.16</x:v>
      </x:c>
      <x:c r="V1739" t="str">
        <x:v>CRESCO Real Estate</x:v>
      </x:c>
      <x:c r="W1739" t="str">
        <x:v>Nové Mesto</x:v>
      </x:c>
      <x:c r="X1739" s="11" t="str">
        <x:v>Voľný</x:v>
      </x:c>
      <x:c r="Y1739" s="11" t="str">
        <x:v>https://www.tisiny.sk/ponuka-byvania/byt-bd-04-4i/</x:v>
      </x:c>
      <x:c r="Z1739" s="11" t="n">
        <x:v>46252.68496519676</x:v>
      </x:c>
      <x:c r="AA1739" s="11" t="n">
        <x:v>46254.51251577547</x:v>
      </x:c>
      <x:c r="AB1739" s="11" t="n">
        <x:v>46254.51251577547</x:v>
      </x:c>
      <x:c r="AC1739" t="str">
        <x:v>tisiny</x:v>
      </x:c>
    </x:row>
    <x:row r="1740" ht="22" customHeight="1">
      <x:c r="A1740" t="str">
        <x:v>Tíšiny</x:v>
      </x:c>
      <x:c r="B1740" t="str">
        <x:v>BD-04-4J</x:v>
      </x:c>
      <x:c r="C1740" t="str">
        <x:v>available</x:v>
      </x:c>
      <x:c r="D1740" t="str">
        <x:v>present</x:v>
      </x:c>
      <x:c r="E1740" t="str">
        <x:v>baseline</x:v>
      </x:c>
      <x:c r="F1740" s="11" t="n">
        <x:v>46252.68496519676</x:v>
      </x:c>
      <x:c r="G1740" t="str">
        <x:v>Byt</x:v>
      </x:c>
      <x:c r="H1740" s="12" t="n">
        <x:v>2</x:v>
      </x:c>
      <x:c r="I1740" s="13" t="n">
        <x:v>4</x:v>
      </x:c>
      <x:c r="J1740" t="str">
        <x:v>BD</x:v>
      </x:c>
      <x:c r="K1740" s="14" t="n">
        <x:v>51</x:v>
      </x:c>
      <x:c r="L1740" s="14"/>
      <x:c r="M1740" s="14"/>
      <x:c r="N1740" s="14"/>
      <x:c r="O1740" s="14"/>
      <x:c r="P1740" s="14" t="n">
        <x:v>4</x:v>
      </x:c>
      <x:c r="Q1740" s="14" t="n">
        <x:v>55</x:v>
      </x:c>
      <x:c r="R1740" s="15" t="n">
        <x:v>308106</x:v>
      </x:c>
      <x:c r="S1740" s="15" t="n">
        <x:v>308106</x:v>
      </x:c>
      <x:c r="T1740" s="15"/>
      <x:c r="U1740" s="16" t="n">
        <x:v>6041.29</x:v>
      </x:c>
      <x:c r="V1740" t="str">
        <x:v>CRESCO Real Estate</x:v>
      </x:c>
      <x:c r="W1740" t="str">
        <x:v>Nové Mesto</x:v>
      </x:c>
      <x:c r="X1740" s="11" t="str">
        <x:v>Voľný</x:v>
      </x:c>
      <x:c r="Y1740" s="11" t="str">
        <x:v>https://www.tisiny.sk/ponuka-byvania/byt-bd-04-4j/</x:v>
      </x:c>
      <x:c r="Z1740" s="11" t="n">
        <x:v>46252.68496519676</x:v>
      </x:c>
      <x:c r="AA1740" s="11" t="n">
        <x:v>46254.51251577547</x:v>
      </x:c>
      <x:c r="AB1740" s="11" t="n">
        <x:v>46254.51251577547</x:v>
      </x:c>
      <x:c r="AC1740" t="str">
        <x:v>tisiny</x:v>
      </x:c>
    </x:row>
    <x:row r="1741" ht="22" customHeight="1">
      <x:c r="A1741" t="str">
        <x:v>Tíšiny</x:v>
      </x:c>
      <x:c r="B1741" t="str">
        <x:v>BD-05-5A</x:v>
      </x:c>
      <x:c r="C1741" t="str">
        <x:v>available</x:v>
      </x:c>
      <x:c r="D1741" t="str">
        <x:v>present</x:v>
      </x:c>
      <x:c r="E1741" t="str">
        <x:v>baseline</x:v>
      </x:c>
      <x:c r="F1741" s="11" t="n">
        <x:v>46252.68496519676</x:v>
      </x:c>
      <x:c r="G1741" t="str">
        <x:v>Byt</x:v>
      </x:c>
      <x:c r="H1741" s="12" t="n">
        <x:v>2</x:v>
      </x:c>
      <x:c r="I1741" s="13" t="n">
        <x:v>5</x:v>
      </x:c>
      <x:c r="J1741" t="str">
        <x:v>BD</x:v>
      </x:c>
      <x:c r="K1741" s="14" t="n">
        <x:v>50</x:v>
      </x:c>
      <x:c r="L1741" s="14"/>
      <x:c r="M1741" s="14"/>
      <x:c r="N1741" s="14"/>
      <x:c r="O1741" s="14"/>
      <x:c r="P1741" s="14" t="n">
        <x:v>11</x:v>
      </x:c>
      <x:c r="Q1741" s="14" t="n">
        <x:v>61</x:v>
      </x:c>
      <x:c r="R1741" s="15" t="n">
        <x:v>332391</x:v>
      </x:c>
      <x:c r="S1741" s="15" t="n">
        <x:v>332391</x:v>
      </x:c>
      <x:c r="T1741" s="15"/>
      <x:c r="U1741" s="16" t="n">
        <x:v>6647.82</x:v>
      </x:c>
      <x:c r="V1741" t="str">
        <x:v>CRESCO Real Estate</x:v>
      </x:c>
      <x:c r="W1741" t="str">
        <x:v>Nové Mesto</x:v>
      </x:c>
      <x:c r="X1741" s="11" t="str">
        <x:v>Voľný</x:v>
      </x:c>
      <x:c r="Y1741" s="11" t="str">
        <x:v>https://www.tisiny.sk/ponuka-byvania/byt-bd-05-5a/</x:v>
      </x:c>
      <x:c r="Z1741" s="11" t="n">
        <x:v>46252.68496519676</x:v>
      </x:c>
      <x:c r="AA1741" s="11" t="n">
        <x:v>46254.51251577547</x:v>
      </x:c>
      <x:c r="AB1741" s="11" t="n">
        <x:v>46254.51251577547</x:v>
      </x:c>
      <x:c r="AC1741" t="str">
        <x:v>tisiny</x:v>
      </x:c>
    </x:row>
    <x:row r="1742" ht="22" customHeight="1">
      <x:c r="A1742" t="str">
        <x:v>Tíšiny</x:v>
      </x:c>
      <x:c r="B1742" t="str">
        <x:v>BD-05-5B</x:v>
      </x:c>
      <x:c r="C1742" t="str">
        <x:v>available</x:v>
      </x:c>
      <x:c r="D1742" t="str">
        <x:v>present</x:v>
      </x:c>
      <x:c r="E1742" t="str">
        <x:v>baseline</x:v>
      </x:c>
      <x:c r="F1742" s="11" t="n">
        <x:v>46252.68496519676</x:v>
      </x:c>
      <x:c r="G1742" t="str">
        <x:v>Byt</x:v>
      </x:c>
      <x:c r="H1742" s="12" t="n">
        <x:v>2</x:v>
      </x:c>
      <x:c r="I1742" s="13" t="n">
        <x:v>5</x:v>
      </x:c>
      <x:c r="J1742" t="str">
        <x:v>BD</x:v>
      </x:c>
      <x:c r="K1742" s="14" t="n">
        <x:v>55</x:v>
      </x:c>
      <x:c r="L1742" s="14"/>
      <x:c r="M1742" s="14"/>
      <x:c r="N1742" s="14"/>
      <x:c r="O1742" s="14"/>
      <x:c r="P1742" s="14" t="n">
        <x:v>5</x:v>
      </x:c>
      <x:c r="Q1742" s="14" t="n">
        <x:v>60</x:v>
      </x:c>
      <x:c r="R1742" s="15" t="n">
        <x:v>364727</x:v>
      </x:c>
      <x:c r="S1742" s="15" t="n">
        <x:v>364727</x:v>
      </x:c>
      <x:c r="T1742" s="15"/>
      <x:c r="U1742" s="16" t="n">
        <x:v>6631.4</x:v>
      </x:c>
      <x:c r="V1742" t="str">
        <x:v>CRESCO Real Estate</x:v>
      </x:c>
      <x:c r="W1742" t="str">
        <x:v>Nové Mesto</x:v>
      </x:c>
      <x:c r="X1742" s="11" t="str">
        <x:v>Voľný</x:v>
      </x:c>
      <x:c r="Y1742" s="11" t="str">
        <x:v>https://www.tisiny.sk/ponuka-byvania/byt-bd-05-5b/</x:v>
      </x:c>
      <x:c r="Z1742" s="11" t="n">
        <x:v>46252.68496519676</x:v>
      </x:c>
      <x:c r="AA1742" s="11" t="n">
        <x:v>46254.51251577547</x:v>
      </x:c>
      <x:c r="AB1742" s="11" t="n">
        <x:v>46254.51251577547</x:v>
      </x:c>
      <x:c r="AC1742" t="str">
        <x:v>tisiny</x:v>
      </x:c>
    </x:row>
    <x:row r="1743" ht="22" customHeight="1">
      <x:c r="A1743" t="str">
        <x:v>Tíšiny</x:v>
      </x:c>
      <x:c r="B1743" t="str">
        <x:v>BD-05-5C</x:v>
      </x:c>
      <x:c r="C1743" t="str">
        <x:v>pre_reserved</x:v>
      </x:c>
      <x:c r="D1743" t="str">
        <x:v>present</x:v>
      </x:c>
      <x:c r="E1743" t="str">
        <x:v>baseline</x:v>
      </x:c>
      <x:c r="F1743" s="11" t="n">
        <x:v>46252.68496519676</x:v>
      </x:c>
      <x:c r="G1743" t="str">
        <x:v>Byt</x:v>
      </x:c>
      <x:c r="H1743" s="12" t="n">
        <x:v>3</x:v>
      </x:c>
      <x:c r="I1743" s="13" t="n">
        <x:v>5</x:v>
      </x:c>
      <x:c r="J1743" t="str">
        <x:v>BD</x:v>
      </x:c>
      <x:c r="K1743" s="14" t="n">
        <x:v>75</x:v>
      </x:c>
      <x:c r="L1743" s="14"/>
      <x:c r="M1743" s="14"/>
      <x:c r="N1743" s="14"/>
      <x:c r="O1743" s="14"/>
      <x:c r="P1743" s="14" t="n">
        <x:v>53</x:v>
      </x:c>
      <x:c r="Q1743" s="14" t="n">
        <x:v>128</x:v>
      </x:c>
      <x:c r="R1743" s="15" t="n">
        <x:v>595074</x:v>
      </x:c>
      <x:c r="S1743" s="15" t="n">
        <x:v>595074</x:v>
      </x:c>
      <x:c r="T1743" s="15"/>
      <x:c r="U1743" s="16" t="n">
        <x:v>7934.32</x:v>
      </x:c>
      <x:c r="V1743" t="str">
        <x:v>CRESCO Real Estate</x:v>
      </x:c>
      <x:c r="W1743" t="str">
        <x:v>Nové Mesto</x:v>
      </x:c>
      <x:c r="X1743" s="11" t="str">
        <x:v>Predrezervovaný</x:v>
      </x:c>
      <x:c r="Y1743" s="11" t="str">
        <x:v>https://www.tisiny.sk/ponuka-byvania/byt-bd-05-5c/</x:v>
      </x:c>
      <x:c r="Z1743" s="11" t="n">
        <x:v>46252.68496519676</x:v>
      </x:c>
      <x:c r="AA1743" s="11" t="n">
        <x:v>46254.51251577547</x:v>
      </x:c>
      <x:c r="AB1743" s="11" t="n">
        <x:v>46254.51251577547</x:v>
      </x:c>
      <x:c r="AC1743" t="str">
        <x:v>tisiny</x:v>
      </x:c>
    </x:row>
    <x:row r="1744" ht="22" customHeight="1">
      <x:c r="A1744" t="str">
        <x:v>Tíšiny</x:v>
      </x:c>
      <x:c r="B1744" t="str">
        <x:v>BD-05-5D</x:v>
      </x:c>
      <x:c r="C1744" t="str">
        <x:v>available</x:v>
      </x:c>
      <x:c r="D1744" t="str">
        <x:v>present</x:v>
      </x:c>
      <x:c r="E1744" t="str">
        <x:v>baseline</x:v>
      </x:c>
      <x:c r="F1744" s="11" t="n">
        <x:v>46252.68496519676</x:v>
      </x:c>
      <x:c r="G1744" t="str">
        <x:v>Byt</x:v>
      </x:c>
      <x:c r="H1744" s="12" t="n">
        <x:v>4</x:v>
      </x:c>
      <x:c r="I1744" s="13" t="n">
        <x:v>5</x:v>
      </x:c>
      <x:c r="J1744" t="str">
        <x:v>BD</x:v>
      </x:c>
      <x:c r="K1744" s="14" t="n">
        <x:v>125</x:v>
      </x:c>
      <x:c r="L1744" s="14"/>
      <x:c r="M1744" s="14"/>
      <x:c r="N1744" s="14"/>
      <x:c r="O1744" s="14"/>
      <x:c r="P1744" s="14" t="n">
        <x:v>99</x:v>
      </x:c>
      <x:c r="Q1744" s="14" t="n">
        <x:v>224</x:v>
      </x:c>
      <x:c r="R1744" s="15"/>
      <x:c r="S1744" s="15"/>
      <x:c r="T1744" s="15"/>
      <x:c r="U1744" s="16"/>
      <x:c r="V1744" t="str">
        <x:v>CRESCO Real Estate</x:v>
      </x:c>
      <x:c r="W1744" t="str">
        <x:v>Nové Mesto</x:v>
      </x:c>
      <x:c r="X1744" s="11" t="str">
        <x:v>Voľný</x:v>
      </x:c>
      <x:c r="Y1744" s="11" t="str">
        <x:v>https://www.tisiny.sk/ponuka-byvania/byt-bd-05-5d/</x:v>
      </x:c>
      <x:c r="Z1744" s="11" t="n">
        <x:v>46252.68496519676</x:v>
      </x:c>
      <x:c r="AA1744" s="11" t="n">
        <x:v>46254.51251577547</x:v>
      </x:c>
      <x:c r="AB1744" s="11" t="n">
        <x:v>46254.51251577547</x:v>
      </x:c>
      <x:c r="AC1744" t="str">
        <x:v>tisiny</x:v>
      </x:c>
    </x:row>
    <x:row r="1745" ht="22" customHeight="1">
      <x:c r="A1745" t="str">
        <x:v>Tíšiny</x:v>
      </x:c>
      <x:c r="B1745" t="str">
        <x:v>BD-05-5E</x:v>
      </x:c>
      <x:c r="C1745" t="str">
        <x:v>available</x:v>
      </x:c>
      <x:c r="D1745" t="str">
        <x:v>present</x:v>
      </x:c>
      <x:c r="E1745" t="str">
        <x:v>baseline</x:v>
      </x:c>
      <x:c r="F1745" s="11" t="n">
        <x:v>46252.68496519676</x:v>
      </x:c>
      <x:c r="G1745" t="str">
        <x:v>Byt</x:v>
      </x:c>
      <x:c r="H1745" s="12" t="n">
        <x:v>2</x:v>
      </x:c>
      <x:c r="I1745" s="13" t="n">
        <x:v>5</x:v>
      </x:c>
      <x:c r="J1745" t="str">
        <x:v>BD</x:v>
      </x:c>
      <x:c r="K1745" s="14" t="n">
        <x:v>51</x:v>
      </x:c>
      <x:c r="L1745" s="14"/>
      <x:c r="M1745" s="14"/>
      <x:c r="N1745" s="14"/>
      <x:c r="O1745" s="14"/>
      <x:c r="P1745" s="14" t="n">
        <x:v>4</x:v>
      </x:c>
      <x:c r="Q1745" s="14" t="n">
        <x:v>55</x:v>
      </x:c>
      <x:c r="R1745" s="15" t="n">
        <x:v>316500</x:v>
      </x:c>
      <x:c r="S1745" s="15" t="n">
        <x:v>316500</x:v>
      </x:c>
      <x:c r="T1745" s="15"/>
      <x:c r="U1745" s="16" t="n">
        <x:v>6205.88</x:v>
      </x:c>
      <x:c r="V1745" t="str">
        <x:v>CRESCO Real Estate</x:v>
      </x:c>
      <x:c r="W1745" t="str">
        <x:v>Nové Mesto</x:v>
      </x:c>
      <x:c r="X1745" s="11" t="str">
        <x:v>Voľný</x:v>
      </x:c>
      <x:c r="Y1745" s="11" t="str">
        <x:v>https://www.tisiny.sk/ponuka-byvania/byt-bd-05-5e/</x:v>
      </x:c>
      <x:c r="Z1745" s="11" t="n">
        <x:v>46252.68496519676</x:v>
      </x:c>
      <x:c r="AA1745" s="11" t="n">
        <x:v>46254.51251577547</x:v>
      </x:c>
      <x:c r="AB1745" s="11" t="n">
        <x:v>46254.51251577547</x:v>
      </x:c>
      <x:c r="AC1745" t="str">
        <x:v>tisiny</x:v>
      </x:c>
    </x:row>
    <x:row r="1746" ht="22" customHeight="1">
      <x:c r="A1746" t="str">
        <x:v>Tíšiny</x:v>
      </x:c>
      <x:c r="B1746" t="str">
        <x:v>BD-05-5F</x:v>
      </x:c>
      <x:c r="C1746" t="str">
        <x:v>available</x:v>
      </x:c>
      <x:c r="D1746" t="str">
        <x:v>present</x:v>
      </x:c>
      <x:c r="E1746" t="str">
        <x:v>baseline</x:v>
      </x:c>
      <x:c r="F1746" s="11" t="n">
        <x:v>46252.68496519676</x:v>
      </x:c>
      <x:c r="G1746" t="str">
        <x:v>Byt</x:v>
      </x:c>
      <x:c r="H1746" s="12" t="n">
        <x:v>2</x:v>
      </x:c>
      <x:c r="I1746" s="13" t="n">
        <x:v>5</x:v>
      </x:c>
      <x:c r="J1746" t="str">
        <x:v>BD</x:v>
      </x:c>
      <x:c r="K1746" s="14" t="n">
        <x:v>51</x:v>
      </x:c>
      <x:c r="L1746" s="14"/>
      <x:c r="M1746" s="14"/>
      <x:c r="N1746" s="14"/>
      <x:c r="O1746" s="14"/>
      <x:c r="P1746" s="14" t="n">
        <x:v>8</x:v>
      </x:c>
      <x:c r="Q1746" s="14" t="n">
        <x:v>59</x:v>
      </x:c>
      <x:c r="R1746" s="15" t="n">
        <x:v>327589</x:v>
      </x:c>
      <x:c r="S1746" s="15" t="n">
        <x:v>327589</x:v>
      </x:c>
      <x:c r="T1746" s="15"/>
      <x:c r="U1746" s="16" t="n">
        <x:v>6423.31</x:v>
      </x:c>
      <x:c r="V1746" t="str">
        <x:v>CRESCO Real Estate</x:v>
      </x:c>
      <x:c r="W1746" t="str">
        <x:v>Nové Mesto</x:v>
      </x:c>
      <x:c r="X1746" s="11" t="str">
        <x:v>Voľný</x:v>
      </x:c>
      <x:c r="Y1746" s="11" t="str">
        <x:v>https://www.tisiny.sk/ponuka-byvania/byt-bd-05-5f/</x:v>
      </x:c>
      <x:c r="Z1746" s="11" t="n">
        <x:v>46252.68496519676</x:v>
      </x:c>
      <x:c r="AA1746" s="11" t="n">
        <x:v>46254.51251577547</x:v>
      </x:c>
      <x:c r="AB1746" s="11" t="n">
        <x:v>46254.51251577547</x:v>
      </x:c>
      <x:c r="AC1746" t="str">
        <x:v>tisiny</x:v>
      </x:c>
    </x:row>
    <x:row r="1747" ht="22" customHeight="1">
      <x:c r="A1747" t="str">
        <x:v>Tíšiny</x:v>
      </x:c>
      <x:c r="B1747" t="str">
        <x:v>BD-06-6A</x:v>
      </x:c>
      <x:c r="C1747" t="str">
        <x:v>available</x:v>
      </x:c>
      <x:c r="D1747" t="str">
        <x:v>present</x:v>
      </x:c>
      <x:c r="E1747" t="str">
        <x:v>baseline</x:v>
      </x:c>
      <x:c r="F1747" s="11" t="n">
        <x:v>46252.68496519676</x:v>
      </x:c>
      <x:c r="G1747" t="str">
        <x:v>Byt</x:v>
      </x:c>
      <x:c r="H1747" s="12" t="n">
        <x:v>2</x:v>
      </x:c>
      <x:c r="I1747" s="13" t="n">
        <x:v>6</x:v>
      </x:c>
      <x:c r="J1747" t="str">
        <x:v>BD</x:v>
      </x:c>
      <x:c r="K1747" s="14" t="n">
        <x:v>50</x:v>
      </x:c>
      <x:c r="L1747" s="14"/>
      <x:c r="M1747" s="14"/>
      <x:c r="N1747" s="14"/>
      <x:c r="O1747" s="14"/>
      <x:c r="P1747" s="14" t="n">
        <x:v>11</x:v>
      </x:c>
      <x:c r="Q1747" s="14" t="n">
        <x:v>61</x:v>
      </x:c>
      <x:c r="R1747" s="15" t="n">
        <x:v>333953</x:v>
      </x:c>
      <x:c r="S1747" s="15" t="n">
        <x:v>333953</x:v>
      </x:c>
      <x:c r="T1747" s="15"/>
      <x:c r="U1747" s="16" t="n">
        <x:v>6679.06</x:v>
      </x:c>
      <x:c r="V1747" t="str">
        <x:v>CRESCO Real Estate</x:v>
      </x:c>
      <x:c r="W1747" t="str">
        <x:v>Nové Mesto</x:v>
      </x:c>
      <x:c r="X1747" s="11" t="str">
        <x:v>Voľný</x:v>
      </x:c>
      <x:c r="Y1747" s="11" t="str">
        <x:v>https://www.tisiny.sk/ponuka-byvania/byt-bd-06-6a/</x:v>
      </x:c>
      <x:c r="Z1747" s="11" t="n">
        <x:v>46252.68496519676</x:v>
      </x:c>
      <x:c r="AA1747" s="11" t="n">
        <x:v>46254.51251577547</x:v>
      </x:c>
      <x:c r="AB1747" s="11" t="n">
        <x:v>46254.51251577547</x:v>
      </x:c>
      <x:c r="AC1747" t="str">
        <x:v>tisiny</x:v>
      </x:c>
    </x:row>
    <x:row r="1748" ht="22" customHeight="1">
      <x:c r="A1748" t="str">
        <x:v>Tíšiny</x:v>
      </x:c>
      <x:c r="B1748" t="str">
        <x:v>BD-06-6B</x:v>
      </x:c>
      <x:c r="C1748" t="str">
        <x:v>available</x:v>
      </x:c>
      <x:c r="D1748" t="str">
        <x:v>present</x:v>
      </x:c>
      <x:c r="E1748" t="str">
        <x:v>baseline</x:v>
      </x:c>
      <x:c r="F1748" s="11" t="n">
        <x:v>46252.68496519676</x:v>
      </x:c>
      <x:c r="G1748" t="str">
        <x:v>Byt</x:v>
      </x:c>
      <x:c r="H1748" s="12" t="n">
        <x:v>2</x:v>
      </x:c>
      <x:c r="I1748" s="13" t="n">
        <x:v>6</x:v>
      </x:c>
      <x:c r="J1748" t="str">
        <x:v>BD</x:v>
      </x:c>
      <x:c r="K1748" s="14" t="n">
        <x:v>55</x:v>
      </x:c>
      <x:c r="L1748" s="14"/>
      <x:c r="M1748" s="14"/>
      <x:c r="N1748" s="14"/>
      <x:c r="O1748" s="14"/>
      <x:c r="P1748" s="14" t="n">
        <x:v>5</x:v>
      </x:c>
      <x:c r="Q1748" s="14" t="n">
        <x:v>60</x:v>
      </x:c>
      <x:c r="R1748" s="15" t="n">
        <x:v>371045</x:v>
      </x:c>
      <x:c r="S1748" s="15" t="n">
        <x:v>371045</x:v>
      </x:c>
      <x:c r="T1748" s="15"/>
      <x:c r="U1748" s="16" t="n">
        <x:v>6746.27</x:v>
      </x:c>
      <x:c r="V1748" t="str">
        <x:v>CRESCO Real Estate</x:v>
      </x:c>
      <x:c r="W1748" t="str">
        <x:v>Nové Mesto</x:v>
      </x:c>
      <x:c r="X1748" s="11" t="str">
        <x:v>Voľný</x:v>
      </x:c>
      <x:c r="Y1748" s="11" t="str">
        <x:v>https://www.tisiny.sk/ponuka-byvania/byt-bd-06-6b/</x:v>
      </x:c>
      <x:c r="Z1748" s="11" t="n">
        <x:v>46252.68496519676</x:v>
      </x:c>
      <x:c r="AA1748" s="11" t="n">
        <x:v>46254.51251577547</x:v>
      </x:c>
      <x:c r="AB1748" s="11" t="n">
        <x:v>46254.51251577547</x:v>
      </x:c>
      <x:c r="AC1748" t="str">
        <x:v>tisiny</x:v>
      </x:c>
    </x:row>
    <x:row r="1749" ht="22" customHeight="1">
      <x:c r="A1749" t="str">
        <x:v>Tíšiny</x:v>
      </x:c>
      <x:c r="B1749" t="str">
        <x:v>BD-06-6C</x:v>
      </x:c>
      <x:c r="C1749" t="str">
        <x:v>pre_reserved</x:v>
      </x:c>
      <x:c r="D1749" t="str">
        <x:v>present</x:v>
      </x:c>
      <x:c r="E1749" t="str">
        <x:v>baseline</x:v>
      </x:c>
      <x:c r="F1749" s="11" t="n">
        <x:v>46252.68496519676</x:v>
      </x:c>
      <x:c r="G1749" t="str">
        <x:v>Byt</x:v>
      </x:c>
      <x:c r="H1749" s="12" t="n">
        <x:v>1</x:v>
      </x:c>
      <x:c r="I1749" s="13" t="n">
        <x:v>6</x:v>
      </x:c>
      <x:c r="J1749" t="str">
        <x:v>BD</x:v>
      </x:c>
      <x:c r="K1749" s="14" t="n">
        <x:v>24</x:v>
      </x:c>
      <x:c r="L1749" s="14"/>
      <x:c r="M1749" s="14"/>
      <x:c r="N1749" s="14"/>
      <x:c r="O1749" s="14"/>
      <x:c r="P1749" s="14" t="n">
        <x:v>6</x:v>
      </x:c>
      <x:c r="Q1749" s="14" t="n">
        <x:v>30</x:v>
      </x:c>
      <x:c r="R1749" s="15" t="n">
        <x:v>213330</x:v>
      </x:c>
      <x:c r="S1749" s="15" t="n">
        <x:v>213330</x:v>
      </x:c>
      <x:c r="T1749" s="15"/>
      <x:c r="U1749" s="16" t="n">
        <x:v>8888.75</x:v>
      </x:c>
      <x:c r="V1749" t="str">
        <x:v>CRESCO Real Estate</x:v>
      </x:c>
      <x:c r="W1749" t="str">
        <x:v>Nové Mesto</x:v>
      </x:c>
      <x:c r="X1749" s="11" t="str">
        <x:v>Predrezervovaný</x:v>
      </x:c>
      <x:c r="Y1749" s="11" t="str">
        <x:v>https://www.tisiny.sk/ponuka-byvania/byt-bd-06-6c/</x:v>
      </x:c>
      <x:c r="Z1749" s="11" t="n">
        <x:v>46252.68496519676</x:v>
      </x:c>
      <x:c r="AA1749" s="11" t="n">
        <x:v>46254.51251577547</x:v>
      </x:c>
      <x:c r="AB1749" s="11" t="n">
        <x:v>46254.51251577547</x:v>
      </x:c>
      <x:c r="AC1749" t="str">
        <x:v>tisiny</x:v>
      </x:c>
    </x:row>
    <x:row r="1750" ht="22" customHeight="1">
      <x:c r="A1750" t="str">
        <x:v>Tíšiny</x:v>
      </x:c>
      <x:c r="B1750" t="str">
        <x:v>BD-06-6D</x:v>
      </x:c>
      <x:c r="C1750" t="str">
        <x:v>pre_reserved</x:v>
      </x:c>
      <x:c r="D1750" t="str">
        <x:v>present</x:v>
      </x:c>
      <x:c r="E1750" t="str">
        <x:v>baseline</x:v>
      </x:c>
      <x:c r="F1750" s="11" t="n">
        <x:v>46252.68496519676</x:v>
      </x:c>
      <x:c r="G1750" t="str">
        <x:v>Byt</x:v>
      </x:c>
      <x:c r="H1750" s="12" t="n">
        <x:v>4</x:v>
      </x:c>
      <x:c r="I1750" s="13" t="n">
        <x:v>6</x:v>
      </x:c>
      <x:c r="J1750" t="str">
        <x:v>BD</x:v>
      </x:c>
      <x:c r="K1750" s="14" t="n">
        <x:v>115</x:v>
      </x:c>
      <x:c r="L1750" s="14"/>
      <x:c r="M1750" s="14"/>
      <x:c r="N1750" s="14"/>
      <x:c r="O1750" s="14"/>
      <x:c r="P1750" s="14" t="n">
        <x:v>57</x:v>
      </x:c>
      <x:c r="Q1750" s="14" t="n">
        <x:v>172</x:v>
      </x:c>
      <x:c r="R1750" s="15" t="n">
        <x:v>772935</x:v>
      </x:c>
      <x:c r="S1750" s="15" t="n">
        <x:v>772935</x:v>
      </x:c>
      <x:c r="T1750" s="15"/>
      <x:c r="U1750" s="16" t="n">
        <x:v>6721.17</x:v>
      </x:c>
      <x:c r="V1750" t="str">
        <x:v>CRESCO Real Estate</x:v>
      </x:c>
      <x:c r="W1750" t="str">
        <x:v>Nové Mesto</x:v>
      </x:c>
      <x:c r="X1750" s="11" t="str">
        <x:v>Predrezervovaný</x:v>
      </x:c>
      <x:c r="Y1750" s="11" t="str">
        <x:v>https://www.tisiny.sk/ponuka-byvania/byt-bd-06-6d/</x:v>
      </x:c>
      <x:c r="Z1750" s="11" t="n">
        <x:v>46252.68496519676</x:v>
      </x:c>
      <x:c r="AA1750" s="11" t="n">
        <x:v>46254.51251577547</x:v>
      </x:c>
      <x:c r="AB1750" s="11" t="n">
        <x:v>46254.51251577547</x:v>
      </x:c>
      <x:c r="AC1750" t="str">
        <x:v>tisiny</x:v>
      </x:c>
    </x:row>
    <x:row r="1751" ht="22" customHeight="1">
      <x:c r="A1751" t="str">
        <x:v>Tíšiny</x:v>
      </x:c>
      <x:c r="B1751" t="str">
        <x:v>BD-07-7A</x:v>
      </x:c>
      <x:c r="C1751" t="str">
        <x:v>available</x:v>
      </x:c>
      <x:c r="D1751" t="str">
        <x:v>present</x:v>
      </x:c>
      <x:c r="E1751" t="str">
        <x:v>baseline</x:v>
      </x:c>
      <x:c r="F1751" s="11" t="n">
        <x:v>46252.68496519676</x:v>
      </x:c>
      <x:c r="G1751" t="str">
        <x:v>Byt</x:v>
      </x:c>
      <x:c r="H1751" s="12" t="n">
        <x:v>2</x:v>
      </x:c>
      <x:c r="I1751" s="13" t="n">
        <x:v>7</x:v>
      </x:c>
      <x:c r="J1751" t="str">
        <x:v>BD</x:v>
      </x:c>
      <x:c r="K1751" s="14" t="n">
        <x:v>50</x:v>
      </x:c>
      <x:c r="L1751" s="14"/>
      <x:c r="M1751" s="14"/>
      <x:c r="N1751" s="14"/>
      <x:c r="O1751" s="14"/>
      <x:c r="P1751" s="14" t="n">
        <x:v>9</x:v>
      </x:c>
      <x:c r="Q1751" s="14" t="n">
        <x:v>59</x:v>
      </x:c>
      <x:c r="R1751" s="15" t="n">
        <x:v>337564</x:v>
      </x:c>
      <x:c r="S1751" s="15" t="n">
        <x:v>337564</x:v>
      </x:c>
      <x:c r="T1751" s="15"/>
      <x:c r="U1751" s="16" t="n">
        <x:v>6751.28</x:v>
      </x:c>
      <x:c r="V1751" t="str">
        <x:v>CRESCO Real Estate</x:v>
      </x:c>
      <x:c r="W1751" t="str">
        <x:v>Nové Mesto</x:v>
      </x:c>
      <x:c r="X1751" s="11" t="str">
        <x:v>Voľný</x:v>
      </x:c>
      <x:c r="Y1751" s="11" t="str">
        <x:v>https://www.tisiny.sk/ponuka-byvania/byt-bd-07-7a/</x:v>
      </x:c>
      <x:c r="Z1751" s="11" t="n">
        <x:v>46252.68496519676</x:v>
      </x:c>
      <x:c r="AA1751" s="11" t="n">
        <x:v>46254.51251577547</x:v>
      </x:c>
      <x:c r="AB1751" s="11" t="n">
        <x:v>46254.51251577547</x:v>
      </x:c>
      <x:c r="AC1751" t="str">
        <x:v>tisiny</x:v>
      </x:c>
    </x:row>
    <x:row r="1752" ht="22" customHeight="1">
      <x:c r="A1752" t="str">
        <x:v>Tíšiny</x:v>
      </x:c>
      <x:c r="B1752" t="str">
        <x:v>BD-07-7B</x:v>
      </x:c>
      <x:c r="C1752" t="str">
        <x:v>available</x:v>
      </x:c>
      <x:c r="D1752" t="str">
        <x:v>present</x:v>
      </x:c>
      <x:c r="E1752" t="str">
        <x:v>baseline</x:v>
      </x:c>
      <x:c r="F1752" s="11" t="n">
        <x:v>46252.68496519676</x:v>
      </x:c>
      <x:c r="G1752" t="str">
        <x:v>Byt</x:v>
      </x:c>
      <x:c r="H1752" s="12" t="n">
        <x:v>3</x:v>
      </x:c>
      <x:c r="I1752" s="13" t="n">
        <x:v>7</x:v>
      </x:c>
      <x:c r="J1752" t="str">
        <x:v>BD</x:v>
      </x:c>
      <x:c r="K1752" s="14" t="n">
        <x:v>80</x:v>
      </x:c>
      <x:c r="L1752" s="14"/>
      <x:c r="M1752" s="14"/>
      <x:c r="N1752" s="14"/>
      <x:c r="O1752" s="14"/>
      <x:c r="P1752" s="14" t="n">
        <x:v>10</x:v>
      </x:c>
      <x:c r="Q1752" s="14" t="n">
        <x:v>90</x:v>
      </x:c>
      <x:c r="R1752" s="15" t="n">
        <x:v>563186</x:v>
      </x:c>
      <x:c r="S1752" s="15" t="n">
        <x:v>563186</x:v>
      </x:c>
      <x:c r="T1752" s="15"/>
      <x:c r="U1752" s="16" t="n">
        <x:v>7039.82</x:v>
      </x:c>
      <x:c r="V1752" t="str">
        <x:v>CRESCO Real Estate</x:v>
      </x:c>
      <x:c r="W1752" t="str">
        <x:v>Nové Mesto</x:v>
      </x:c>
      <x:c r="X1752" s="11" t="str">
        <x:v>Voľný</x:v>
      </x:c>
      <x:c r="Y1752" s="11" t="str">
        <x:v>https://www.tisiny.sk/ponuka-byvania/byt-bd-07-7b/</x:v>
      </x:c>
      <x:c r="Z1752" s="11" t="n">
        <x:v>46252.68496519676</x:v>
      </x:c>
      <x:c r="AA1752" s="11" t="n">
        <x:v>46254.51251577547</x:v>
      </x:c>
      <x:c r="AB1752" s="11" t="n">
        <x:v>46254.51251577547</x:v>
      </x:c>
      <x:c r="AC1752" t="str">
        <x:v>tisiny</x:v>
      </x:c>
    </x:row>
    <x:row r="1753" ht="22" customHeight="1">
      <x:c r="A1753" t="str">
        <x:v>Tíšiny</x:v>
      </x:c>
      <x:c r="B1753" t="str">
        <x:v>BD-07-7C</x:v>
      </x:c>
      <x:c r="C1753" t="str">
        <x:v>available</x:v>
      </x:c>
      <x:c r="D1753" t="str">
        <x:v>present</x:v>
      </x:c>
      <x:c r="E1753" t="str">
        <x:v>baseline</x:v>
      </x:c>
      <x:c r="F1753" s="11" t="n">
        <x:v>46252.68496519676</x:v>
      </x:c>
      <x:c r="G1753" t="str">
        <x:v>Byt</x:v>
      </x:c>
      <x:c r="H1753" s="12" t="n">
        <x:v>4</x:v>
      </x:c>
      <x:c r="I1753" s="13" t="n">
        <x:v>7</x:v>
      </x:c>
      <x:c r="J1753" t="str">
        <x:v>BD</x:v>
      </x:c>
      <x:c r="K1753" s="14" t="n">
        <x:v>116</x:v>
      </x:c>
      <x:c r="L1753" s="14"/>
      <x:c r="M1753" s="14"/>
      <x:c r="N1753" s="14"/>
      <x:c r="O1753" s="14"/>
      <x:c r="P1753" s="14" t="n">
        <x:v>9</x:v>
      </x:c>
      <x:c r="Q1753" s="14" t="n">
        <x:v>125</x:v>
      </x:c>
      <x:c r="R1753" s="15" t="n">
        <x:v>732987</x:v>
      </x:c>
      <x:c r="S1753" s="15" t="n">
        <x:v>732987</x:v>
      </x:c>
      <x:c r="T1753" s="15"/>
      <x:c r="U1753" s="16" t="n">
        <x:v>6318.85</x:v>
      </x:c>
      <x:c r="V1753" t="str">
        <x:v>CRESCO Real Estate</x:v>
      </x:c>
      <x:c r="W1753" t="str">
        <x:v>Nové Mesto</x:v>
      </x:c>
      <x:c r="X1753" s="11" t="str">
        <x:v>Voľný</x:v>
      </x:c>
      <x:c r="Y1753" s="11" t="str">
        <x:v>https://www.tisiny.sk/ponuka-byvania/byt-bd-07-7c/</x:v>
      </x:c>
      <x:c r="Z1753" s="11" t="n">
        <x:v>46252.68496519676</x:v>
      </x:c>
      <x:c r="AA1753" s="11" t="n">
        <x:v>46254.51251577547</x:v>
      </x:c>
      <x:c r="AB1753" s="11" t="n">
        <x:v>46254.51251577547</x:v>
      </x:c>
      <x:c r="AC1753" t="str">
        <x:v>tisiny</x:v>
      </x:c>
    </x:row>
  </x:sheetData>
  <x:mergeCells>
    <x:mergeCell ref="A1:AC1"/>
    <x:mergeCell ref="A2:AC2"/>
  </x:mergeCells>
  <x:conditionalFormatting sqref="C5:C1753">
    <x:cfRule type="containsText" dxfId="0" priority="1" operator="containsText" text="available"/>
    <x:cfRule type="containsText" dxfId="1" priority="2" operator="containsText" text="reserved"/>
    <x:cfRule type="containsText" dxfId="2" priority="3" operator="containsText" text="sold"/>
    <x:cfRule type="containsText" dxfId="3" priority="4" operator="containsText" text="coming_soon"/>
  </x:conditionalFormatting>
  <x:conditionalFormatting sqref="E5:E1753">
    <x:cfRule type="containsText" dxfId="4" priority="5" operator="containsText" text="new_unit"/>
    <x:cfRule type="containsText" dxfId="5" priority="6" operator="containsText" text="returned"/>
    <x:cfRule type="containsText" dxfId="6" priority="7" operator="containsText" text="new_phase"/>
  </x:conditionalFormatting>
  <x:pageMargins left="0.7" right="0.7" top="0.75" bottom="0.75" header="0.3" footer="0.3"/>
  <x:tableParts count="1">
    <x:tablePart xmlns:r="http://schemas.openxmlformats.org/officeDocument/2006/relationships" r:id="Rec426c006c3f41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42" hidden="0" customWidth="1"/>
    <x:col min="12" max="12" width="32" hidden="0" customWidth="1"/>
  </x:cols>
  <x:sheetData>
    <x:row r="1" ht="38" customHeight="1">
      <x:c r="A1" s="3" t="str">
        <x:v>Zmeny cien a dostupnosti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Zdroj: data/developers/events.csv • 93 zaznamenaných udalostí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36" t="str">
        <x:v>Zistené</x:v>
      </x:c>
      <x:c r="B4" s="136" t="str">
        <x:v>Projekt</x:v>
      </x:c>
      <x:c r="C4" s="136" t="str">
        <x:v>Označenie bytu</x:v>
      </x:c>
      <x:c r="D4" s="136" t="str">
        <x:v>Typ zmeny</x:v>
      </x:c>
      <x:c r="E4" s="136" t="str">
        <x:v>Pôvodný stav</x:v>
      </x:c>
      <x:c r="F4" s="136" t="str">
        <x:v>Nový stav</x:v>
      </x:c>
      <x:c r="G4" s="136" t="str">
        <x:v>Pôvodná cena</x:v>
      </x:c>
      <x:c r="H4" s="136" t="str">
        <x:v>Nová cena</x:v>
      </x:c>
      <x:c r="I4" s="136" t="str">
        <x:v>Zmena ceny</x:v>
      </x:c>
      <x:c r="J4" s="136" t="str">
        <x:v>Istota</x:v>
      </x:c>
      <x:c r="K4" s="136" t="str">
        <x:v>Zdroj</x:v>
      </x:c>
      <x:c r="L4" s="136" t="str">
        <x:v>ID udalosti</x:v>
      </x:c>
    </x:row>
    <x:row r="5">
      <x:c r="A5" s="11" t="n">
        <x:v>46251.740894027775</x:v>
      </x:c>
      <x:c r="B5" t="str">
        <x:v>Galvania Rezidencie</x:v>
      </x:c>
      <x:c r="C5" t="str">
        <x:v>A4.07</x:v>
      </x:c>
      <x:c r="D5" t="str">
        <x:v>became_reserved</x:v>
      </x:c>
      <x:c r="E5" t="str">
        <x:v>reserved</x:v>
      </x:c>
      <x:c r="F5" t="str">
        <x:v>pre_reserved</x:v>
      </x:c>
      <x:c r="G5" s="15"/>
      <x:c r="H5" s="15"/>
      <x:c r="I5" s="15"/>
      <x:c r="J5" t="str">
        <x:v>confirmed</x:v>
      </x:c>
      <x:c r="K5" t="str">
        <x:v>https://www.galvania.sk/byty/mam-zaujem-o-byt-A4.07/</x:v>
      </x:c>
      <x:c r="L5" t="str">
        <x:v>20260817174653244_galvania_rezidencie_A4.07_became_reserved</x:v>
      </x:c>
    </x:row>
    <x:row r="6">
      <x:c r="A6" s="11" t="n">
        <x:v>46251.740894027775</x:v>
      </x:c>
      <x:c r="B6" t="str">
        <x:v>Galvania Rezidencie</x:v>
      </x:c>
      <x:c r="C6" t="str">
        <x:v>A4.11</x:v>
      </x:c>
      <x:c r="D6" t="str">
        <x:v>became_reserved</x:v>
      </x:c>
      <x:c r="E6" t="str">
        <x:v>available</x:v>
      </x:c>
      <x:c r="F6" t="str">
        <x:v>pre_reserved</x:v>
      </x:c>
      <x:c r="G6" s="15"/>
      <x:c r="H6" s="15"/>
      <x:c r="I6" s="15"/>
      <x:c r="J6" t="str">
        <x:v>confirmed</x:v>
      </x:c>
      <x:c r="K6" t="str">
        <x:v>https://www.galvania.sk/byty/mam-zaujem-o-byt-A4.11/</x:v>
      </x:c>
      <x:c r="L6" t="str">
        <x:v>20260817174653244_galvania_rezidencie_A4.11_became_reserved</x:v>
      </x:c>
    </x:row>
    <x:row r="7">
      <x:c r="A7" s="11" t="n">
        <x:v>46251.740894027775</x:v>
      </x:c>
      <x:c r="B7" t="str">
        <x:v>Kvarter</x:v>
      </x:c>
      <x:c r="C7" t="str">
        <x:v>B.2.1</x:v>
      </x:c>
      <x:c r="D7" t="str">
        <x:v>became_reserved</x:v>
      </x:c>
      <x:c r="E7" t="str">
        <x:v>available</x:v>
      </x:c>
      <x:c r="F7" t="str">
        <x:v>pre_reserved</x:v>
      </x:c>
      <x:c r="G7" s="15"/>
      <x:c r="H7" s="15"/>
      <x:c r="I7" s="15"/>
      <x:c r="J7" t="str">
        <x:v>confirmed</x:v>
      </x:c>
      <x:c r="K7" t="str">
        <x:v>https://kvarter-living.sk/byt/B.2.1</x:v>
      </x:c>
      <x:c r="L7" t="str">
        <x:v>20260817174653244_kvarter_B.2.1_became_reserved</x:v>
      </x:c>
    </x:row>
    <x:row r="8">
      <x:c r="A8" s="11" t="n">
        <x:v>46251.740894027775</x:v>
      </x:c>
      <x:c r="B8" t="str">
        <x:v>Kvarter</x:v>
      </x:c>
      <x:c r="C8" t="str">
        <x:v>B.2.1</x:v>
      </x:c>
      <x:c r="D8" t="str">
        <x:v>price_decreased</x:v>
      </x:c>
      <x:c r="E8" t="str">
        <x:v>available</x:v>
      </x:c>
      <x:c r="F8" t="str">
        <x:v>pre_reserved</x:v>
      </x:c>
      <x:c r="G8" s="15" t="n">
        <x:v>201600</x:v>
      </x:c>
      <x:c r="H8" s="15" t="n">
        <x:v>192000</x:v>
      </x:c>
      <x:c r="I8" s="15" t="n">
        <x:v>-9600</x:v>
      </x:c>
      <x:c r="J8" t="str">
        <x:v>confirmed</x:v>
      </x:c>
      <x:c r="K8" t="str">
        <x:v>https://kvarter-living.sk/byt/B.2.1</x:v>
      </x:c>
      <x:c r="L8" t="str">
        <x:v>20260817174653244_kvarter_B.2.1_price_decreased</x:v>
      </x:c>
    </x:row>
    <x:row r="9">
      <x:c r="A9" s="11" t="n">
        <x:v>46252.67597497685</x:v>
      </x:c>
      <x:c r="B9" t="str">
        <x:v>ALVY</x:v>
      </x:c>
      <x:c r="C9" t="str">
        <x:v>4.b.08</x:v>
      </x:c>
      <x:c r="D9" t="str">
        <x:v>became_reserved</x:v>
      </x:c>
      <x:c r="E9" t="str">
        <x:v>pre_reserved</x:v>
      </x:c>
      <x:c r="F9" t="str">
        <x:v>reserved</x:v>
      </x:c>
      <x:c r="G9" s="15"/>
      <x:c r="H9" s="15"/>
      <x:c r="I9" s="15"/>
      <x:c r="J9" t="str">
        <x:v>confirmed</x:v>
      </x:c>
      <x:c r="K9" t="str">
        <x:v>https://www.alvy.sk/byt/4-b-08</x:v>
      </x:c>
      <x:c r="L9" t="str">
        <x:v>20260818161324238_alvy_4.b.08_became_reserved</x:v>
      </x:c>
    </x:row>
    <x:row r="10">
      <x:c r="A10" s="11" t="n">
        <x:v>46252.67597497685</x:v>
      </x:c>
      <x:c r="B10" t="str">
        <x:v>ALVY</x:v>
      </x:c>
      <x:c r="C10" t="str">
        <x:v>4.b.08</x:v>
      </x:c>
      <x:c r="D10" t="str">
        <x:v>price_removed</x:v>
      </x:c>
      <x:c r="E10" t="str">
        <x:v>pre_reserved</x:v>
      </x:c>
      <x:c r="F10" t="str">
        <x:v>reserved</x:v>
      </x:c>
      <x:c r="G10" s="15" t="n">
        <x:v>348090</x:v>
      </x:c>
      <x:c r="H10" s="15"/>
      <x:c r="I10" s="15"/>
      <x:c r="J10" t="str">
        <x:v>confirmed</x:v>
      </x:c>
      <x:c r="K10" t="str">
        <x:v>https://www.alvy.sk/byt/4-b-08</x:v>
      </x:c>
      <x:c r="L10" t="str">
        <x:v>20260818161324238_alvy_4.b.08_price_removed</x:v>
      </x:c>
    </x:row>
    <x:row r="11">
      <x:c r="A11" s="11" t="n">
        <x:v>46253.71734884259</x:v>
      </x:c>
      <x:c r="B11" t="str">
        <x:v>Galvania Rezidencie</x:v>
      </x:c>
      <x:c r="C11" t="str">
        <x:v>A2.15</x:v>
      </x:c>
      <x:c r="D11" t="str">
        <x:v>sold</x:v>
      </x:c>
      <x:c r="E11" t="str">
        <x:v>reserved</x:v>
      </x:c>
      <x:c r="F11" t="str">
        <x:v>sold</x:v>
      </x:c>
      <x:c r="G11" s="15"/>
      <x:c r="H11" s="15"/>
      <x:c r="I11" s="15"/>
      <x:c r="J11" t="str">
        <x:v>confirmed</x:v>
      </x:c>
      <x:c r="K11" t="str">
        <x:v>https://www.galvania.sk/byty/</x:v>
      </x:c>
      <x:c r="L11" t="str">
        <x:v>20260819171258940_galvania_rezidencie_A2.15_sold</x:v>
      </x:c>
    </x:row>
    <x:row r="12">
      <x:c r="A12" s="11" t="n">
        <x:v>46253.71734884259</x:v>
      </x:c>
      <x:c r="B12" t="str">
        <x:v>Kvarter</x:v>
      </x:c>
      <x:c r="C12" t="str">
        <x:v>A.1.1</x:v>
      </x:c>
      <x:c r="D12" t="str">
        <x:v>price_removed</x:v>
      </x:c>
      <x:c r="E12" t="str">
        <x:v>sold</x:v>
      </x:c>
      <x:c r="F12" t="str">
        <x:v>sold</x:v>
      </x:c>
      <x:c r="G12" s="15" t="n">
        <x:v>203700</x:v>
      </x:c>
      <x:c r="H12" s="15"/>
      <x:c r="I12" s="15"/>
      <x:c r="J12" t="str">
        <x:v>confirmed</x:v>
      </x:c>
      <x:c r="K12" t="str">
        <x:v>https://kvarter-living.sk/byt/A.1.1</x:v>
      </x:c>
      <x:c r="L12" t="str">
        <x:v>20260819171258940_kvarter_A.1.1_price_removed</x:v>
      </x:c>
    </x:row>
    <x:row r="13">
      <x:c r="A13" s="11" t="n">
        <x:v>46253.71734884259</x:v>
      </x:c>
      <x:c r="B13" t="str">
        <x:v>Kvarter</x:v>
      </x:c>
      <x:c r="C13" t="str">
        <x:v>A.1.2</x:v>
      </x:c>
      <x:c r="D13" t="str">
        <x:v>price_removed</x:v>
      </x:c>
      <x:c r="E13" t="str">
        <x:v>sold</x:v>
      </x:c>
      <x:c r="F13" t="str">
        <x:v>sold</x:v>
      </x:c>
      <x:c r="G13" s="15" t="n">
        <x:v>163300</x:v>
      </x:c>
      <x:c r="H13" s="15"/>
      <x:c r="I13" s="15"/>
      <x:c r="J13" t="str">
        <x:v>confirmed</x:v>
      </x:c>
      <x:c r="K13" t="str">
        <x:v>https://kvarter-living.sk/byt/A.1.2</x:v>
      </x:c>
      <x:c r="L13" t="str">
        <x:v>20260819171258940_kvarter_A.1.2_price_removed</x:v>
      </x:c>
    </x:row>
    <x:row r="14">
      <x:c r="A14" s="11" t="n">
        <x:v>46253.71734884259</x:v>
      </x:c>
      <x:c r="B14" t="str">
        <x:v>Kvarter</x:v>
      </x:c>
      <x:c r="C14" t="str">
        <x:v>A.1.3</x:v>
      </x:c>
      <x:c r="D14" t="str">
        <x:v>price_removed</x:v>
      </x:c>
      <x:c r="E14" t="str">
        <x:v>sold</x:v>
      </x:c>
      <x:c r="F14" t="str">
        <x:v>sold</x:v>
      </x:c>
      <x:c r="G14" s="15" t="n">
        <x:v>454900</x:v>
      </x:c>
      <x:c r="H14" s="15"/>
      <x:c r="I14" s="15"/>
      <x:c r="J14" t="str">
        <x:v>confirmed</x:v>
      </x:c>
      <x:c r="K14" t="str">
        <x:v>https://kvarter-living.sk/byt/A.1.3</x:v>
      </x:c>
      <x:c r="L14" t="str">
        <x:v>20260819171258940_kvarter_A.1.3_price_removed</x:v>
      </x:c>
    </x:row>
    <x:row r="15">
      <x:c r="A15" s="11" t="n">
        <x:v>46253.71734884259</x:v>
      </x:c>
      <x:c r="B15" t="str">
        <x:v>Kvarter</x:v>
      </x:c>
      <x:c r="C15" t="str">
        <x:v>A.1.4</x:v>
      </x:c>
      <x:c r="D15" t="str">
        <x:v>price_removed</x:v>
      </x:c>
      <x:c r="E15" t="str">
        <x:v>sold</x:v>
      </x:c>
      <x:c r="F15" t="str">
        <x:v>sold</x:v>
      </x:c>
      <x:c r="G15" s="15" t="n">
        <x:v>256400</x:v>
      </x:c>
      <x:c r="H15" s="15"/>
      <x:c r="I15" s="15"/>
      <x:c r="J15" t="str">
        <x:v>confirmed</x:v>
      </x:c>
      <x:c r="K15" t="str">
        <x:v>https://kvarter-living.sk/byt/A.1.4</x:v>
      </x:c>
      <x:c r="L15" t="str">
        <x:v>20260819171258940_kvarter_A.1.4_price_removed</x:v>
      </x:c>
    </x:row>
    <x:row r="16">
      <x:c r="A16" s="11" t="n">
        <x:v>46253.71734884259</x:v>
      </x:c>
      <x:c r="B16" t="str">
        <x:v>Kvarter</x:v>
      </x:c>
      <x:c r="C16" t="str">
        <x:v>A.1.5</x:v>
      </x:c>
      <x:c r="D16" t="str">
        <x:v>price_removed</x:v>
      </x:c>
      <x:c r="E16" t="str">
        <x:v>sold</x:v>
      </x:c>
      <x:c r="F16" t="str">
        <x:v>sold</x:v>
      </x:c>
      <x:c r="G16" s="15" t="n">
        <x:v>324700</x:v>
      </x:c>
      <x:c r="H16" s="15"/>
      <x:c r="I16" s="15"/>
      <x:c r="J16" t="str">
        <x:v>confirmed</x:v>
      </x:c>
      <x:c r="K16" t="str">
        <x:v>https://kvarter-living.sk/byt/A.1.5</x:v>
      </x:c>
      <x:c r="L16" t="str">
        <x:v>20260819171258940_kvarter_A.1.5_price_removed</x:v>
      </x:c>
    </x:row>
    <x:row r="17">
      <x:c r="A17" s="11" t="n">
        <x:v>46253.71734884259</x:v>
      </x:c>
      <x:c r="B17" t="str">
        <x:v>Kvarter</x:v>
      </x:c>
      <x:c r="C17" t="str">
        <x:v>A.1.6</x:v>
      </x:c>
      <x:c r="D17" t="str">
        <x:v>price_removed</x:v>
      </x:c>
      <x:c r="E17" t="str">
        <x:v>sold</x:v>
      </x:c>
      <x:c r="F17" t="str">
        <x:v>sold</x:v>
      </x:c>
      <x:c r="G17" s="15" t="n">
        <x:v>310200</x:v>
      </x:c>
      <x:c r="H17" s="15"/>
      <x:c r="I17" s="15"/>
      <x:c r="J17" t="str">
        <x:v>confirmed</x:v>
      </x:c>
      <x:c r="K17" t="str">
        <x:v>https://kvarter-living.sk/byt/A.1.6</x:v>
      </x:c>
      <x:c r="L17" t="str">
        <x:v>20260819171258940_kvarter_A.1.6_price_removed</x:v>
      </x:c>
    </x:row>
    <x:row r="18">
      <x:c r="A18" s="11" t="n">
        <x:v>46253.71734884259</x:v>
      </x:c>
      <x:c r="B18" t="str">
        <x:v>Kvarter</x:v>
      </x:c>
      <x:c r="C18" t="str">
        <x:v>A.1.7</x:v>
      </x:c>
      <x:c r="D18" t="str">
        <x:v>price_removed</x:v>
      </x:c>
      <x:c r="E18" t="str">
        <x:v>sold</x:v>
      </x:c>
      <x:c r="F18" t="str">
        <x:v>sold</x:v>
      </x:c>
      <x:c r="G18" s="15" t="n">
        <x:v>269200</x:v>
      </x:c>
      <x:c r="H18" s="15"/>
      <x:c r="I18" s="15"/>
      <x:c r="J18" t="str">
        <x:v>confirmed</x:v>
      </x:c>
      <x:c r="K18" t="str">
        <x:v>https://kvarter-living.sk/byt/A.1.7</x:v>
      </x:c>
      <x:c r="L18" t="str">
        <x:v>20260819171258940_kvarter_A.1.7_price_removed</x:v>
      </x:c>
    </x:row>
    <x:row r="19">
      <x:c r="A19" s="11" t="n">
        <x:v>46253.71734884259</x:v>
      </x:c>
      <x:c r="B19" t="str">
        <x:v>Kvarter</x:v>
      </x:c>
      <x:c r="C19" t="str">
        <x:v>A.1.8</x:v>
      </x:c>
      <x:c r="D19" t="str">
        <x:v>price_removed</x:v>
      </x:c>
      <x:c r="E19" t="str">
        <x:v>sold</x:v>
      </x:c>
      <x:c r="F19" t="str">
        <x:v>sold</x:v>
      </x:c>
      <x:c r="G19" s="15" t="n">
        <x:v>410300</x:v>
      </x:c>
      <x:c r="H19" s="15"/>
      <x:c r="I19" s="15"/>
      <x:c r="J19" t="str">
        <x:v>confirmed</x:v>
      </x:c>
      <x:c r="K19" t="str">
        <x:v>https://kvarter-living.sk/byt/A.1.8</x:v>
      </x:c>
      <x:c r="L19" t="str">
        <x:v>20260819171258940_kvarter_A.1.8_price_removed</x:v>
      </x:c>
    </x:row>
    <x:row r="20">
      <x:c r="A20" s="11" t="n">
        <x:v>46253.71734884259</x:v>
      </x:c>
      <x:c r="B20" t="str">
        <x:v>Kvarter</x:v>
      </x:c>
      <x:c r="C20" t="str">
        <x:v>A.1.9</x:v>
      </x:c>
      <x:c r="D20" t="str">
        <x:v>price_removed</x:v>
      </x:c>
      <x:c r="E20" t="str">
        <x:v>sold</x:v>
      </x:c>
      <x:c r="F20" t="str">
        <x:v>sold</x:v>
      </x:c>
      <x:c r="G20" s="15" t="n">
        <x:v>164360</x:v>
      </x:c>
      <x:c r="H20" s="15"/>
      <x:c r="I20" s="15"/>
      <x:c r="J20" t="str">
        <x:v>confirmed</x:v>
      </x:c>
      <x:c r="K20" t="str">
        <x:v>https://kvarter-living.sk/byt/A.1.9</x:v>
      </x:c>
      <x:c r="L20" t="str">
        <x:v>20260819171258940_kvarter_A.1.9_price_removed</x:v>
      </x:c>
    </x:row>
    <x:row r="21">
      <x:c r="A21" s="11" t="n">
        <x:v>46253.71734884259</x:v>
      </x:c>
      <x:c r="B21" t="str">
        <x:v>Kvarter</x:v>
      </x:c>
      <x:c r="C21" t="str">
        <x:v>A.2.1</x:v>
      </x:c>
      <x:c r="D21" t="str">
        <x:v>price_removed</x:v>
      </x:c>
      <x:c r="E21" t="str">
        <x:v>sold</x:v>
      </x:c>
      <x:c r="F21" t="str">
        <x:v>sold</x:v>
      </x:c>
      <x:c r="G21" s="15" t="n">
        <x:v>195400</x:v>
      </x:c>
      <x:c r="H21" s="15"/>
      <x:c r="I21" s="15"/>
      <x:c r="J21" t="str">
        <x:v>confirmed</x:v>
      </x:c>
      <x:c r="K21" t="str">
        <x:v>https://kvarter-living.sk/byt/A.2.1</x:v>
      </x:c>
      <x:c r="L21" t="str">
        <x:v>20260819171258940_kvarter_A.2.1_price_removed</x:v>
      </x:c>
    </x:row>
    <x:row r="22">
      <x:c r="A22" s="11" t="n">
        <x:v>46253.71734884259</x:v>
      </x:c>
      <x:c r="B22" t="str">
        <x:v>Kvarter</x:v>
      </x:c>
      <x:c r="C22" t="str">
        <x:v>A.2.2</x:v>
      </x:c>
      <x:c r="D22" t="str">
        <x:v>price_removed</x:v>
      </x:c>
      <x:c r="E22" t="str">
        <x:v>sold</x:v>
      </x:c>
      <x:c r="F22" t="str">
        <x:v>sold</x:v>
      </x:c>
      <x:c r="G22" s="15" t="n">
        <x:v>573500</x:v>
      </x:c>
      <x:c r="H22" s="15"/>
      <x:c r="I22" s="15"/>
      <x:c r="J22" t="str">
        <x:v>confirmed</x:v>
      </x:c>
      <x:c r="K22" t="str">
        <x:v>https://kvarter-living.sk/byt/A.2.2</x:v>
      </x:c>
      <x:c r="L22" t="str">
        <x:v>20260819171258940_kvarter_A.2.2_price_removed</x:v>
      </x:c>
    </x:row>
    <x:row r="23">
      <x:c r="A23" s="11" t="n">
        <x:v>46253.71734884259</x:v>
      </x:c>
      <x:c r="B23" t="str">
        <x:v>Kvarter</x:v>
      </x:c>
      <x:c r="C23" t="str">
        <x:v>A.2.3</x:v>
      </x:c>
      <x:c r="D23" t="str">
        <x:v>price_removed</x:v>
      </x:c>
      <x:c r="E23" t="str">
        <x:v>sold</x:v>
      </x:c>
      <x:c r="F23" t="str">
        <x:v>sold</x:v>
      </x:c>
      <x:c r="G23" s="15" t="n">
        <x:v>242600</x:v>
      </x:c>
      <x:c r="H23" s="15"/>
      <x:c r="I23" s="15"/>
      <x:c r="J23" t="str">
        <x:v>confirmed</x:v>
      </x:c>
      <x:c r="K23" t="str">
        <x:v>https://kvarter-living.sk/byt/A.2.3</x:v>
      </x:c>
      <x:c r="L23" t="str">
        <x:v>20260819171258940_kvarter_A.2.3_price_removed</x:v>
      </x:c>
    </x:row>
    <x:row r="24">
      <x:c r="A24" s="11" t="n">
        <x:v>46253.71734884259</x:v>
      </x:c>
      <x:c r="B24" t="str">
        <x:v>Kvarter</x:v>
      </x:c>
      <x:c r="C24" t="str">
        <x:v>A.2.4</x:v>
      </x:c>
      <x:c r="D24" t="str">
        <x:v>price_removed</x:v>
      </x:c>
      <x:c r="E24" t="str">
        <x:v>sold</x:v>
      </x:c>
      <x:c r="F24" t="str">
        <x:v>sold</x:v>
      </x:c>
      <x:c r="G24" s="15" t="n">
        <x:v>314400</x:v>
      </x:c>
      <x:c r="H24" s="15"/>
      <x:c r="I24" s="15"/>
      <x:c r="J24" t="str">
        <x:v>confirmed</x:v>
      </x:c>
      <x:c r="K24" t="str">
        <x:v>https://kvarter-living.sk/byt/A.2.4</x:v>
      </x:c>
      <x:c r="L24" t="str">
        <x:v>20260819171258940_kvarter_A.2.4_price_removed</x:v>
      </x:c>
    </x:row>
    <x:row r="25">
      <x:c r="A25" s="11" t="n">
        <x:v>46253.71734884259</x:v>
      </x:c>
      <x:c r="B25" t="str">
        <x:v>Kvarter</x:v>
      </x:c>
      <x:c r="C25" t="str">
        <x:v>A.2.5</x:v>
      </x:c>
      <x:c r="D25" t="str">
        <x:v>price_removed</x:v>
      </x:c>
      <x:c r="E25" t="str">
        <x:v>sold</x:v>
      </x:c>
      <x:c r="F25" t="str">
        <x:v>sold</x:v>
      </x:c>
      <x:c r="G25" s="15" t="n">
        <x:v>314400</x:v>
      </x:c>
      <x:c r="H25" s="15"/>
      <x:c r="I25" s="15"/>
      <x:c r="J25" t="str">
        <x:v>confirmed</x:v>
      </x:c>
      <x:c r="K25" t="str">
        <x:v>https://kvarter-living.sk/byt/A.2.5</x:v>
      </x:c>
      <x:c r="L25" t="str">
        <x:v>20260819171258940_kvarter_A.2.5_price_removed</x:v>
      </x:c>
    </x:row>
    <x:row r="26">
      <x:c r="A26" s="11" t="n">
        <x:v>46253.71734884259</x:v>
      </x:c>
      <x:c r="B26" t="str">
        <x:v>Kvarter</x:v>
      </x:c>
      <x:c r="C26" t="str">
        <x:v>A.2.6</x:v>
      </x:c>
      <x:c r="D26" t="str">
        <x:v>price_removed</x:v>
      </x:c>
      <x:c r="E26" t="str">
        <x:v>sold</x:v>
      </x:c>
      <x:c r="F26" t="str">
        <x:v>sold</x:v>
      </x:c>
      <x:c r="G26" s="15" t="n">
        <x:v>257100</x:v>
      </x:c>
      <x:c r="H26" s="15"/>
      <x:c r="I26" s="15"/>
      <x:c r="J26" t="str">
        <x:v>confirmed</x:v>
      </x:c>
      <x:c r="K26" t="str">
        <x:v>https://kvarter-living.sk/byt/A.2.6</x:v>
      </x:c>
      <x:c r="L26" t="str">
        <x:v>20260819171258940_kvarter_A.2.6_price_removed</x:v>
      </x:c>
    </x:row>
    <x:row r="27">
      <x:c r="A27" s="11" t="n">
        <x:v>46253.71734884259</x:v>
      </x:c>
      <x:c r="B27" t="str">
        <x:v>Kvarter</x:v>
      </x:c>
      <x:c r="C27" t="str">
        <x:v>A.2.7</x:v>
      </x:c>
      <x:c r="D27" t="str">
        <x:v>price_removed</x:v>
      </x:c>
      <x:c r="E27" t="str">
        <x:v>sold</x:v>
      </x:c>
      <x:c r="F27" t="str">
        <x:v>sold</x:v>
      </x:c>
      <x:c r="G27" s="15" t="n">
        <x:v>615700</x:v>
      </x:c>
      <x:c r="H27" s="15"/>
      <x:c r="I27" s="15"/>
      <x:c r="J27" t="str">
        <x:v>confirmed</x:v>
      </x:c>
      <x:c r="K27" t="str">
        <x:v>https://kvarter-living.sk/byt/A.2.7</x:v>
      </x:c>
      <x:c r="L27" t="str">
        <x:v>20260819171258940_kvarter_A.2.7_price_removed</x:v>
      </x:c>
    </x:row>
    <x:row r="28">
      <x:c r="A28" s="11" t="n">
        <x:v>46253.71734884259</x:v>
      </x:c>
      <x:c r="B28" t="str">
        <x:v>Kvarter</x:v>
      </x:c>
      <x:c r="C28" t="str">
        <x:v>A.3.1</x:v>
      </x:c>
      <x:c r="D28" t="str">
        <x:v>price_removed</x:v>
      </x:c>
      <x:c r="E28" t="str">
        <x:v>sold</x:v>
      </x:c>
      <x:c r="F28" t="str">
        <x:v>sold</x:v>
      </x:c>
      <x:c r="G28" s="15" t="n">
        <x:v>206100</x:v>
      </x:c>
      <x:c r="H28" s="15"/>
      <x:c r="I28" s="15"/>
      <x:c r="J28" t="str">
        <x:v>confirmed</x:v>
      </x:c>
      <x:c r="K28" t="str">
        <x:v>https://kvarter-living.sk/byt/A.3.1</x:v>
      </x:c>
      <x:c r="L28" t="str">
        <x:v>20260819171258940_kvarter_A.3.1_price_removed</x:v>
      </x:c>
    </x:row>
    <x:row r="29">
      <x:c r="A29" s="11" t="n">
        <x:v>46253.71734884259</x:v>
      </x:c>
      <x:c r="B29" t="str">
        <x:v>Kvarter</x:v>
      </x:c>
      <x:c r="C29" t="str">
        <x:v>A.3.2</x:v>
      </x:c>
      <x:c r="D29" t="str">
        <x:v>price_removed</x:v>
      </x:c>
      <x:c r="E29" t="str">
        <x:v>sold</x:v>
      </x:c>
      <x:c r="F29" t="str">
        <x:v>sold</x:v>
      </x:c>
      <x:c r="G29" s="15" t="n">
        <x:v>538300</x:v>
      </x:c>
      <x:c r="H29" s="15"/>
      <x:c r="I29" s="15"/>
      <x:c r="J29" t="str">
        <x:v>confirmed</x:v>
      </x:c>
      <x:c r="K29" t="str">
        <x:v>https://kvarter-living.sk/byt/A.3.2</x:v>
      </x:c>
      <x:c r="L29" t="str">
        <x:v>20260819171258940_kvarter_A.3.2_price_removed</x:v>
      </x:c>
    </x:row>
    <x:row r="30">
      <x:c r="A30" s="11" t="n">
        <x:v>46253.71734884259</x:v>
      </x:c>
      <x:c r="B30" t="str">
        <x:v>Kvarter</x:v>
      </x:c>
      <x:c r="C30" t="str">
        <x:v>A.3.3</x:v>
      </x:c>
      <x:c r="D30" t="str">
        <x:v>price_removed</x:v>
      </x:c>
      <x:c r="E30" t="str">
        <x:v>sold</x:v>
      </x:c>
      <x:c r="F30" t="str">
        <x:v>sold</x:v>
      </x:c>
      <x:c r="G30" s="15" t="n">
        <x:v>254300</x:v>
      </x:c>
      <x:c r="H30" s="15"/>
      <x:c r="I30" s="15"/>
      <x:c r="J30" t="str">
        <x:v>confirmed</x:v>
      </x:c>
      <x:c r="K30" t="str">
        <x:v>https://kvarter-living.sk/byt/A.3.3</x:v>
      </x:c>
      <x:c r="L30" t="str">
        <x:v>20260819171258940_kvarter_A.3.3_price_removed</x:v>
      </x:c>
    </x:row>
    <x:row r="31">
      <x:c r="A31" s="11" t="n">
        <x:v>46253.71734884259</x:v>
      </x:c>
      <x:c r="B31" t="str">
        <x:v>Kvarter</x:v>
      </x:c>
      <x:c r="C31" t="str">
        <x:v>A.3.4</x:v>
      </x:c>
      <x:c r="D31" t="str">
        <x:v>price_removed</x:v>
      </x:c>
      <x:c r="E31" t="str">
        <x:v>sold</x:v>
      </x:c>
      <x:c r="F31" t="str">
        <x:v>sold</x:v>
      </x:c>
      <x:c r="G31" s="15" t="n">
        <x:v>296300</x:v>
      </x:c>
      <x:c r="H31" s="15"/>
      <x:c r="I31" s="15"/>
      <x:c r="J31" t="str">
        <x:v>confirmed</x:v>
      </x:c>
      <x:c r="K31" t="str">
        <x:v>https://kvarter-living.sk/byt/A.3.4</x:v>
      </x:c>
      <x:c r="L31" t="str">
        <x:v>20260819171258940_kvarter_A.3.4_price_removed</x:v>
      </x:c>
    </x:row>
    <x:row r="32">
      <x:c r="A32" s="11" t="n">
        <x:v>46253.71734884259</x:v>
      </x:c>
      <x:c r="B32" t="str">
        <x:v>Kvarter</x:v>
      </x:c>
      <x:c r="C32" t="str">
        <x:v>A.3.5</x:v>
      </x:c>
      <x:c r="D32" t="str">
        <x:v>price_removed</x:v>
      </x:c>
      <x:c r="E32" t="str">
        <x:v>sold</x:v>
      </x:c>
      <x:c r="F32" t="str">
        <x:v>sold</x:v>
      </x:c>
      <x:c r="G32" s="15" t="n">
        <x:v>296400</x:v>
      </x:c>
      <x:c r="H32" s="15"/>
      <x:c r="I32" s="15"/>
      <x:c r="J32" t="str">
        <x:v>confirmed</x:v>
      </x:c>
      <x:c r="K32" t="str">
        <x:v>https://kvarter-living.sk/byt/A.3.5</x:v>
      </x:c>
      <x:c r="L32" t="str">
        <x:v>20260819171258940_kvarter_A.3.5_price_removed</x:v>
      </x:c>
    </x:row>
    <x:row r="33">
      <x:c r="A33" s="11" t="n">
        <x:v>46253.71734884259</x:v>
      </x:c>
      <x:c r="B33" t="str">
        <x:v>Kvarter</x:v>
      </x:c>
      <x:c r="C33" t="str">
        <x:v>A.3.6</x:v>
      </x:c>
      <x:c r="D33" t="str">
        <x:v>price_removed</x:v>
      </x:c>
      <x:c r="E33" t="str">
        <x:v>sold</x:v>
      </x:c>
      <x:c r="F33" t="str">
        <x:v>sold</x:v>
      </x:c>
      <x:c r="G33" s="15" t="n">
        <x:v>254900</x:v>
      </x:c>
      <x:c r="H33" s="15"/>
      <x:c r="I33" s="15"/>
      <x:c r="J33" t="str">
        <x:v>confirmed</x:v>
      </x:c>
      <x:c r="K33" t="str">
        <x:v>https://kvarter-living.sk/byt/A.3.6</x:v>
      </x:c>
      <x:c r="L33" t="str">
        <x:v>20260819171258940_kvarter_A.3.6_price_removed</x:v>
      </x:c>
    </x:row>
    <x:row r="34">
      <x:c r="A34" s="11" t="n">
        <x:v>46253.71734884259</x:v>
      </x:c>
      <x:c r="B34" t="str">
        <x:v>Kvarter</x:v>
      </x:c>
      <x:c r="C34" t="str">
        <x:v>A.3.7</x:v>
      </x:c>
      <x:c r="D34" t="str">
        <x:v>price_removed</x:v>
      </x:c>
      <x:c r="E34" t="str">
        <x:v>sold</x:v>
      </x:c>
      <x:c r="F34" t="str">
        <x:v>sold</x:v>
      </x:c>
      <x:c r="G34" s="15" t="n">
        <x:v>565900</x:v>
      </x:c>
      <x:c r="H34" s="15"/>
      <x:c r="I34" s="15"/>
      <x:c r="J34" t="str">
        <x:v>confirmed</x:v>
      </x:c>
      <x:c r="K34" t="str">
        <x:v>https://kvarter-living.sk/byt/A.3.7</x:v>
      </x:c>
      <x:c r="L34" t="str">
        <x:v>20260819171258940_kvarter_A.3.7_price_removed</x:v>
      </x:c>
    </x:row>
    <x:row r="35">
      <x:c r="A35" s="11" t="n">
        <x:v>46253.71734884259</x:v>
      </x:c>
      <x:c r="B35" t="str">
        <x:v>Kvarter</x:v>
      </x:c>
      <x:c r="C35" t="str">
        <x:v>A.4.1</x:v>
      </x:c>
      <x:c r="D35" t="str">
        <x:v>price_removed</x:v>
      </x:c>
      <x:c r="E35" t="str">
        <x:v>sold</x:v>
      </x:c>
      <x:c r="F35" t="str">
        <x:v>sold</x:v>
      </x:c>
      <x:c r="G35" s="15" t="n">
        <x:v>207900</x:v>
      </x:c>
      <x:c r="H35" s="15"/>
      <x:c r="I35" s="15"/>
      <x:c r="J35" t="str">
        <x:v>confirmed</x:v>
      </x:c>
      <x:c r="K35" t="str">
        <x:v>https://kvarter-living.sk/byt/A.4.1</x:v>
      </x:c>
      <x:c r="L35" t="str">
        <x:v>20260819171258940_kvarter_A.4.1_price_removed</x:v>
      </x:c>
    </x:row>
    <x:row r="36">
      <x:c r="A36" s="11" t="n">
        <x:v>46253.71734884259</x:v>
      </x:c>
      <x:c r="B36" t="str">
        <x:v>Kvarter</x:v>
      </x:c>
      <x:c r="C36" t="str">
        <x:v>A.4.2</x:v>
      </x:c>
      <x:c r="D36" t="str">
        <x:v>price_removed</x:v>
      </x:c>
      <x:c r="E36" t="str">
        <x:v>sold</x:v>
      </x:c>
      <x:c r="F36" t="str">
        <x:v>sold</x:v>
      </x:c>
      <x:c r="G36" s="15" t="n">
        <x:v>568200</x:v>
      </x:c>
      <x:c r="H36" s="15"/>
      <x:c r="I36" s="15"/>
      <x:c r="J36" t="str">
        <x:v>confirmed</x:v>
      </x:c>
      <x:c r="K36" t="str">
        <x:v>https://kvarter-living.sk/byt/A.4.2</x:v>
      </x:c>
      <x:c r="L36" t="str">
        <x:v>20260819171258940_kvarter_A.4.2_price_removed</x:v>
      </x:c>
    </x:row>
    <x:row r="37">
      <x:c r="A37" s="11" t="n">
        <x:v>46253.71734884259</x:v>
      </x:c>
      <x:c r="B37" t="str">
        <x:v>Kvarter</x:v>
      </x:c>
      <x:c r="C37" t="str">
        <x:v>A.4.3</x:v>
      </x:c>
      <x:c r="D37" t="str">
        <x:v>price_removed</x:v>
      </x:c>
      <x:c r="E37" t="str">
        <x:v>sold</x:v>
      </x:c>
      <x:c r="F37" t="str">
        <x:v>sold</x:v>
      </x:c>
      <x:c r="G37" s="15" t="n">
        <x:v>256300</x:v>
      </x:c>
      <x:c r="H37" s="15"/>
      <x:c r="I37" s="15"/>
      <x:c r="J37" t="str">
        <x:v>confirmed</x:v>
      </x:c>
      <x:c r="K37" t="str">
        <x:v>https://kvarter-living.sk/byt/A.4.3</x:v>
      </x:c>
      <x:c r="L37" t="str">
        <x:v>20260819171258940_kvarter_A.4.3_price_removed</x:v>
      </x:c>
    </x:row>
    <x:row r="38">
      <x:c r="A38" s="11" t="n">
        <x:v>46253.71734884259</x:v>
      </x:c>
      <x:c r="B38" t="str">
        <x:v>Kvarter</x:v>
      </x:c>
      <x:c r="C38" t="str">
        <x:v>A.4.4</x:v>
      </x:c>
      <x:c r="D38" t="str">
        <x:v>price_removed</x:v>
      </x:c>
      <x:c r="E38" t="str">
        <x:v>sold</x:v>
      </x:c>
      <x:c r="F38" t="str">
        <x:v>sold</x:v>
      </x:c>
      <x:c r="G38" s="15" t="n">
        <x:v>367400</x:v>
      </x:c>
      <x:c r="H38" s="15"/>
      <x:c r="I38" s="15"/>
      <x:c r="J38" t="str">
        <x:v>confirmed</x:v>
      </x:c>
      <x:c r="K38" t="str">
        <x:v>https://kvarter-living.sk/byt/A.4.4</x:v>
      </x:c>
      <x:c r="L38" t="str">
        <x:v>20260819171258940_kvarter_A.4.4_price_removed</x:v>
      </x:c>
    </x:row>
    <x:row r="39">
      <x:c r="A39" s="11" t="n">
        <x:v>46253.71734884259</x:v>
      </x:c>
      <x:c r="B39" t="str">
        <x:v>Kvarter</x:v>
      </x:c>
      <x:c r="C39" t="str">
        <x:v>A.4.5</x:v>
      </x:c>
      <x:c r="D39" t="str">
        <x:v>price_removed</x:v>
      </x:c>
      <x:c r="E39" t="str">
        <x:v>sold</x:v>
      </x:c>
      <x:c r="F39" t="str">
        <x:v>sold</x:v>
      </x:c>
      <x:c r="G39" s="15" t="n">
        <x:v>485400</x:v>
      </x:c>
      <x:c r="H39" s="15"/>
      <x:c r="I39" s="15"/>
      <x:c r="J39" t="str">
        <x:v>confirmed</x:v>
      </x:c>
      <x:c r="K39" t="str">
        <x:v>https://kvarter-living.sk/byt/A.4.5</x:v>
      </x:c>
      <x:c r="L39" t="str">
        <x:v>20260819171258940_kvarter_A.4.5_price_removed</x:v>
      </x:c>
    </x:row>
    <x:row r="40">
      <x:c r="A40" s="11" t="n">
        <x:v>46253.71734884259</x:v>
      </x:c>
      <x:c r="B40" t="str">
        <x:v>Kvarter</x:v>
      </x:c>
      <x:c r="C40" t="str">
        <x:v>A.4.6</x:v>
      </x:c>
      <x:c r="D40" t="str">
        <x:v>price_removed</x:v>
      </x:c>
      <x:c r="E40" t="str">
        <x:v>sold</x:v>
      </x:c>
      <x:c r="F40" t="str">
        <x:v>sold</x:v>
      </x:c>
      <x:c r="G40" s="15" t="n">
        <x:v>527600</x:v>
      </x:c>
      <x:c r="H40" s="15"/>
      <x:c r="I40" s="15"/>
      <x:c r="J40" t="str">
        <x:v>confirmed</x:v>
      </x:c>
      <x:c r="K40" t="str">
        <x:v>https://kvarter-living.sk/byt/A.4.6</x:v>
      </x:c>
      <x:c r="L40" t="str">
        <x:v>20260819171258940_kvarter_A.4.6_price_removed</x:v>
      </x:c>
    </x:row>
    <x:row r="41">
      <x:c r="A41" s="11" t="n">
        <x:v>46253.71734884259</x:v>
      </x:c>
      <x:c r="B41" t="str">
        <x:v>Kvarter</x:v>
      </x:c>
      <x:c r="C41" t="str">
        <x:v>A.4.7</x:v>
      </x:c>
      <x:c r="D41" t="str">
        <x:v>price_removed</x:v>
      </x:c>
      <x:c r="E41" t="str">
        <x:v>sold</x:v>
      </x:c>
      <x:c r="F41" t="str">
        <x:v>sold</x:v>
      </x:c>
      <x:c r="G41" s="15" t="n">
        <x:v>198500</x:v>
      </x:c>
      <x:c r="H41" s="15"/>
      <x:c r="I41" s="15"/>
      <x:c r="J41" t="str">
        <x:v>confirmed</x:v>
      </x:c>
      <x:c r="K41" t="str">
        <x:v>https://kvarter-living.sk/byt/A.4.7</x:v>
      </x:c>
      <x:c r="L41" t="str">
        <x:v>20260819171258940_kvarter_A.4.7_price_removed</x:v>
      </x:c>
    </x:row>
    <x:row r="42">
      <x:c r="A42" s="11" t="n">
        <x:v>46253.71734884259</x:v>
      </x:c>
      <x:c r="B42" t="str">
        <x:v>Kvarter</x:v>
      </x:c>
      <x:c r="C42" t="str">
        <x:v>B.0.5</x:v>
      </x:c>
      <x:c r="D42" t="str">
        <x:v>price_removed</x:v>
      </x:c>
      <x:c r="E42" t="str">
        <x:v>sold</x:v>
      </x:c>
      <x:c r="F42" t="str">
        <x:v>sold</x:v>
      </x:c>
      <x:c r="G42" s="15" t="n">
        <x:v>281000</x:v>
      </x:c>
      <x:c r="H42" s="15"/>
      <x:c r="I42" s="15"/>
      <x:c r="J42" t="str">
        <x:v>confirmed</x:v>
      </x:c>
      <x:c r="K42" t="str">
        <x:v>https://kvarter-living.sk/byt/B.0.5</x:v>
      </x:c>
      <x:c r="L42" t="str">
        <x:v>20260819171258940_kvarter_B.0.5_price_removed</x:v>
      </x:c>
    </x:row>
    <x:row r="43">
      <x:c r="A43" s="11" t="n">
        <x:v>46253.71734884259</x:v>
      </x:c>
      <x:c r="B43" t="str">
        <x:v>Kvarter</x:v>
      </x:c>
      <x:c r="C43" t="str">
        <x:v>B.1.10</x:v>
      </x:c>
      <x:c r="D43" t="str">
        <x:v>price_removed</x:v>
      </x:c>
      <x:c r="E43" t="str">
        <x:v>sold</x:v>
      </x:c>
      <x:c r="F43" t="str">
        <x:v>sold</x:v>
      </x:c>
      <x:c r="G43" s="15" t="n">
        <x:v>214000</x:v>
      </x:c>
      <x:c r="H43" s="15"/>
      <x:c r="I43" s="15"/>
      <x:c r="J43" t="str">
        <x:v>confirmed</x:v>
      </x:c>
      <x:c r="K43" t="str">
        <x:v>https://kvarter-living.sk/byt/B.1.10</x:v>
      </x:c>
      <x:c r="L43" t="str">
        <x:v>20260819171258940_kvarter_B.1.10_price_removed</x:v>
      </x:c>
    </x:row>
    <x:row r="44">
      <x:c r="A44" s="11" t="n">
        <x:v>46253.71734884259</x:v>
      </x:c>
      <x:c r="B44" t="str">
        <x:v>Kvarter</x:v>
      </x:c>
      <x:c r="C44" t="str">
        <x:v>B.1.2</x:v>
      </x:c>
      <x:c r="D44" t="str">
        <x:v>price_removed</x:v>
      </x:c>
      <x:c r="E44" t="str">
        <x:v>sold</x:v>
      </x:c>
      <x:c r="F44" t="str">
        <x:v>sold</x:v>
      </x:c>
      <x:c r="G44" s="15" t="n">
        <x:v>185600</x:v>
      </x:c>
      <x:c r="H44" s="15"/>
      <x:c r="I44" s="15"/>
      <x:c r="J44" t="str">
        <x:v>confirmed</x:v>
      </x:c>
      <x:c r="K44" t="str">
        <x:v>https://kvarter-living.sk/byt/B.1.2</x:v>
      </x:c>
      <x:c r="L44" t="str">
        <x:v>20260819171258940_kvarter_B.1.2_price_removed</x:v>
      </x:c>
    </x:row>
    <x:row r="45">
      <x:c r="A45" s="11" t="n">
        <x:v>46253.71734884259</x:v>
      </x:c>
      <x:c r="B45" t="str">
        <x:v>Kvarter</x:v>
      </x:c>
      <x:c r="C45" t="str">
        <x:v>B.1.4</x:v>
      </x:c>
      <x:c r="D45" t="str">
        <x:v>price_removed</x:v>
      </x:c>
      <x:c r="E45" t="str">
        <x:v>sold</x:v>
      </x:c>
      <x:c r="F45" t="str">
        <x:v>sold</x:v>
      </x:c>
      <x:c r="G45" s="15" t="n">
        <x:v>267700</x:v>
      </x:c>
      <x:c r="H45" s="15"/>
      <x:c r="I45" s="15"/>
      <x:c r="J45" t="str">
        <x:v>confirmed</x:v>
      </x:c>
      <x:c r="K45" t="str">
        <x:v>https://kvarter-living.sk/byt/B.1.4</x:v>
      </x:c>
      <x:c r="L45" t="str">
        <x:v>20260819171258940_kvarter_B.1.4_price_removed</x:v>
      </x:c>
    </x:row>
    <x:row r="46">
      <x:c r="A46" s="11" t="n">
        <x:v>46253.71734884259</x:v>
      </x:c>
      <x:c r="B46" t="str">
        <x:v>Kvarter</x:v>
      </x:c>
      <x:c r="C46" t="str">
        <x:v>B.1.7</x:v>
      </x:c>
      <x:c r="D46" t="str">
        <x:v>price_removed</x:v>
      </x:c>
      <x:c r="E46" t="str">
        <x:v>sold</x:v>
      </x:c>
      <x:c r="F46" t="str">
        <x:v>sold</x:v>
      </x:c>
      <x:c r="G46" s="15" t="n">
        <x:v>267700</x:v>
      </x:c>
      <x:c r="H46" s="15"/>
      <x:c r="I46" s="15"/>
      <x:c r="J46" t="str">
        <x:v>confirmed</x:v>
      </x:c>
      <x:c r="K46" t="str">
        <x:v>https://kvarter-living.sk/byt/B.1.7</x:v>
      </x:c>
      <x:c r="L46" t="str">
        <x:v>20260819171258940_kvarter_B.1.7_price_removed</x:v>
      </x:c>
    </x:row>
    <x:row r="47">
      <x:c r="A47" s="11" t="n">
        <x:v>46253.71734884259</x:v>
      </x:c>
      <x:c r="B47" t="str">
        <x:v>Kvarter</x:v>
      </x:c>
      <x:c r="C47" t="str">
        <x:v>B.1.9</x:v>
      </x:c>
      <x:c r="D47" t="str">
        <x:v>price_removed</x:v>
      </x:c>
      <x:c r="E47" t="str">
        <x:v>sold</x:v>
      </x:c>
      <x:c r="F47" t="str">
        <x:v>sold</x:v>
      </x:c>
      <x:c r="G47" s="15" t="n">
        <x:v>180200</x:v>
      </x:c>
      <x:c r="H47" s="15"/>
      <x:c r="I47" s="15"/>
      <x:c r="J47" t="str">
        <x:v>confirmed</x:v>
      </x:c>
      <x:c r="K47" t="str">
        <x:v>https://kvarter-living.sk/byt/B.1.9</x:v>
      </x:c>
      <x:c r="L47" t="str">
        <x:v>20260819171258940_kvarter_B.1.9_price_removed</x:v>
      </x:c>
    </x:row>
    <x:row r="48">
      <x:c r="A48" s="11" t="n">
        <x:v>46253.71734884259</x:v>
      </x:c>
      <x:c r="B48" t="str">
        <x:v>Kvarter</x:v>
      </x:c>
      <x:c r="C48" t="str">
        <x:v>B.2.2</x:v>
      </x:c>
      <x:c r="D48" t="str">
        <x:v>price_removed</x:v>
      </x:c>
      <x:c r="E48" t="str">
        <x:v>sold</x:v>
      </x:c>
      <x:c r="F48" t="str">
        <x:v>sold</x:v>
      </x:c>
      <x:c r="G48" s="15" t="n">
        <x:v>432900</x:v>
      </x:c>
      <x:c r="H48" s="15"/>
      <x:c r="I48" s="15"/>
      <x:c r="J48" t="str">
        <x:v>confirmed</x:v>
      </x:c>
      <x:c r="K48" t="str">
        <x:v>https://kvarter-living.sk/byt/B.2.2</x:v>
      </x:c>
      <x:c r="L48" t="str">
        <x:v>20260819171258940_kvarter_B.2.2_price_removed</x:v>
      </x:c>
    </x:row>
    <x:row r="49">
      <x:c r="A49" s="11" t="n">
        <x:v>46253.71734884259</x:v>
      </x:c>
      <x:c r="B49" t="str">
        <x:v>Kvarter</x:v>
      </x:c>
      <x:c r="C49" t="str">
        <x:v>B.2.3</x:v>
      </x:c>
      <x:c r="D49" t="str">
        <x:v>price_removed</x:v>
      </x:c>
      <x:c r="E49" t="str">
        <x:v>sold</x:v>
      </x:c>
      <x:c r="F49" t="str">
        <x:v>sold</x:v>
      </x:c>
      <x:c r="G49" s="15" t="n">
        <x:v>266000</x:v>
      </x:c>
      <x:c r="H49" s="15"/>
      <x:c r="I49" s="15"/>
      <x:c r="J49" t="str">
        <x:v>confirmed</x:v>
      </x:c>
      <x:c r="K49" t="str">
        <x:v>https://kvarter-living.sk/byt/B.2.3</x:v>
      </x:c>
      <x:c r="L49" t="str">
        <x:v>20260819171258940_kvarter_B.2.3_price_removed</x:v>
      </x:c>
    </x:row>
    <x:row r="50">
      <x:c r="A50" s="11" t="n">
        <x:v>46253.71734884259</x:v>
      </x:c>
      <x:c r="B50" t="str">
        <x:v>Kvarter</x:v>
      </x:c>
      <x:c r="C50" t="str">
        <x:v>B.2.6</x:v>
      </x:c>
      <x:c r="D50" t="str">
        <x:v>price_removed</x:v>
      </x:c>
      <x:c r="E50" t="str">
        <x:v>sold</x:v>
      </x:c>
      <x:c r="F50" t="str">
        <x:v>sold</x:v>
      </x:c>
      <x:c r="G50" s="15" t="n">
        <x:v>285600</x:v>
      </x:c>
      <x:c r="H50" s="15"/>
      <x:c r="I50" s="15"/>
      <x:c r="J50" t="str">
        <x:v>confirmed</x:v>
      </x:c>
      <x:c r="K50" t="str">
        <x:v>https://kvarter-living.sk/byt/B.2.6</x:v>
      </x:c>
      <x:c r="L50" t="str">
        <x:v>20260819171258940_kvarter_B.2.6_price_removed</x:v>
      </x:c>
    </x:row>
    <x:row r="51">
      <x:c r="A51" s="11" t="n">
        <x:v>46253.71734884259</x:v>
      </x:c>
      <x:c r="B51" t="str">
        <x:v>Kvarter</x:v>
      </x:c>
      <x:c r="C51" t="str">
        <x:v>B.2.7</x:v>
      </x:c>
      <x:c r="D51" t="str">
        <x:v>price_removed</x:v>
      </x:c>
      <x:c r="E51" t="str">
        <x:v>sold</x:v>
      </x:c>
      <x:c r="F51" t="str">
        <x:v>sold</x:v>
      </x:c>
      <x:c r="G51" s="15" t="n">
        <x:v>432900</x:v>
      </x:c>
      <x:c r="H51" s="15"/>
      <x:c r="I51" s="15"/>
      <x:c r="J51" t="str">
        <x:v>confirmed</x:v>
      </x:c>
      <x:c r="K51" t="str">
        <x:v>https://kvarter-living.sk/byt/B.2.7</x:v>
      </x:c>
      <x:c r="L51" t="str">
        <x:v>20260819171258940_kvarter_B.2.7_price_removed</x:v>
      </x:c>
    </x:row>
    <x:row r="52">
      <x:c r="A52" s="11" t="n">
        <x:v>46253.71734884259</x:v>
      </x:c>
      <x:c r="B52" t="str">
        <x:v>Kvarter</x:v>
      </x:c>
      <x:c r="C52" t="str">
        <x:v>B.2.8</x:v>
      </x:c>
      <x:c r="D52" t="str">
        <x:v>price_removed</x:v>
      </x:c>
      <x:c r="E52" t="str">
        <x:v>sold</x:v>
      </x:c>
      <x:c r="F52" t="str">
        <x:v>sold</x:v>
      </x:c>
      <x:c r="G52" s="15" t="n">
        <x:v>202000</x:v>
      </x:c>
      <x:c r="H52" s="15"/>
      <x:c r="I52" s="15"/>
      <x:c r="J52" t="str">
        <x:v>confirmed</x:v>
      </x:c>
      <x:c r="K52" t="str">
        <x:v>https://kvarter-living.sk/byt/B.2.8</x:v>
      </x:c>
      <x:c r="L52" t="str">
        <x:v>20260819171258940_kvarter_B.2.8_price_removed</x:v>
      </x:c>
    </x:row>
    <x:row r="53">
      <x:c r="A53" s="11" t="n">
        <x:v>46253.71734884259</x:v>
      </x:c>
      <x:c r="B53" t="str">
        <x:v>Kvarter</x:v>
      </x:c>
      <x:c r="C53" t="str">
        <x:v>B.3.2</x:v>
      </x:c>
      <x:c r="D53" t="str">
        <x:v>price_removed</x:v>
      </x:c>
      <x:c r="E53" t="str">
        <x:v>sold</x:v>
      </x:c>
      <x:c r="F53" t="str">
        <x:v>sold</x:v>
      </x:c>
      <x:c r="G53" s="15" t="n">
        <x:v>590940</x:v>
      </x:c>
      <x:c r="H53" s="15"/>
      <x:c r="I53" s="15"/>
      <x:c r="J53" t="str">
        <x:v>confirmed</x:v>
      </x:c>
      <x:c r="K53" t="str">
        <x:v>https://kvarter-living.sk/byt/B.3.2</x:v>
      </x:c>
      <x:c r="L53" t="str">
        <x:v>20260819171258940_kvarter_B.3.2_price_removed</x:v>
      </x:c>
    </x:row>
    <x:row r="54">
      <x:c r="A54" s="11" t="n">
        <x:v>46253.71734884259</x:v>
      </x:c>
      <x:c r="B54" t="str">
        <x:v>Kvarter</x:v>
      </x:c>
      <x:c r="C54" t="str">
        <x:v>B.3.3</x:v>
      </x:c>
      <x:c r="D54" t="str">
        <x:v>price_removed</x:v>
      </x:c>
      <x:c r="E54" t="str">
        <x:v>sold</x:v>
      </x:c>
      <x:c r="F54" t="str">
        <x:v>sold</x:v>
      </x:c>
      <x:c r="G54" s="15" t="n">
        <x:v>268324</x:v>
      </x:c>
      <x:c r="H54" s="15"/>
      <x:c r="I54" s="15"/>
      <x:c r="J54" t="str">
        <x:v>confirmed</x:v>
      </x:c>
      <x:c r="K54" t="str">
        <x:v>https://kvarter-living.sk/byt/B.3.3</x:v>
      </x:c>
      <x:c r="L54" t="str">
        <x:v>20260819171258940_kvarter_B.3.3_price_removed</x:v>
      </x:c>
    </x:row>
    <x:row r="55">
      <x:c r="A55" s="11" t="n">
        <x:v>46253.71734884259</x:v>
      </x:c>
      <x:c r="B55" t="str">
        <x:v>Kvarter</x:v>
      </x:c>
      <x:c r="C55" t="str">
        <x:v>B.3.4</x:v>
      </x:c>
      <x:c r="D55" t="str">
        <x:v>price_removed</x:v>
      </x:c>
      <x:c r="E55" t="str">
        <x:v>sold</x:v>
      </x:c>
      <x:c r="F55" t="str">
        <x:v>sold</x:v>
      </x:c>
      <x:c r="G55" s="15" t="n">
        <x:v>318304</x:v>
      </x:c>
      <x:c r="H55" s="15"/>
      <x:c r="I55" s="15"/>
      <x:c r="J55" t="str">
        <x:v>confirmed</x:v>
      </x:c>
      <x:c r="K55" t="str">
        <x:v>https://kvarter-living.sk/byt/B.3.4</x:v>
      </x:c>
      <x:c r="L55" t="str">
        <x:v>20260819171258940_kvarter_B.3.4_price_removed</x:v>
      </x:c>
    </x:row>
    <x:row r="56">
      <x:c r="A56" s="11" t="n">
        <x:v>46253.71734884259</x:v>
      </x:c>
      <x:c r="B56" t="str">
        <x:v>Kvarter</x:v>
      </x:c>
      <x:c r="C56" t="str">
        <x:v>B.3.6</x:v>
      </x:c>
      <x:c r="D56" t="str">
        <x:v>price_removed</x:v>
      </x:c>
      <x:c r="E56" t="str">
        <x:v>sold</x:v>
      </x:c>
      <x:c r="F56" t="str">
        <x:v>sold</x:v>
      </x:c>
      <x:c r="G56" s="15" t="n">
        <x:v>267100</x:v>
      </x:c>
      <x:c r="H56" s="15"/>
      <x:c r="I56" s="15"/>
      <x:c r="J56" t="str">
        <x:v>confirmed</x:v>
      </x:c>
      <x:c r="K56" t="str">
        <x:v>https://kvarter-living.sk/byt/B.3.6</x:v>
      </x:c>
      <x:c r="L56" t="str">
        <x:v>20260819171258940_kvarter_B.3.6_price_removed</x:v>
      </x:c>
    </x:row>
    <x:row r="57">
      <x:c r="A57" s="11" t="n">
        <x:v>46253.71734884259</x:v>
      </x:c>
      <x:c r="B57" t="str">
        <x:v>Kvarter</x:v>
      </x:c>
      <x:c r="C57" t="str">
        <x:v>B.3.7</x:v>
      </x:c>
      <x:c r="D57" t="str">
        <x:v>price_removed</x:v>
      </x:c>
      <x:c r="E57" t="str">
        <x:v>sold</x:v>
      </x:c>
      <x:c r="F57" t="str">
        <x:v>sold</x:v>
      </x:c>
      <x:c r="G57" s="15" t="n">
        <x:v>409700</x:v>
      </x:c>
      <x:c r="H57" s="15"/>
      <x:c r="I57" s="15"/>
      <x:c r="J57" t="str">
        <x:v>confirmed</x:v>
      </x:c>
      <x:c r="K57" t="str">
        <x:v>https://kvarter-living.sk/byt/B.3.7</x:v>
      </x:c>
      <x:c r="L57" t="str">
        <x:v>20260819171258940_kvarter_B.3.7_price_removed</x:v>
      </x:c>
    </x:row>
    <x:row r="58">
      <x:c r="A58" s="11" t="n">
        <x:v>46253.71734884259</x:v>
      </x:c>
      <x:c r="B58" t="str">
        <x:v>Kvarter</x:v>
      </x:c>
      <x:c r="C58" t="str">
        <x:v>B.3.8</x:v>
      </x:c>
      <x:c r="D58" t="str">
        <x:v>price_removed</x:v>
      </x:c>
      <x:c r="E58" t="str">
        <x:v>sold</x:v>
      </x:c>
      <x:c r="F58" t="str">
        <x:v>sold</x:v>
      </x:c>
      <x:c r="G58" s="15" t="n">
        <x:v>206500</x:v>
      </x:c>
      <x:c r="H58" s="15"/>
      <x:c r="I58" s="15"/>
      <x:c r="J58" t="str">
        <x:v>confirmed</x:v>
      </x:c>
      <x:c r="K58" t="str">
        <x:v>https://kvarter-living.sk/byt/B.3.8</x:v>
      </x:c>
      <x:c r="L58" t="str">
        <x:v>20260819171258940_kvarter_B.3.8_price_removed</x:v>
      </x:c>
    </x:row>
    <x:row r="59">
      <x:c r="A59" s="11" t="n">
        <x:v>46253.71734884259</x:v>
      </x:c>
      <x:c r="B59" t="str">
        <x:v>Kvarter</x:v>
      </x:c>
      <x:c r="C59" t="str">
        <x:v>B.4.2</x:v>
      </x:c>
      <x:c r="D59" t="str">
        <x:v>price_removed</x:v>
      </x:c>
      <x:c r="E59" t="str">
        <x:v>sold</x:v>
      </x:c>
      <x:c r="F59" t="str">
        <x:v>sold</x:v>
      </x:c>
      <x:c r="G59" s="15" t="n">
        <x:v>608200</x:v>
      </x:c>
      <x:c r="H59" s="15"/>
      <x:c r="I59" s="15"/>
      <x:c r="J59" t="str">
        <x:v>confirmed</x:v>
      </x:c>
      <x:c r="K59" t="str">
        <x:v>https://kvarter-living.sk/byt/B.4.2</x:v>
      </x:c>
      <x:c r="L59" t="str">
        <x:v>20260819171258940_kvarter_B.4.2_price_removed</x:v>
      </x:c>
    </x:row>
    <x:row r="60">
      <x:c r="A60" s="11" t="n">
        <x:v>46253.71734884259</x:v>
      </x:c>
      <x:c r="B60" t="str">
        <x:v>Kvarter</x:v>
      </x:c>
      <x:c r="C60" t="str">
        <x:v>B.4.3</x:v>
      </x:c>
      <x:c r="D60" t="str">
        <x:v>price_removed</x:v>
      </x:c>
      <x:c r="E60" t="str">
        <x:v>sold</x:v>
      </x:c>
      <x:c r="F60" t="str">
        <x:v>sold</x:v>
      </x:c>
      <x:c r="G60" s="15" t="n">
        <x:v>266500</x:v>
      </x:c>
      <x:c r="H60" s="15"/>
      <x:c r="I60" s="15"/>
      <x:c r="J60" t="str">
        <x:v>confirmed</x:v>
      </x:c>
      <x:c r="K60" t="str">
        <x:v>https://kvarter-living.sk/byt/B.4.3</x:v>
      </x:c>
      <x:c r="L60" t="str">
        <x:v>20260819171258940_kvarter_B.4.3_price_removed</x:v>
      </x:c>
    </x:row>
    <x:row r="61">
      <x:c r="A61" s="11" t="n">
        <x:v>46253.71734884259</x:v>
      </x:c>
      <x:c r="B61" t="str">
        <x:v>Kvarter</x:v>
      </x:c>
      <x:c r="C61" t="str">
        <x:v>B.4.6</x:v>
      </x:c>
      <x:c r="D61" t="str">
        <x:v>price_removed</x:v>
      </x:c>
      <x:c r="E61" t="str">
        <x:v>sold</x:v>
      </x:c>
      <x:c r="F61" t="str">
        <x:v>sold</x:v>
      </x:c>
      <x:c r="G61" s="15" t="n">
        <x:v>269200</x:v>
      </x:c>
      <x:c r="H61" s="15"/>
      <x:c r="I61" s="15"/>
      <x:c r="J61" t="str">
        <x:v>confirmed</x:v>
      </x:c>
      <x:c r="K61" t="str">
        <x:v>https://kvarter-living.sk/byt/B.4.6</x:v>
      </x:c>
      <x:c r="L61" t="str">
        <x:v>20260819171258940_kvarter_B.4.6_price_removed</x:v>
      </x:c>
    </x:row>
    <x:row r="62">
      <x:c r="A62" s="11" t="n">
        <x:v>46253.71734884259</x:v>
      </x:c>
      <x:c r="B62" t="str">
        <x:v>Kvarter</x:v>
      </x:c>
      <x:c r="C62" t="str">
        <x:v>B.4.7</x:v>
      </x:c>
      <x:c r="D62" t="str">
        <x:v>price_removed</x:v>
      </x:c>
      <x:c r="E62" t="str">
        <x:v>sold</x:v>
      </x:c>
      <x:c r="F62" t="str">
        <x:v>sold</x:v>
      </x:c>
      <x:c r="G62" s="15" t="n">
        <x:v>613250</x:v>
      </x:c>
      <x:c r="H62" s="15"/>
      <x:c r="I62" s="15"/>
      <x:c r="J62" t="str">
        <x:v>confirmed</x:v>
      </x:c>
      <x:c r="K62" t="str">
        <x:v>https://kvarter-living.sk/byt/B.4.7</x:v>
      </x:c>
      <x:c r="L62" t="str">
        <x:v>20260819171258940_kvarter_B.4.7_price_removed</x:v>
      </x:c>
    </x:row>
    <x:row r="63">
      <x:c r="A63" s="11" t="n">
        <x:v>46253.71734884259</x:v>
      </x:c>
      <x:c r="B63" t="str">
        <x:v>Kvarter</x:v>
      </x:c>
      <x:c r="C63" t="str">
        <x:v>B.4.8</x:v>
      </x:c>
      <x:c r="D63" t="str">
        <x:v>price_removed</x:v>
      </x:c>
      <x:c r="E63" t="str">
        <x:v>sold</x:v>
      </x:c>
      <x:c r="F63" t="str">
        <x:v>sold</x:v>
      </x:c>
      <x:c r="G63" s="15" t="n">
        <x:v>213900</x:v>
      </x:c>
      <x:c r="H63" s="15"/>
      <x:c r="I63" s="15"/>
      <x:c r="J63" t="str">
        <x:v>confirmed</x:v>
      </x:c>
      <x:c r="K63" t="str">
        <x:v>https://kvarter-living.sk/byt/B.4.8</x:v>
      </x:c>
      <x:c r="L63" t="str">
        <x:v>20260819171258940_kvarter_B.4.8_price_removed</x:v>
      </x:c>
    </x:row>
    <x:row r="64">
      <x:c r="A64" s="11" t="n">
        <x:v>46253.71734884259</x:v>
      </x:c>
      <x:c r="B64" t="str">
        <x:v>Kvarter</x:v>
      </x:c>
      <x:c r="C64" t="str">
        <x:v>B.5.3</x:v>
      </x:c>
      <x:c r="D64" t="str">
        <x:v>price_removed</x:v>
      </x:c>
      <x:c r="E64" t="str">
        <x:v>sold</x:v>
      </x:c>
      <x:c r="F64" t="str">
        <x:v>sold</x:v>
      </x:c>
      <x:c r="G64" s="15" t="n">
        <x:v>347200</x:v>
      </x:c>
      <x:c r="H64" s="15"/>
      <x:c r="I64" s="15"/>
      <x:c r="J64" t="str">
        <x:v>confirmed</x:v>
      </x:c>
      <x:c r="K64" t="str">
        <x:v>https://kvarter-living.sk/byt/B.5.3</x:v>
      </x:c>
      <x:c r="L64" t="str">
        <x:v>20260819171258940_kvarter_B.5.3_price_removed</x:v>
      </x:c>
    </x:row>
    <x:row r="65">
      <x:c r="A65" s="11" t="n">
        <x:v>46253.71734884259</x:v>
      </x:c>
      <x:c r="B65" t="str">
        <x:v>Kvarter</x:v>
      </x:c>
      <x:c r="C65" t="str">
        <x:v>B.5.4</x:v>
      </x:c>
      <x:c r="D65" t="str">
        <x:v>price_removed</x:v>
      </x:c>
      <x:c r="E65" t="str">
        <x:v>sold</x:v>
      </x:c>
      <x:c r="F65" t="str">
        <x:v>sold</x:v>
      </x:c>
      <x:c r="G65" s="15" t="n">
        <x:v>347200</x:v>
      </x:c>
      <x:c r="H65" s="15"/>
      <x:c r="I65" s="15"/>
      <x:c r="J65" t="str">
        <x:v>confirmed</x:v>
      </x:c>
      <x:c r="K65" t="str">
        <x:v>https://kvarter-living.sk/byt/B.5.4</x:v>
      </x:c>
      <x:c r="L65" t="str">
        <x:v>20260819171258940_kvarter_B.5.4_price_removed</x:v>
      </x:c>
    </x:row>
    <x:row r="66">
      <x:c r="A66" s="11" t="n">
        <x:v>46253.71734884259</x:v>
      </x:c>
      <x:c r="B66" t="str">
        <x:v>Kvarter</x:v>
      </x:c>
      <x:c r="C66" t="str">
        <x:v>B.5.5</x:v>
      </x:c>
      <x:c r="D66" t="str">
        <x:v>price_removed</x:v>
      </x:c>
      <x:c r="E66" t="str">
        <x:v>sold</x:v>
      </x:c>
      <x:c r="F66" t="str">
        <x:v>sold</x:v>
      </x:c>
      <x:c r="G66" s="15" t="n">
        <x:v>335400</x:v>
      </x:c>
      <x:c r="H66" s="15"/>
      <x:c r="I66" s="15"/>
      <x:c r="J66" t="str">
        <x:v>confirmed</x:v>
      </x:c>
      <x:c r="K66" t="str">
        <x:v>https://kvarter-living.sk/byt/B.5.5</x:v>
      </x:c>
      <x:c r="L66" t="str">
        <x:v>20260819171258940_kvarter_B.5.5_price_removed</x:v>
      </x:c>
    </x:row>
    <x:row r="67">
      <x:c r="A67" s="11" t="n">
        <x:v>46253.71734884259</x:v>
      </x:c>
      <x:c r="B67" t="str">
        <x:v>NUPPU</x:v>
      </x:c>
      <x:c r="C67" t="str">
        <x:v>O264</x:v>
      </x:c>
      <x:c r="D67" t="str">
        <x:v>became_reserved</x:v>
      </x:c>
      <x:c r="E67" t="str">
        <x:v>available</x:v>
      </x:c>
      <x:c r="F67" t="str">
        <x:v>reserved</x:v>
      </x:c>
      <x:c r="G67" s="15"/>
      <x:c r="H67" s="15"/>
      <x:c r="I67" s="15"/>
      <x:c r="J67" t="str">
        <x:v>confirmed</x:v>
      </x:c>
      <x:c r="K67" t="str">
        <x:v>https://www.yit.sk/predaj-bytov/bratislava/ruzinov/nuppu/nuppu-magnolia-4/pdsk105665</x:v>
      </x:c>
      <x:c r="L67" t="str">
        <x:v>20260819171258940_nuppu_O264_became_reserved</x:v>
      </x:c>
    </x:row>
    <x:row r="68">
      <x:c r="A68" s="11" t="n">
        <x:v>46253.71734884259</x:v>
      </x:c>
      <x:c r="B68" t="str">
        <x:v>BAYA</x:v>
      </x:c>
      <x:c r="C68" t="str">
        <x:v>5.10</x:v>
      </x:c>
      <x:c r="D68" t="str">
        <x:v>sold</x:v>
      </x:c>
      <x:c r="E68" t="str">
        <x:v>pre_reserved</x:v>
      </x:c>
      <x:c r="F68" t="str">
        <x:v>sold</x:v>
      </x:c>
      <x:c r="G68" s="15"/>
      <x:c r="H68" s="15"/>
      <x:c r="I68" s="15"/>
      <x:c r="J68" t="str">
        <x:v>confirmed</x:v>
      </x:c>
      <x:c r="K68" t="str">
        <x:v>https://www.baya.btk.sk/sk/byt/510</x:v>
      </x:c>
      <x:c r="L68" t="str">
        <x:v>20260819171258940_baya_5.10_sold</x:v>
      </x:c>
    </x:row>
    <x:row r="69">
      <x:c r="A69" s="11" t="n">
        <x:v>46253.71734884259</x:v>
      </x:c>
      <x:c r="B69" t="str">
        <x:v>BAYA</x:v>
      </x:c>
      <x:c r="C69" t="str">
        <x:v>5.25</x:v>
      </x:c>
      <x:c r="D69" t="str">
        <x:v>sold</x:v>
      </x:c>
      <x:c r="E69" t="str">
        <x:v>pre_reserved</x:v>
      </x:c>
      <x:c r="F69" t="str">
        <x:v>sold</x:v>
      </x:c>
      <x:c r="G69" s="15"/>
      <x:c r="H69" s="15"/>
      <x:c r="I69" s="15"/>
      <x:c r="J69" t="str">
        <x:v>confirmed</x:v>
      </x:c>
      <x:c r="K69" t="str">
        <x:v>https://www.baya.btk.sk/sk/byt/525</x:v>
      </x:c>
      <x:c r="L69" t="str">
        <x:v>20260819171258940_baya_5.25_sold</x:v>
      </x:c>
    </x:row>
    <x:row r="70">
      <x:c r="A70" s="11" t="n">
        <x:v>46253.71734884259</x:v>
      </x:c>
      <x:c r="B70" t="str">
        <x:v>BAYA</x:v>
      </x:c>
      <x:c r="C70" t="str">
        <x:v>6.01</x:v>
      </x:c>
      <x:c r="D70" t="str">
        <x:v>sold</x:v>
      </x:c>
      <x:c r="E70" t="str">
        <x:v>pre_reserved</x:v>
      </x:c>
      <x:c r="F70" t="str">
        <x:v>sold</x:v>
      </x:c>
      <x:c r="G70" s="15"/>
      <x:c r="H70" s="15"/>
      <x:c r="I70" s="15"/>
      <x:c r="J70" t="str">
        <x:v>confirmed</x:v>
      </x:c>
      <x:c r="K70" t="str">
        <x:v>https://www.baya.btk.sk/sk/byt/601</x:v>
      </x:c>
      <x:c r="L70" t="str">
        <x:v>20260819171258940_baya_6.01_sold</x:v>
      </x:c>
    </x:row>
    <x:row r="71">
      <x:c r="A71" s="11" t="n">
        <x:v>46253.71734884259</x:v>
      </x:c>
      <x:c r="B71" t="str">
        <x:v>BAYA</x:v>
      </x:c>
      <x:c r="C71" t="str">
        <x:v>7.03</x:v>
      </x:c>
      <x:c r="D71" t="str">
        <x:v>sold</x:v>
      </x:c>
      <x:c r="E71" t="str">
        <x:v>pre_reserved</x:v>
      </x:c>
      <x:c r="F71" t="str">
        <x:v>sold</x:v>
      </x:c>
      <x:c r="G71" s="15"/>
      <x:c r="H71" s="15"/>
      <x:c r="I71" s="15"/>
      <x:c r="J71" t="str">
        <x:v>confirmed</x:v>
      </x:c>
      <x:c r="K71" t="str">
        <x:v>https://www.baya.btk.sk/sk/byt/703</x:v>
      </x:c>
      <x:c r="L71" t="str">
        <x:v>20260819171258940_baya_7.03_sold</x:v>
      </x:c>
    </x:row>
    <x:row r="72">
      <x:c r="A72" s="11" t="n">
        <x:v>46253.71734884259</x:v>
      </x:c>
      <x:c r="B72" t="str">
        <x:v>BAYA</x:v>
      </x:c>
      <x:c r="C72" t="str">
        <x:v>7.16</x:v>
      </x:c>
      <x:c r="D72" t="str">
        <x:v>sold</x:v>
      </x:c>
      <x:c r="E72" t="str">
        <x:v>pre_reserved</x:v>
      </x:c>
      <x:c r="F72" t="str">
        <x:v>sold</x:v>
      </x:c>
      <x:c r="G72" s="15"/>
      <x:c r="H72" s="15"/>
      <x:c r="I72" s="15"/>
      <x:c r="J72" t="str">
        <x:v>confirmed</x:v>
      </x:c>
      <x:c r="K72" t="str">
        <x:v>https://www.baya.btk.sk/sk/byt/716</x:v>
      </x:c>
      <x:c r="L72" t="str">
        <x:v>20260819171258940_baya_7.16_sold</x:v>
      </x:c>
    </x:row>
    <x:row r="73">
      <x:c r="A73" s="11" t="n">
        <x:v>46253.71734884259</x:v>
      </x:c>
      <x:c r="B73" t="str">
        <x:v>BAYA</x:v>
      </x:c>
      <x:c r="C73" t="str">
        <x:v>7.25</x:v>
      </x:c>
      <x:c r="D73" t="str">
        <x:v>sold</x:v>
      </x:c>
      <x:c r="E73" t="str">
        <x:v>pre_reserved</x:v>
      </x:c>
      <x:c r="F73" t="str">
        <x:v>sold</x:v>
      </x:c>
      <x:c r="G73" s="15"/>
      <x:c r="H73" s="15"/>
      <x:c r="I73" s="15"/>
      <x:c r="J73" t="str">
        <x:v>confirmed</x:v>
      </x:c>
      <x:c r="K73" t="str">
        <x:v>https://www.baya.btk.sk/sk/byt/725</x:v>
      </x:c>
      <x:c r="L73" t="str">
        <x:v>20260819171258940_baya_7.25_sold</x:v>
      </x:c>
    </x:row>
    <x:row r="74">
      <x:c r="A74" s="11" t="n">
        <x:v>46253.71734884259</x:v>
      </x:c>
      <x:c r="B74" t="str">
        <x:v>Downtown Yards</x:v>
      </x:c>
      <x:c r="C74" t="str">
        <x:v>E13.10</x:v>
      </x:c>
      <x:c r="D74" t="str">
        <x:v>became_available</x:v>
      </x:c>
      <x:c r="E74" t="str">
        <x:v>pre_reserved</x:v>
      </x:c>
      <x:c r="F74" t="str">
        <x:v>available</x:v>
      </x:c>
      <x:c r="G74" s="15"/>
      <x:c r="H74" s="15"/>
      <x:c r="I74" s="15"/>
      <x:c r="J74" t="str">
        <x:v>confirmed</x:v>
      </x:c>
      <x:c r="K74" t="str">
        <x:v>https://d-y.sk/byty/e13.10/</x:v>
      </x:c>
      <x:c r="L74" t="str">
        <x:v>20260819171258940_downtown_yards_E13.10_became_available</x:v>
      </x:c>
    </x:row>
    <x:row r="75">
      <x:c r="A75" s="11" t="n">
        <x:v>46253.71734884259</x:v>
      </x:c>
      <x:c r="B75" t="str">
        <x:v>Milrose</x:v>
      </x:c>
      <x:c r="C75" t="str">
        <x:v>A10.04</x:v>
      </x:c>
      <x:c r="D75" t="str">
        <x:v>price_increased</x:v>
      </x:c>
      <x:c r="E75" t="str">
        <x:v>available</x:v>
      </x:c>
      <x:c r="F75" t="str">
        <x:v>available</x:v>
      </x:c>
      <x:c r="G75" s="15" t="n">
        <x:v>751300</x:v>
      </x:c>
      <x:c r="H75" s="15" t="n">
        <x:v>791000</x:v>
      </x:c>
      <x:c r="I75" s="15" t="n">
        <x:v>39700</x:v>
      </x:c>
      <x:c r="J75" t="str">
        <x:v>confirmed</x:v>
      </x:c>
      <x:c r="K75" t="str">
        <x:v>https://milrose.sk/byt/byt-a10-04/</x:v>
      </x:c>
      <x:c r="L75" t="str">
        <x:v>20260819171258940_milrose_A10.04_price_increased</x:v>
      </x:c>
    </x:row>
    <x:row r="76">
      <x:c r="A76" s="11" t="n">
        <x:v>46253.71734884259</x:v>
      </x:c>
      <x:c r="B76" t="str">
        <x:v>Milrose</x:v>
      </x:c>
      <x:c r="C76" t="str">
        <x:v>A12.04</x:v>
      </x:c>
      <x:c r="D76" t="str">
        <x:v>price_increased</x:v>
      </x:c>
      <x:c r="E76" t="str">
        <x:v>available</x:v>
      </x:c>
      <x:c r="F76" t="str">
        <x:v>available</x:v>
      </x:c>
      <x:c r="G76" s="15" t="n">
        <x:v>774900</x:v>
      </x:c>
      <x:c r="H76" s="15" t="n">
        <x:v>815600</x:v>
      </x:c>
      <x:c r="I76" s="15" t="n">
        <x:v>40700</x:v>
      </x:c>
      <x:c r="J76" t="str">
        <x:v>confirmed</x:v>
      </x:c>
      <x:c r="K76" t="str">
        <x:v>https://milrose.sk/byt/byt-a12-04/</x:v>
      </x:c>
      <x:c r="L76" t="str">
        <x:v>20260819171258940_milrose_A12.04_price_increased</x:v>
      </x:c>
    </x:row>
    <x:row r="77">
      <x:c r="A77" s="11" t="n">
        <x:v>46253.71734884259</x:v>
      </x:c>
      <x:c r="B77" t="str">
        <x:v>Milrose</x:v>
      </x:c>
      <x:c r="C77" t="str">
        <x:v>A12.06</x:v>
      </x:c>
      <x:c r="D77" t="str">
        <x:v>became_reserved</x:v>
      </x:c>
      <x:c r="E77" t="str">
        <x:v>available</x:v>
      </x:c>
      <x:c r="F77" t="str">
        <x:v>pre_reserved</x:v>
      </x:c>
      <x:c r="G77" s="15"/>
      <x:c r="H77" s="15"/>
      <x:c r="I77" s="15"/>
      <x:c r="J77" t="str">
        <x:v>confirmed</x:v>
      </x:c>
      <x:c r="K77" t="str">
        <x:v>https://milrose.sk/byt/byt-a12-06/</x:v>
      </x:c>
      <x:c r="L77" t="str">
        <x:v>20260819171258940_milrose_A12.06_became_reserved</x:v>
      </x:c>
    </x:row>
    <x:row r="78">
      <x:c r="A78" s="11" t="n">
        <x:v>46253.71734884259</x:v>
      </x:c>
      <x:c r="B78" t="str">
        <x:v>Milrose</x:v>
      </x:c>
      <x:c r="C78" t="str">
        <x:v>A13.01</x:v>
      </x:c>
      <x:c r="D78" t="str">
        <x:v>became_reserved</x:v>
      </x:c>
      <x:c r="E78" t="str">
        <x:v>available</x:v>
      </x:c>
      <x:c r="F78" t="str">
        <x:v>pre_reserved</x:v>
      </x:c>
      <x:c r="G78" s="15"/>
      <x:c r="H78" s="15"/>
      <x:c r="I78" s="15"/>
      <x:c r="J78" t="str">
        <x:v>confirmed</x:v>
      </x:c>
      <x:c r="K78" t="str">
        <x:v>https://milrose.sk/byt/byt-a13-01/</x:v>
      </x:c>
      <x:c r="L78" t="str">
        <x:v>20260819171258940_milrose_A13.01_became_reserved</x:v>
      </x:c>
    </x:row>
    <x:row r="79">
      <x:c r="A79" s="11" t="n">
        <x:v>46253.71734884259</x:v>
      </x:c>
      <x:c r="B79" t="str">
        <x:v>Milrose</x:v>
      </x:c>
      <x:c r="C79" t="str">
        <x:v>A13.06</x:v>
      </x:c>
      <x:c r="D79" t="str">
        <x:v>price_increased</x:v>
      </x:c>
      <x:c r="E79" t="str">
        <x:v>available</x:v>
      </x:c>
      <x:c r="F79" t="str">
        <x:v>available</x:v>
      </x:c>
      <x:c r="G79" s="15" t="n">
        <x:v>328000</x:v>
      </x:c>
      <x:c r="H79" s="15" t="n">
        <x:v>338200</x:v>
      </x:c>
      <x:c r="I79" s="15" t="n">
        <x:v>10200</x:v>
      </x:c>
      <x:c r="J79" t="str">
        <x:v>confirmed</x:v>
      </x:c>
      <x:c r="K79" t="str">
        <x:v>https://milrose.sk/byt/byt-a13-06/</x:v>
      </x:c>
      <x:c r="L79" t="str">
        <x:v>20260819171258940_milrose_A13.06_price_increased</x:v>
      </x:c>
    </x:row>
    <x:row r="80">
      <x:c r="A80" s="11" t="n">
        <x:v>46253.71734884259</x:v>
      </x:c>
      <x:c r="B80" t="str">
        <x:v>Milrose</x:v>
      </x:c>
      <x:c r="C80" t="str">
        <x:v>A8.04</x:v>
      </x:c>
      <x:c r="D80" t="str">
        <x:v>became_available</x:v>
      </x:c>
      <x:c r="E80" t="str">
        <x:v>pre_reserved</x:v>
      </x:c>
      <x:c r="F80" t="str">
        <x:v>available</x:v>
      </x:c>
      <x:c r="G80" s="15"/>
      <x:c r="H80" s="15"/>
      <x:c r="I80" s="15"/>
      <x:c r="J80" t="str">
        <x:v>confirmed</x:v>
      </x:c>
      <x:c r="K80" t="str">
        <x:v>https://milrose.sk/byt/byt-a8-04/</x:v>
      </x:c>
      <x:c r="L80" t="str">
        <x:v>20260819171258940_milrose_A8.04_became_available</x:v>
      </x:c>
    </x:row>
    <x:row r="81">
      <x:c r="A81" s="11" t="n">
        <x:v>46253.71734884259</x:v>
      </x:c>
      <x:c r="B81" t="str">
        <x:v>Milrose</x:v>
      </x:c>
      <x:c r="C81" t="str">
        <x:v>B11.06</x:v>
      </x:c>
      <x:c r="D81" t="str">
        <x:v>price_increased</x:v>
      </x:c>
      <x:c r="E81" t="str">
        <x:v>available</x:v>
      </x:c>
      <x:c r="F81" t="str">
        <x:v>available</x:v>
      </x:c>
      <x:c r="G81" s="15" t="n">
        <x:v>479400</x:v>
      </x:c>
      <x:c r="H81" s="15" t="n">
        <x:v>499400</x:v>
      </x:c>
      <x:c r="I81" s="15" t="n">
        <x:v>20000</x:v>
      </x:c>
      <x:c r="J81" t="str">
        <x:v>confirmed</x:v>
      </x:c>
      <x:c r="K81" t="str">
        <x:v>https://milrose.sk/byt/byt-b11-06/</x:v>
      </x:c>
      <x:c r="L81" t="str">
        <x:v>20260819171258940_milrose_B11.06_price_increased</x:v>
      </x:c>
    </x:row>
    <x:row r="82">
      <x:c r="A82" s="11" t="n">
        <x:v>46253.71734884259</x:v>
      </x:c>
      <x:c r="B82" t="str">
        <x:v>Milrose</x:v>
      </x:c>
      <x:c r="C82" t="str">
        <x:v>B12.06</x:v>
      </x:c>
      <x:c r="D82" t="str">
        <x:v>price_increased</x:v>
      </x:c>
      <x:c r="E82" t="str">
        <x:v>available</x:v>
      </x:c>
      <x:c r="F82" t="str">
        <x:v>available</x:v>
      </x:c>
      <x:c r="G82" s="15" t="n">
        <x:v>477100</x:v>
      </x:c>
      <x:c r="H82" s="15" t="n">
        <x:v>497100</x:v>
      </x:c>
      <x:c r="I82" s="15" t="n">
        <x:v>20000</x:v>
      </x:c>
      <x:c r="J82" t="str">
        <x:v>confirmed</x:v>
      </x:c>
      <x:c r="K82" t="str">
        <x:v>https://milrose.sk/byt/byt-b12-06/</x:v>
      </x:c>
      <x:c r="L82" t="str">
        <x:v>20260819171258940_milrose_B12.06_price_increased</x:v>
      </x:c>
    </x:row>
    <x:row r="83">
      <x:c r="A83" s="11" t="n">
        <x:v>46253.71734884259</x:v>
      </x:c>
      <x:c r="B83" t="str">
        <x:v>Milrose</x:v>
      </x:c>
      <x:c r="C83" t="str">
        <x:v>B13.06</x:v>
      </x:c>
      <x:c r="D83" t="str">
        <x:v>price_increased</x:v>
      </x:c>
      <x:c r="E83" t="str">
        <x:v>available</x:v>
      </x:c>
      <x:c r="F83" t="str">
        <x:v>available</x:v>
      </x:c>
      <x:c r="G83" s="15" t="n">
        <x:v>483000</x:v>
      </x:c>
      <x:c r="H83" s="15" t="n">
        <x:v>503100</x:v>
      </x:c>
      <x:c r="I83" s="15" t="n">
        <x:v>20100</x:v>
      </x:c>
      <x:c r="J83" t="str">
        <x:v>confirmed</x:v>
      </x:c>
      <x:c r="K83" t="str">
        <x:v>https://milrose.sk/byt/byt-b13-06/</x:v>
      </x:c>
      <x:c r="L83" t="str">
        <x:v>20260819171258940_milrose_B13.06_price_increased</x:v>
      </x:c>
    </x:row>
    <x:row r="84">
      <x:c r="A84" s="11" t="n">
        <x:v>46253.71734884259</x:v>
      </x:c>
      <x:c r="B84" t="str">
        <x:v>Milrose</x:v>
      </x:c>
      <x:c r="C84" t="str">
        <x:v>C12.05</x:v>
      </x:c>
      <x:c r="D84" t="str">
        <x:v>price_increased</x:v>
      </x:c>
      <x:c r="E84" t="str">
        <x:v>available</x:v>
      </x:c>
      <x:c r="F84" t="str">
        <x:v>available</x:v>
      </x:c>
      <x:c r="G84" s="15" t="n">
        <x:v>640800</x:v>
      </x:c>
      <x:c r="H84" s="15" t="n">
        <x:v>674600</x:v>
      </x:c>
      <x:c r="I84" s="15" t="n">
        <x:v>33800</x:v>
      </x:c>
      <x:c r="J84" t="str">
        <x:v>confirmed</x:v>
      </x:c>
      <x:c r="K84" t="str">
        <x:v>https://milrose.sk/byt/byt-c12-05/</x:v>
      </x:c>
      <x:c r="L84" t="str">
        <x:v>20260819171258940_milrose_C12.05_price_increased</x:v>
      </x:c>
    </x:row>
    <x:row r="85">
      <x:c r="A85" s="11" t="n">
        <x:v>46253.71734884259</x:v>
      </x:c>
      <x:c r="B85" t="str">
        <x:v>Milrose</x:v>
      </x:c>
      <x:c r="C85" t="str">
        <x:v>C13.04</x:v>
      </x:c>
      <x:c r="D85" t="str">
        <x:v>price_increased</x:v>
      </x:c>
      <x:c r="E85" t="str">
        <x:v>available</x:v>
      </x:c>
      <x:c r="F85" t="str">
        <x:v>available</x:v>
      </x:c>
      <x:c r="G85" s="15" t="n">
        <x:v>340500</x:v>
      </x:c>
      <x:c r="H85" s="15" t="n">
        <x:v>352900</x:v>
      </x:c>
      <x:c r="I85" s="15" t="n">
        <x:v>12400</x:v>
      </x:c>
      <x:c r="J85" t="str">
        <x:v>confirmed</x:v>
      </x:c>
      <x:c r="K85" t="str">
        <x:v>https://milrose.sk/byt/byt-c13-04/</x:v>
      </x:c>
      <x:c r="L85" t="str">
        <x:v>20260819171258940_milrose_C13.04_price_increased</x:v>
      </x:c>
    </x:row>
    <x:row r="86">
      <x:c r="A86" s="11" t="n">
        <x:v>46253.71734884259</x:v>
      </x:c>
      <x:c r="B86" t="str">
        <x:v>Milrose</x:v>
      </x:c>
      <x:c r="C86" t="str">
        <x:v>C13.05</x:v>
      </x:c>
      <x:c r="D86" t="str">
        <x:v>price_increased</x:v>
      </x:c>
      <x:c r="E86" t="str">
        <x:v>available</x:v>
      </x:c>
      <x:c r="F86" t="str">
        <x:v>available</x:v>
      </x:c>
      <x:c r="G86" s="15" t="n">
        <x:v>648300</x:v>
      </x:c>
      <x:c r="H86" s="15" t="n">
        <x:v>682400</x:v>
      </x:c>
      <x:c r="I86" s="15" t="n">
        <x:v>34100</x:v>
      </x:c>
      <x:c r="J86" t="str">
        <x:v>confirmed</x:v>
      </x:c>
      <x:c r="K86" t="str">
        <x:v>https://milrose.sk/byt/byt-c13-05/</x:v>
      </x:c>
      <x:c r="L86" t="str">
        <x:v>20260819171258940_milrose_C13.05_price_increased</x:v>
      </x:c>
    </x:row>
    <x:row r="87">
      <x:c r="A87" s="11" t="n">
        <x:v>46253.71734884259</x:v>
      </x:c>
      <x:c r="B87" t="str">
        <x:v>Milrose</x:v>
      </x:c>
      <x:c r="C87" t="str">
        <x:v>C14.02</x:v>
      </x:c>
      <x:c r="D87" t="str">
        <x:v>sold</x:v>
      </x:c>
      <x:c r="E87" t="str">
        <x:v>pre_reserved</x:v>
      </x:c>
      <x:c r="F87" t="str">
        <x:v>sold</x:v>
      </x:c>
      <x:c r="G87" s="15"/>
      <x:c r="H87" s="15"/>
      <x:c r="I87" s="15"/>
      <x:c r="J87" t="str">
        <x:v>confirmed</x:v>
      </x:c>
      <x:c r="K87" t="str">
        <x:v>https://milrose.sk/byt/byt-c14-02/</x:v>
      </x:c>
      <x:c r="L87" t="str">
        <x:v>20260819171258940_milrose_C14.02_sold</x:v>
      </x:c>
    </x:row>
    <x:row r="88">
      <x:c r="A88" s="11" t="n">
        <x:v>46253.71734884259</x:v>
      </x:c>
      <x:c r="B88" t="str">
        <x:v>Milrose</x:v>
      </x:c>
      <x:c r="C88" t="str">
        <x:v>C14.04</x:v>
      </x:c>
      <x:c r="D88" t="str">
        <x:v>price_increased</x:v>
      </x:c>
      <x:c r="E88" t="str">
        <x:v>available</x:v>
      </x:c>
      <x:c r="F88" t="str">
        <x:v>available</x:v>
      </x:c>
      <x:c r="G88" s="15" t="n">
        <x:v>344700</x:v>
      </x:c>
      <x:c r="H88" s="15" t="n">
        <x:v>358200</x:v>
      </x:c>
      <x:c r="I88" s="15" t="n">
        <x:v>13500</x:v>
      </x:c>
      <x:c r="J88" t="str">
        <x:v>confirmed</x:v>
      </x:c>
      <x:c r="K88" t="str">
        <x:v>https://milrose.sk/byt/byt-c14-04/</x:v>
      </x:c>
      <x:c r="L88" t="str">
        <x:v>20260819171258940_milrose_C14.04_price_increased</x:v>
      </x:c>
    </x:row>
    <x:row r="89">
      <x:c r="A89" s="11" t="n">
        <x:v>46253.71734884259</x:v>
      </x:c>
      <x:c r="B89" t="str">
        <x:v>Milrose</x:v>
      </x:c>
      <x:c r="C89" t="str">
        <x:v>C14.05</x:v>
      </x:c>
      <x:c r="D89" t="str">
        <x:v>price_increased</x:v>
      </x:c>
      <x:c r="E89" t="str">
        <x:v>available</x:v>
      </x:c>
      <x:c r="F89" t="str">
        <x:v>available</x:v>
      </x:c>
      <x:c r="G89" s="15" t="n">
        <x:v>645700</x:v>
      </x:c>
      <x:c r="H89" s="15" t="n">
        <x:v>679800</x:v>
      </x:c>
      <x:c r="I89" s="15" t="n">
        <x:v>34100</x:v>
      </x:c>
      <x:c r="J89" t="str">
        <x:v>confirmed</x:v>
      </x:c>
      <x:c r="K89" t="str">
        <x:v>https://milrose.sk/byt/byt-c14-05/</x:v>
      </x:c>
      <x:c r="L89" t="str">
        <x:v>20260819171258940_milrose_C14.05_price_increased</x:v>
      </x:c>
    </x:row>
    <x:row r="90">
      <x:c r="A90" s="11" t="n">
        <x:v>46253.71734884259</x:v>
      </x:c>
      <x:c r="B90" t="str">
        <x:v>Milrose</x:v>
      </x:c>
      <x:c r="C90" t="str">
        <x:v>C16.05</x:v>
      </x:c>
      <x:c r="D90" t="str">
        <x:v>price_increased</x:v>
      </x:c>
      <x:c r="E90" t="str">
        <x:v>available</x:v>
      </x:c>
      <x:c r="F90" t="str">
        <x:v>available</x:v>
      </x:c>
      <x:c r="G90" s="15" t="n">
        <x:v>662100</x:v>
      </x:c>
      <x:c r="H90" s="15" t="n">
        <x:v>697000</x:v>
      </x:c>
      <x:c r="I90" s="15" t="n">
        <x:v>34900</x:v>
      </x:c>
      <x:c r="J90" t="str">
        <x:v>confirmed</x:v>
      </x:c>
      <x:c r="K90" t="str">
        <x:v>https://milrose.sk/byt/byt-c16-05/</x:v>
      </x:c>
      <x:c r="L90" t="str">
        <x:v>20260819171258940_milrose_C16.05_price_increased</x:v>
      </x:c>
    </x:row>
    <x:row r="91">
      <x:c r="A91" s="11" t="n">
        <x:v>46253.71734884259</x:v>
      </x:c>
      <x:c r="B91" t="str">
        <x:v>Milrose</x:v>
      </x:c>
      <x:c r="C91" t="str">
        <x:v>C7.04</x:v>
      </x:c>
      <x:c r="D91" t="str">
        <x:v>price_increased</x:v>
      </x:c>
      <x:c r="E91" t="str">
        <x:v>available</x:v>
      </x:c>
      <x:c r="F91" t="str">
        <x:v>available</x:v>
      </x:c>
      <x:c r="G91" s="15" t="n">
        <x:v>326200</x:v>
      </x:c>
      <x:c r="H91" s="15" t="n">
        <x:v>338100</x:v>
      </x:c>
      <x:c r="I91" s="15" t="n">
        <x:v>11900</x:v>
      </x:c>
      <x:c r="J91" t="str">
        <x:v>confirmed</x:v>
      </x:c>
      <x:c r="K91" t="str">
        <x:v>https://milrose.sk/byt/byt-c7-04/</x:v>
      </x:c>
      <x:c r="L91" t="str">
        <x:v>20260819171258940_milrose_C7.04_price_increased</x:v>
      </x:c>
    </x:row>
    <x:row r="92">
      <x:c r="A92" s="11" t="n">
        <x:v>46253.71734884259</x:v>
      </x:c>
      <x:c r="B92" t="str">
        <x:v>Milrose</x:v>
      </x:c>
      <x:c r="C92" t="str">
        <x:v>C9.04</x:v>
      </x:c>
      <x:c r="D92" t="str">
        <x:v>price_increased</x:v>
      </x:c>
      <x:c r="E92" t="str">
        <x:v>available</x:v>
      </x:c>
      <x:c r="F92" t="str">
        <x:v>available</x:v>
      </x:c>
      <x:c r="G92" s="15" t="n">
        <x:v>329100</x:v>
      </x:c>
      <x:c r="H92" s="15" t="n">
        <x:v>341100</x:v>
      </x:c>
      <x:c r="I92" s="15" t="n">
        <x:v>12000</x:v>
      </x:c>
      <x:c r="J92" t="str">
        <x:v>confirmed</x:v>
      </x:c>
      <x:c r="K92" t="str">
        <x:v>https://milrose.sk/byt/byt-c9-04/</x:v>
      </x:c>
      <x:c r="L92" t="str">
        <x:v>20260819171258940_milrose_C9.04_price_increased</x:v>
      </x:c>
    </x:row>
    <x:row r="93">
      <x:c r="A93" s="11" t="n">
        <x:v>46254.5117484375</x:v>
      </x:c>
      <x:c r="B93" t="str">
        <x:v>Jašik Ružinov</x:v>
      </x:c>
      <x:c r="C93" t="str">
        <x:v>B6.3</x:v>
      </x:c>
      <x:c r="D93" t="str">
        <x:v>became_available</x:v>
      </x:c>
      <x:c r="E93" t="str">
        <x:v>sold</x:v>
      </x:c>
      <x:c r="F93" t="str">
        <x:v>available</x:v>
      </x:c>
      <x:c r="G93" s="15"/>
      <x:c r="H93" s="15"/>
      <x:c r="I93" s="15"/>
      <x:c r="J93" t="str">
        <x:v>confirmed</x:v>
      </x:c>
      <x:c r="K93" t="str">
        <x:v>https://jasikruzinov.sk/ponuka-bytov/b6-3</x:v>
      </x:c>
      <x:c r="L93" t="str">
        <x:v>20260820121655065_jasik_ruzinov_B6.3_became_available</x:v>
      </x:c>
    </x:row>
    <x:row r="94">
      <x:c r="A94" s="11" t="n">
        <x:v>46254.5117484375</x:v>
      </x:c>
      <x:c r="B94" t="str">
        <x:v>Jašik Ružinov</x:v>
      </x:c>
      <x:c r="C94" t="str">
        <x:v>B6.3</x:v>
      </x:c>
      <x:c r="D94" t="str">
        <x:v>price_published</x:v>
      </x:c>
      <x:c r="E94" t="str">
        <x:v>sold</x:v>
      </x:c>
      <x:c r="F94" t="str">
        <x:v>available</x:v>
      </x:c>
      <x:c r="G94" s="15"/>
      <x:c r="H94" s="15" t="n">
        <x:v>415740</x:v>
      </x:c>
      <x:c r="I94" s="15"/>
      <x:c r="J94" t="str">
        <x:v>confirmed</x:v>
      </x:c>
      <x:c r="K94" t="str">
        <x:v>https://jasikruzinov.sk/ponuka-bytov/b6-3</x:v>
      </x:c>
      <x:c r="L94" t="str">
        <x:v>20260820121655065_jasik_ruzinov_B6.3_price_published</x:v>
      </x:c>
    </x:row>
    <x:row r="95">
      <x:c r="A95" s="11" t="n">
        <x:v>46254.5117484375</x:v>
      </x:c>
      <x:c r="B95" t="str">
        <x:v>NUPPU</x:v>
      </x:c>
      <x:c r="C95" t="str">
        <x:v>O142</x:v>
      </x:c>
      <x:c r="D95" t="str">
        <x:v>became_reserved</x:v>
      </x:c>
      <x:c r="E95" t="str">
        <x:v>available</x:v>
      </x:c>
      <x:c r="F95" t="str">
        <x:v>reserved</x:v>
      </x:c>
      <x:c r="G95" s="15"/>
      <x:c r="H95" s="15"/>
      <x:c r="I95" s="15"/>
      <x:c r="J95" t="str">
        <x:v>confirmed</x:v>
      </x:c>
      <x:c r="K95" t="str">
        <x:v>https://www.yit.sk/predaj-bytov/bratislava/ruzinov/nuppu/nuppu-magnolia-4/pdsk105718</x:v>
      </x:c>
      <x:c r="L95" t="str">
        <x:v>20260820121655065_nuppu_O142_became_reserved</x:v>
      </x:c>
    </x:row>
    <x:row r="96">
      <x:c r="A96" s="11" t="n">
        <x:v>46254.5117484375</x:v>
      </x:c>
      <x:c r="B96" t="str">
        <x:v>ALVY</x:v>
      </x:c>
      <x:c r="C96" t="str">
        <x:v>9.b.04</x:v>
      </x:c>
      <x:c r="D96" t="str">
        <x:v>became_available</x:v>
      </x:c>
      <x:c r="E96" t="str">
        <x:v>pre_reserved</x:v>
      </x:c>
      <x:c r="F96" t="str">
        <x:v>available</x:v>
      </x:c>
      <x:c r="G96" s="15"/>
      <x:c r="H96" s="15"/>
      <x:c r="I96" s="15"/>
      <x:c r="J96" t="str">
        <x:v>confirmed</x:v>
      </x:c>
      <x:c r="K96" t="str">
        <x:v>https://www.alvy.sk/byt/9-b-04</x:v>
      </x:c>
      <x:c r="L96" t="str">
        <x:v>20260820121655065_alvy_9.b.04_became_available</x:v>
      </x:c>
    </x:row>
    <x:row r="97">
      <x:c r="A97" s="11" t="n">
        <x:v>46254.5117484375</x:v>
      </x:c>
      <x:c r="B97" t="str">
        <x:v>Milrose</x:v>
      </x:c>
      <x:c r="C97" t="str">
        <x:v>A2.06</x:v>
      </x:c>
      <x:c r="D97" t="str">
        <x:v>sold</x:v>
      </x:c>
      <x:c r="E97" t="str">
        <x:v>reserved</x:v>
      </x:c>
      <x:c r="F97" t="str">
        <x:v>sold</x:v>
      </x:c>
      <x:c r="G97" s="15"/>
      <x:c r="H97" s="15"/>
      <x:c r="I97" s="15"/>
      <x:c r="J97" t="str">
        <x:v>confirmed</x:v>
      </x:c>
      <x:c r="K97" t="str">
        <x:v>https://milrose.sk/byt/byt-a2-06/</x:v>
      </x:c>
      <x:c r="L97" t="str">
        <x:v>20260820121655065_milrose_A2.06_sold</x:v>
      </x:c>
    </x:row>
  </x:sheetData>
  <x:mergeCells>
    <x:mergeCell ref="A1:L1"/>
    <x:mergeCell ref="A2:L2"/>
  </x:mergeCells>
  <x:conditionalFormatting sqref="D5:D97">
    <x:cfRule type="containsText" dxfId="7" priority="1" operator="containsText" text="price_decreased"/>
    <x:cfRule type="containsText" dxfId="8" priority="2" operator="containsText" text="price_increased"/>
    <x:cfRule type="containsText" dxfId="9" priority="3" operator="containsText" text="sold"/>
  </x:conditionalFormatting>
  <x:pageMargins left="0.7" right="0.7" top="0.75" bottom="0.75" header="0.3" footer="0.3"/>
  <x:tableParts count="1">
    <x:tablePart xmlns:r="http://schemas.openxmlformats.org/officeDocument/2006/relationships" r:id="R561f765628534b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9" hidden="0" customWidth="1"/>
    <x:col min="4" max="4" width="15" hidden="0" customWidth="1"/>
    <x:col min="5" max="5" width="28" hidden="0" customWidth="1"/>
    <x:col min="6" max="6" width="55" hidden="0" customWidth="1"/>
    <x:col min="7" max="7" width="18" hidden="0" customWidth="1"/>
    <x:col min="8" max="8" width="20" hidden="0" customWidth="1"/>
  </x:cols>
  <x:sheetData>
    <x:row r="1" ht="38" customHeight="1">
      <x:c r="A1" s="3" t="str">
        <x:v>Náročnosť scraperov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Relatívne skóre 1–5: 1 = stabilný jednoduchý zdroj, 5 = krehký zdroj vyžadujúci prehliadač alebo ochranné obchádzky.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38" t="str">
        <x:v>Projekt</x:v>
      </x:c>
      <x:c r="B4" s="138" t="str">
        <x:v>Developer</x:v>
      </x:c>
      <x:c r="C4" s="138" t="str">
        <x:v>Skóre</x:v>
      </x:c>
      <x:c r="D4" s="138" t="str">
        <x:v>Hodnotenie</x:v>
      </x:c>
      <x:c r="E4" s="138" t="str">
        <x:v>Zdroj dát</x:v>
      </x:c>
      <x:c r="F4" s="138" t="str">
        <x:v>Prečo</x:v>
      </x:c>
      <x:c r="G4" s="138" t="str">
        <x:v>Riziko údržby</x:v>
      </x:c>
      <x:c r="H4" s="138" t="str">
        <x:v>Odhad nového parsera</x:v>
      </x:c>
    </x:row>
    <x:row r="5" ht="36" customHeight="1">
      <x:c r="A5" s="144" t="str">
        <x:v>ALVY</x:v>
      </x:c>
      <x:c r="B5" s="144" t="str">
        <x:v>Alto Real Estate</x:v>
      </x:c>
      <x:c r="C5" s="145" t="n">
        <x:v>1</x:v>
      </x:c>
      <x:c r="D5" s="144" t="str">
        <x:v>Veľmi ľahké</x:v>
      </x:c>
      <x:c r="E5" s="144" t="str">
        <x:v>Čistý JSON endpoint</x:v>
      </x:c>
      <x:c r="F5" s="144" t="str">
        <x:v>Jedna malá odpoveď so stabilnými pomenovanými poľami.</x:v>
      </x:c>
      <x:c r="G5" s="144" t="str">
        <x:v>Nízke</x:v>
      </x:c>
      <x:c r="H5" s="144" t="str">
        <x:v>15–30 min</x:v>
      </x:c>
    </x:row>
    <x:row r="6" ht="36" customHeight="1">
      <x:c r="A6" s="144" t="str">
        <x:v>Mýtna 37</x:v>
      </x:c>
      <x:c r="B6" s="144" t="str">
        <x:v>EDVIN Properties</x:v>
      </x:c>
      <x:c r="C6" s="145" t="n">
        <x:v>1</x:v>
      </x:c>
      <x:c r="D6" s="144" t="str">
        <x:v>Veľmi ľahké</x:v>
      </x:c>
      <x:c r="E6" s="144" t="str">
        <x:v>REST JSON API</x:v>
      </x:c>
      <x:c r="F6" s="144" t="str">
        <x:v>Všetkých 69 jednotiek v jednom verejnom endpointe.</x:v>
      </x:c>
      <x:c r="G6" s="144" t="str">
        <x:v>Nízke</x:v>
      </x:c>
      <x:c r="H6" s="144" t="str">
        <x:v>15–30 min</x:v>
      </x:c>
    </x:row>
    <x:row r="7" ht="36" customHeight="1">
      <x:c r="A7" s="144" t="str">
        <x:v>BAYA</x:v>
      </x:c>
      <x:c r="B7" s="144" t="str">
        <x:v>BTK</x:v>
      </x:c>
      <x:c r="C7" s="145" t="n">
        <x:v>2</x:v>
      </x:c>
      <x:c r="D7" s="144" t="str">
        <x:v>Ľahké</x:v>
      </x:c>
      <x:c r="E7" s="144" t="str">
        <x:v>JSON vložený do HTML</x:v>
      </x:c>
      <x:c r="F7" s="144" t="str">
        <x:v>Kompletné pole window.BYTY na jednej stránke.</x:v>
      </x:c>
      <x:c r="G7" s="144" t="str">
        <x:v>Nízke–stredné</x:v>
      </x:c>
      <x:c r="H7" s="144" t="str">
        <x:v>30–60 min</x:v>
      </x:c>
    </x:row>
    <x:row r="8" ht="36" customHeight="1">
      <x:c r="A8" s="144" t="str">
        <x:v>Galvania Rezidencie</x:v>
      </x:c>
      <x:c r="B8" s="144" t="str">
        <x:v>Tatra Real</x:v>
      </x:c>
      <x:c r="C8" s="145" t="n">
        <x:v>2</x:v>
      </x:c>
      <x:c r="D8" s="144" t="str">
        <x:v>Ľahké</x:v>
      </x:c>
      <x:c r="E8" s="144" t="str">
        <x:v>HTML tabuľka</x:v>
      </x:c>
      <x:c r="F8" s="144" t="str">
        <x:v>Stabilné riadky pluginu, závislé od CSS tried.</x:v>
      </x:c>
      <x:c r="G8" s="144" t="str">
        <x:v>Stredné</x:v>
      </x:c>
      <x:c r="H8" s="144" t="str">
        <x:v>30–60 min</x:v>
      </x:c>
    </x:row>
    <x:row r="9" ht="36" customHeight="1">
      <x:c r="A9" s="144" t="str">
        <x:v>Jašik Ružinov</x:v>
      </x:c>
      <x:c r="B9" s="144" t="str">
        <x:v>CRESCO Real Estate</x:v>
      </x:c>
      <x:c r="C9" s="145" t="n">
        <x:v>2</x:v>
      </x:c>
      <x:c r="D9" s="144" t="str">
        <x:v>Ľahké</x:v>
      </x:c>
      <x:c r="E9" s="144" t="str">
        <x:v>HTML karty</x:v>
      </x:c>
      <x:c r="F9" s="144" t="str">
        <x:v>Jedna stránka; hodnoty sú uložené pozične.</x:v>
      </x:c>
      <x:c r="G9" s="144" t="str">
        <x:v>Stredné</x:v>
      </x:c>
      <x:c r="H9" s="144" t="str">
        <x:v>30–60 min</x:v>
      </x:c>
    </x:row>
    <x:row r="10" ht="36" customHeight="1">
      <x:c r="A10" s="144" t="str">
        <x:v>Tíšiny</x:v>
      </x:c>
      <x:c r="B10" s="144" t="str">
        <x:v>CRESCO Real Estate</x:v>
      </x:c>
      <x:c r="C10" s="145" t="n">
        <x:v>2</x:v>
      </x:c>
      <x:c r="D10" s="144" t="str">
        <x:v>Ľahké</x:v>
      </x:c>
      <x:c r="E10" s="144" t="str">
        <x:v>HTML tabuľka</x:v>
      </x:c>
      <x:c r="F10" s="144" t="str">
        <x:v>38 zverejnených jednotiek v jednom prehľadnom table.</x:v>
      </x:c>
      <x:c r="G10" s="144" t="str">
        <x:v>Stredné</x:v>
      </x:c>
      <x:c r="H10" s="144" t="str">
        <x:v>30–60 min</x:v>
      </x:c>
    </x:row>
    <x:row r="11" ht="36" customHeight="1">
      <x:c r="A11" s="144" t="str">
        <x:v>Kvarter</x:v>
      </x:c>
      <x:c r="B11" s="144" t="str">
        <x:v>Immocap</x:v>
      </x:c>
      <x:c r="C11" s="145" t="n">
        <x:v>3</x:v>
      </x:c>
      <x:c r="D11" s="144" t="str">
        <x:v>Stredné</x:v>
      </x:c>
      <x:c r="E11" s="144" t="str">
        <x:v>HTML + JS fallback</x:v>
      </x:c>
      <x:c r="F11" s="144" t="str">
        <x:v>Dve parserové cesty zvyšujú robustnosť aj údržbu.</x:v>
      </x:c>
      <x:c r="G11" s="144" t="str">
        <x:v>Stredné</x:v>
      </x:c>
      <x:c r="H11" s="144" t="str">
        <x:v>1–2 h</x:v>
      </x:c>
    </x:row>
    <x:row r="12" ht="36" customHeight="1">
      <x:c r="A12" s="144" t="str">
        <x:v>Slnečná Strana</x:v>
      </x:c>
      <x:c r="B12" s="144" t="str">
        <x:v>—</x:v>
      </x:c>
      <x:c r="C12" s="145" t="n">
        <x:v>3</x:v>
      </x:c>
      <x:c r="D12" s="144" t="str">
        <x:v>Stredné</x:v>
      </x:c>
      <x:c r="E12" s="144" t="str">
        <x:v>WordPress HTML tabuľka</x:v>
      </x:c>
      <x:c r="F12" s="144" t="str">
        <x:v>Veľa pozičných stĺpcov a dve možné ceny.</x:v>
      </x:c>
      <x:c r="G12" s="144" t="str">
        <x:v>Stredné</x:v>
      </x:c>
      <x:c r="H12" s="144" t="str">
        <x:v>1–2 h</x:v>
      </x:c>
    </x:row>
    <x:row r="13" ht="36" customHeight="1">
      <x:c r="A13" s="144" t="str">
        <x:v>Milrose</x:v>
      </x:c>
      <x:c r="B13" s="144" t="str">
        <x:v>INTRADE Group</x:v>
      </x:c>
      <x:c r="C13" s="145" t="n">
        <x:v>3</x:v>
      </x:c>
      <x:c r="D13" s="144" t="str">
        <x:v>Stredné</x:v>
      </x:c>
      <x:c r="E13" s="144" t="str">
        <x:v>Veľký HTML + vložený JSON</x:v>
      </x:c>
      <x:c r="F13" s="144" t="str">
        <x:v>Približne 2,2 MB; duplicitné kľúče a iba vydaná časť projektu.</x:v>
      </x:c>
      <x:c r="G13" s="144" t="str">
        <x:v>Stredné–vyššie</x:v>
      </x:c>
      <x:c r="H13" s="144" t="str">
        <x:v>1–2 h</x:v>
      </x:c>
    </x:row>
    <x:row r="14" ht="36" customHeight="1">
      <x:c r="A14" s="144" t="str">
        <x:v>Downtown Yards</x:v>
      </x:c>
      <x:c r="B14" s="144" t="str">
        <x:v>JTRE</x:v>
      </x:c>
      <x:c r="C14" s="145" t="n">
        <x:v>4</x:v>
      </x:c>
      <x:c r="D14" s="144" t="str">
        <x:v>Náročné</x:v>
      </x:c>
      <x:c r="E14" s="144" t="str">
        <x:v>Veľký HTML + dve dátové vrstvy</x:v>
      </x:c>
      <x:c r="F14" s="144" t="str">
        <x:v>Približne 1,1 MB; 507 mapových jednotiek a samostatná cenová tabuľka.</x:v>
      </x:c>
      <x:c r="G14" s="144" t="str">
        <x:v>Vyššie</x:v>
      </x:c>
      <x:c r="H14" s="144" t="str">
        <x:v>2–4 h</x:v>
      </x:c>
    </x:row>
    <x:row r="15" ht="36" customHeight="1">
      <x:c r="A15" s="144" t="str">
        <x:v>NUPPU</x:v>
      </x:c>
      <x:c r="B15" s="144" t="str">
        <x:v>YIT Slovakia</x:v>
      </x:c>
      <x:c r="C15" s="145" t="n">
        <x:v>4</x:v>
      </x:c>
      <x:c r="D15" s="144" t="str">
        <x:v>Náročné</x:v>
      </x:c>
      <x:c r="E15" s="144" t="str">
        <x:v>POST vyhľadávacie API</x:v>
      </x:c>
      <x:c r="F15" s="144" t="str">
        <x:v>Vnorený filter, interné ID oblasti a iba publikované jednotky.</x:v>
      </x:c>
      <x:c r="G15" s="144" t="str">
        <x:v>Vyššie</x:v>
      </x:c>
      <x:c r="H15" s="144" t="str">
        <x:v>2–4 h</x:v>
      </x:c>
    </x:row>
  </x:sheetData>
  <x:mergeCells>
    <x:mergeCell ref="A1:H1"/>
    <x:mergeCell ref="A2:H2"/>
  </x:mergeCells>
  <x:conditionalFormatting sqref="C5:C15">
    <x:cfRule type="cellIs" dxfId="10" priority="1" operator="lessThanOrEqual">
      <x:formula>2</x:formula>
    </x:cfRule>
    <x:cfRule type="cellIs" dxfId="11" priority="2" operator="equal">
      <x:formula>3</x:formula>
    </x:cfRule>
    <x:cfRule type="cellIs" dxfId="12" priority="3" operator="greaterThanOrEqual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473c4371f94d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8" customHeight="1">
      <x:c r="A1" s="3" t="str">
        <x:v>Ako obnoviť dáta</x:v>
      </x:c>
      <x:c r="B1" s="3"/>
      <x:c r="C1" s="3"/>
      <x:c r="D1" s="3"/>
      <x:c r="E1" s="3"/>
      <x:c r="F1" s="3"/>
    </x:row>
    <x:row r="2" ht="26" customHeight="1">
      <x:c r="A2" s="6" t="str">
        <x:v>Excel sa vždy nanovo vytvorí z aktuálnych CSV súborov, takže ručné kopírovanie nie je potrebné.</x:v>
      </x:c>
      <x:c r="B2" s="6"/>
      <x:c r="C2" s="6"/>
      <x:c r="D2" s="6"/>
      <x:c r="E2" s="6"/>
      <x:c r="F2" s="6"/>
    </x:row>
    <x:row r="4" ht="28" customHeight="1">
      <x:c r="A4" s="117" t="str">
        <x:v>Bežný denný postup</x:v>
      </x:c>
      <x:c r="B4" s="117"/>
      <x:c r="C4" s="117"/>
      <x:c r="D4" s="117"/>
      <x:c r="E4" s="117"/>
      <x:c r="F4" s="117"/>
    </x:row>
    <x:row r="5" ht="30" customHeight="1">
      <x:c r="A5" s="147" t="str">
        <x:v>1. Spustite spusti-developerske-projekty.bat v hlavnom priečinku.</x:v>
      </x:c>
      <x:c r="B5" s="147"/>
      <x:c r="C5" s="147"/>
      <x:c r="D5" s="147"/>
      <x:c r="E5" s="147"/>
      <x:c r="F5" s="147"/>
    </x:row>
    <x:row r="6" ht="30" customHeight="1">
      <x:c r="A6" s="147" t="str">
        <x:v>2. Skript zozbiera nové údaje z jedenástich webov a aktualizuje CSV.</x:v>
      </x:c>
      <x:c r="B6" s="147"/>
      <x:c r="C6" s="147"/>
      <x:c r="D6" s="147"/>
      <x:c r="E6" s="147"/>
      <x:c r="F6" s="147"/>
    </x:row>
    <x:row r="7" ht="30" customHeight="1">
      <x:c r="A7" s="147" t="str">
        <x:v>3. Následne automaticky znovu vytvorí tento Excel.</x:v>
      </x:c>
      <x:c r="B7" s="147"/>
      <x:c r="C7" s="147"/>
      <x:c r="D7" s="147"/>
      <x:c r="E7" s="147"/>
      <x:c r="F7" s="147"/>
    </x:row>
    <x:row r="8" ht="30" customHeight="1">
      <x:c r="A8" s="147" t="str">
        <x:v>4. Ak chcete obnoviť iba Excel z existujúcich CSV, spustite obnov-developersky-excel.bat.</x:v>
      </x:c>
      <x:c r="B8" s="147"/>
      <x:c r="C8" s="147"/>
      <x:c r="D8" s="147"/>
      <x:c r="E8" s="147"/>
      <x:c r="F8" s="147"/>
    </x:row>
    <x:row r="9" ht="30" customHeight="1">
      <x:c r="A9" s="147" t="str">
        <x:v>5. Otvorený Excel pred obnovou zatvorte, aby sa dal súbor bezpečne prepísať.</x:v>
      </x:c>
      <x:c r="B9" s="147"/>
      <x:c r="C9" s="147"/>
      <x:c r="D9" s="147"/>
      <x:c r="E9" s="147"/>
      <x:c r="F9" s="147"/>
    </x:row>
    <x:row r="11" ht="32" customHeight="1">
      <x:c r="A11" s="148" t="str">
        <x:v>Aktuálne byty</x:v>
      </x:c>
      <x:c r="B11" s="144" t="str">
        <x:v>C:\Users\lubot\Desktop\NoveByvanie\data\developers\apartments_current.csv</x:v>
      </x:c>
      <x:c r="C11" s="144"/>
      <x:c r="D11" s="144"/>
      <x:c r="E11" s="144"/>
      <x:c r="F11" s="144"/>
    </x:row>
    <x:row r="12" ht="32" customHeight="1">
      <x:c r="A12" s="148" t="str">
        <x:v>Udalosti</x:v>
      </x:c>
      <x:c r="B12" s="144" t="str">
        <x:v>C:\Users\lubot\Desktop\NoveByvanie\data\developers\events.csv</x:v>
      </x:c>
      <x:c r="C12" s="144"/>
      <x:c r="D12" s="144"/>
      <x:c r="E12" s="144"/>
      <x:c r="F12" s="144"/>
    </x:row>
    <x:row r="13" ht="32" customHeight="1">
      <x:c r="A13" s="148" t="str">
        <x:v>Kontrola behov</x:v>
      </x:c>
      <x:c r="B13" s="144" t="str">
        <x:v>C:\Users\lubot\Desktop\NoveByvanie\data\developers\scrape_runs.csv</x:v>
      </x:c>
      <x:c r="C13" s="144"/>
      <x:c r="D13" s="144"/>
      <x:c r="E13" s="144"/>
      <x:c r="F13" s="144"/>
    </x:row>
    <x:row r="14" ht="32" customHeight="1">
      <x:c r="A14" s="148" t="str">
        <x:v>Výsledný Excel</x:v>
      </x:c>
      <x:c r="B14" s="144" t="str">
        <x:v>C:\Users\lubot\Desktop\NoveByvanie\outputs\01a004b5-e547-74e0-8124-e940528203e1\developerske-projekty.xlsx</x:v>
      </x:c>
      <x:c r="C14" s="144"/>
      <x:c r="D14" s="144"/>
      <x:c r="E14" s="144"/>
      <x:c r="F14" s="144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B11:F11"/>
    <x:mergeCell ref="B12:F12"/>
    <x:mergeCell ref="B13:F13"/>
    <x:mergeCell ref="B14:F14"/>
  </x:mergeCells>
  <x:pageMargins left="0.7" right="0.7" top="0.75" bottom="0.75" header="0.3" footer="0.3"/>
</x:worksheet>
</file>