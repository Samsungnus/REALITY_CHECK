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84e41849a14d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hľad" sheetId="1" r:id="R6452f199c08d45bb"/>
    <x:sheet xmlns:r="http://schemas.openxmlformats.org/officeDocument/2006/relationships" name="Projekty" sheetId="2" r:id="R38173be58aab48e0"/>
    <x:sheet xmlns:r="http://schemas.openxmlformats.org/officeDocument/2006/relationships" name="Denne developeri" sheetId="3" r:id="R78f43d86c9ea49bc"/>
    <x:sheet xmlns:r="http://schemas.openxmlformats.org/officeDocument/2006/relationships" name="Denne projekty" sheetId="4" r:id="R954fecad938e4cdd"/>
    <x:sheet xmlns:r="http://schemas.openxmlformats.org/officeDocument/2006/relationships" name="Dátumy" sheetId="5" r:id="R5f2c47ccb5874caf"/>
    <x:sheet xmlns:r="http://schemas.openxmlformats.org/officeDocument/2006/relationships" name="Návod" sheetId="6" r:id="R5b1c73b5519049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#,##0 &quot;€/m²&quot;"/>
    <x:numFmt numFmtId="203" formatCode="#,##0 &quot;€&quot;"/>
  </x:numFmts>
  <x:fonts count="10">
    <x:font>
      <x:sz val="11"/>
      <x:name val="Carlito"/>
    </x:font>
    <x:font>
      <x:b/>
      <x:sz val="18"/>
      <x:color rgb="FFFFFFFF"/>
      <x:name val="Aptos Display"/>
    </x:font>
    <x:font>
      <x:sz val="10"/>
      <x:color rgb="FF4A647A"/>
      <x:name val="Aptos"/>
    </x:font>
    <x:font>
      <x:b/>
      <x:sz val="11"/>
      <x:color rgb="FF38536A"/>
      <x:name val="Carlito"/>
    </x:font>
    <x:font>
      <x:b/>
      <x:sz val="17"/>
      <x:color rgb="FF173A5E"/>
      <x:name val="Carlito"/>
    </x:font>
    <x:font>
      <x:b/>
      <x:sz val="19"/>
      <x:color rgb="FF173A5E"/>
      <x:name val="Carlito"/>
    </x:font>
    <x:font>
      <x:b/>
      <x:sz val="11"/>
      <x:color rgb="FF4A647A"/>
      <x:name val="Carlito"/>
    </x:font>
    <x:font>
      <x:b/>
      <x:sz val="11"/>
      <x:color rgb="FFFFFFFF"/>
      <x:name val="Carlito"/>
    </x:font>
    <x:font>
      <x:i/>
      <x:sz val="11"/>
      <x:color rgb="FF5B6573"/>
      <x:name val="Carlito"/>
    </x:font>
    <x:font>
      <x:b/>
      <x:sz val="11"/>
      <x:color rgb="FF173A5E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A5E"/>
      </x:patternFill>
    </x:fill>
    <x:fill>
      <x:patternFill patternType="solid">
        <x:fgColor rgb="FFEAF1F7"/>
      </x:patternFill>
    </x:fill>
    <x:fill>
      <x:patternFill patternType="solid">
        <x:fgColor rgb="FFDDEBF7"/>
      </x:patternFill>
    </x:fill>
    <x:fill>
      <x:patternFill patternType="solid">
        <x:fgColor rgb="FFE7F4E4"/>
      </x:patternFill>
    </x:fill>
    <x:fill>
      <x:patternFill patternType="solid">
        <x:fgColor rgb="FFEDF5FA"/>
      </x:patternFill>
    </x:fill>
    <x:fill>
      <x:patternFill patternType="solid">
        <x:fgColor rgb="FFFFF4D6"/>
      </x:patternFill>
    </x:fill>
    <x:fill>
      <x:patternFill patternType="solid">
        <x:fgColor rgb="FF246B8E"/>
      </x:patternFill>
    </x:fill>
    <x:fill>
      <x:patternFill patternType="solid">
        <x:fgColor rgb="FFF7F9FB"/>
      </x:patternFill>
    </x:fill>
    <x:fill>
      <x:patternFill patternType="solid">
        <x:fgColor rgb="FFFFF8E1"/>
      </x:patternFill>
    </x:fill>
  </x:fills>
  <x:borders count="11">
    <x:border/>
    <x:border>
      <x:left style="thin">
        <x:color rgb="FFC9D6E2"/>
      </x:left>
      <x:top style="thin">
        <x:color rgb="FFC9D6E2"/>
      </x:top>
      <x:bottom style="thin">
        <x:color rgb="FFC9D6E2"/>
      </x:bottom>
    </x:border>
    <x:border>
      <x:right style="thin">
        <x:color rgb="FFC9D6E2"/>
      </x:right>
      <x:top style="thin">
        <x:color rgb="FFC9D6E2"/>
      </x:top>
      <x:bottom style="thin">
        <x:color rgb="FFC9D6E2"/>
      </x:bottom>
    </x:border>
    <x:border>
      <x:left style="thin">
        <x:color rgb="FFC9D6E2"/>
      </x:left>
      <x:top style="thin">
        <x:color rgb="FFC9D6E2"/>
      </x:top>
    </x:border>
    <x:border>
      <x:right style="thin">
        <x:color rgb="FFC9D6E2"/>
      </x:right>
      <x:top style="thin">
        <x:color rgb="FFC9D6E2"/>
      </x:top>
    </x:border>
    <x:border>
      <x:left style="thin">
        <x:color rgb="FFC9D6E2"/>
      </x:left>
      <x:bottom style="thin">
        <x:color rgb="FFC9D6E2"/>
      </x:bottom>
    </x:border>
    <x:border>
      <x:right style="thin">
        <x:color rgb="FFC9D6E2"/>
      </x:right>
      <x:bottom style="thin">
        <x:color rgb="FFC9D6E2"/>
      </x:bottom>
    </x:border>
    <x:border>
      <x:top style="thin">
        <x:color rgb="FFC9D6E2"/>
      </x:top>
    </x:border>
    <x:border>
      <x:left style="thin">
        <x:color rgb="FFC9D6E2"/>
      </x:left>
    </x:border>
    <x:border>
      <x:right style="thin">
        <x:color rgb="FFC9D6E2"/>
      </x:right>
    </x:border>
    <x:border>
      <x:bottom style="thin">
        <x:color rgb="FFC9D6E2"/>
      </x:bottom>
    </x:border>
  </x:borders>
  <x:cellStyleXfs count="1">
    <x:xf numFmtId="0" fontId="0" fillId="0" borderId="0"/>
  </x:cellStyleXfs>
  <x:cellXfs count="1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200" fontId="4" fillId="4" borderId="3" xfId="0" applyNumberFormat="1" applyFont="1" applyFill="1" applyBorder="1"/>
    <x:xf numFmtId="200" fontId="4" fillId="4" borderId="4" xfId="0" applyNumberFormat="1" applyFont="1" applyFill="1" applyBorder="1"/>
    <x:xf numFmtId="200" fontId="4" fillId="4" borderId="5" xfId="0" applyNumberFormat="1" applyFont="1" applyFill="1" applyBorder="1"/>
    <x:xf numFmtId="200" fontId="4" fillId="4" borderId="6" xfId="0" applyNumberFormat="1" applyFont="1" applyFill="1" applyBorder="1"/>
    <x:xf numFmtId="200" fontId="4" fillId="4" borderId="3" xfId="0" applyNumberFormat="1" applyFont="1" applyFill="1" applyBorder="1" applyAlignment="1">
      <x:alignment horizontal="center"/>
    </x:xf>
    <x:xf numFmtId="200" fontId="4" fillId="4" borderId="4" xfId="0" applyNumberFormat="1" applyFont="1" applyFill="1" applyBorder="1" applyAlignment="1">
      <x:alignment horizontal="center"/>
    </x:xf>
    <x:xf numFmtId="200" fontId="4" fillId="4" borderId="5" xfId="0" applyNumberFormat="1" applyFont="1" applyFill="1" applyBorder="1" applyAlignment="1">
      <x:alignment horizontal="center"/>
    </x:xf>
    <x:xf numFmtId="200" fontId="4" fillId="4" borderId="6" xfId="0" applyNumberFormat="1" applyFont="1" applyFill="1" applyBorder="1" applyAlignment="1">
      <x:alignment horizontal="center"/>
    </x:xf>
    <x:xf numFmtId="200" fontId="4" fillId="4" borderId="3" xfId="0" applyNumberFormat="1" applyFont="1" applyFill="1" applyBorder="1" applyAlignment="1">
      <x:alignment horizontal="center" vertical="center"/>
    </x:xf>
    <x:xf numFmtId="200" fontId="4" fillId="4" borderId="4" xfId="0" applyNumberFormat="1" applyFont="1" applyFill="1" applyBorder="1" applyAlignment="1">
      <x:alignment horizontal="center" vertical="center"/>
    </x:xf>
    <x:xf numFmtId="200" fontId="4" fillId="4" borderId="5" xfId="0" applyNumberFormat="1" applyFont="1" applyFill="1" applyBorder="1" applyAlignment="1">
      <x:alignment horizontal="center" vertical="center"/>
    </x:xf>
    <x:xf numFmtId="200" fontId="4" fillId="4" borderId="6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201" fontId="5" fillId="5" borderId="3" xfId="0" applyNumberFormat="1" applyFont="1" applyFill="1" applyBorder="1"/>
    <x:xf numFmtId="201" fontId="5" fillId="5" borderId="4" xfId="0" applyNumberFormat="1" applyFont="1" applyFill="1" applyBorder="1"/>
    <x:xf numFmtId="201" fontId="5" fillId="5" borderId="5" xfId="0" applyNumberFormat="1" applyFont="1" applyFill="1" applyBorder="1"/>
    <x:xf numFmtId="201" fontId="5" fillId="5" borderId="6" xfId="0" applyNumberFormat="1" applyFont="1" applyFill="1" applyBorder="1"/>
    <x:xf numFmtId="201" fontId="5" fillId="5" borderId="3" xfId="0" applyNumberFormat="1" applyFont="1" applyFill="1" applyBorder="1" applyAlignment="1">
      <x:alignment horizontal="center"/>
    </x:xf>
    <x:xf numFmtId="201" fontId="5" fillId="5" borderId="4" xfId="0" applyNumberFormat="1" applyFont="1" applyFill="1" applyBorder="1" applyAlignment="1">
      <x:alignment horizontal="center"/>
    </x:xf>
    <x:xf numFmtId="201" fontId="5" fillId="5" borderId="5" xfId="0" applyNumberFormat="1" applyFont="1" applyFill="1" applyBorder="1" applyAlignment="1">
      <x:alignment horizontal="center"/>
    </x:xf>
    <x:xf numFmtId="201" fontId="5" fillId="5" borderId="6" xfId="0" applyNumberFormat="1" applyFont="1" applyFill="1" applyBorder="1" applyAlignment="1">
      <x:alignment horizontal="center"/>
    </x:xf>
    <x:xf numFmtId="201" fontId="5" fillId="5" borderId="3" xfId="0" applyNumberFormat="1" applyFont="1" applyFill="1" applyBorder="1" applyAlignment="1">
      <x:alignment horizontal="center" vertical="center"/>
    </x:xf>
    <x:xf numFmtId="201" fontId="5" fillId="5" borderId="4" xfId="0" applyNumberFormat="1" applyFont="1" applyFill="1" applyBorder="1" applyAlignment="1">
      <x:alignment horizontal="center" vertical="center"/>
    </x:xf>
    <x:xf numFmtId="201" fontId="5" fillId="5" borderId="5" xfId="0" applyNumberFormat="1" applyFont="1" applyFill="1" applyBorder="1" applyAlignment="1">
      <x:alignment horizontal="center" vertical="center"/>
    </x:xf>
    <x:xf numFmtId="201" fontId="5" fillId="5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2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2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3" fillId="6" borderId="2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201" fontId="5" fillId="6" borderId="3" xfId="0" applyNumberFormat="1" applyFont="1" applyFill="1" applyBorder="1"/>
    <x:xf numFmtId="201" fontId="5" fillId="6" borderId="4" xfId="0" applyNumberFormat="1" applyFont="1" applyFill="1" applyBorder="1"/>
    <x:xf numFmtId="201" fontId="5" fillId="6" borderId="5" xfId="0" applyNumberFormat="1" applyFont="1" applyFill="1" applyBorder="1"/>
    <x:xf numFmtId="201" fontId="5" fillId="6" borderId="6" xfId="0" applyNumberFormat="1" applyFont="1" applyFill="1" applyBorder="1"/>
    <x:xf numFmtId="201" fontId="5" fillId="6" borderId="3" xfId="0" applyNumberFormat="1" applyFont="1" applyFill="1" applyBorder="1" applyAlignment="1">
      <x:alignment horizontal="center"/>
    </x:xf>
    <x:xf numFmtId="201" fontId="5" fillId="6" borderId="4" xfId="0" applyNumberFormat="1" applyFont="1" applyFill="1" applyBorder="1" applyAlignment="1">
      <x:alignment horizontal="center"/>
    </x:xf>
    <x:xf numFmtId="201" fontId="5" fillId="6" borderId="5" xfId="0" applyNumberFormat="1" applyFont="1" applyFill="1" applyBorder="1" applyAlignment="1">
      <x:alignment horizontal="center"/>
    </x:xf>
    <x:xf numFmtId="201" fontId="5" fillId="6" borderId="6" xfId="0" applyNumberFormat="1" applyFont="1" applyFill="1" applyBorder="1" applyAlignment="1">
      <x:alignment horizontal="center"/>
    </x:xf>
    <x:xf numFmtId="201" fontId="5" fillId="6" borderId="3" xfId="0" applyNumberFormat="1" applyFont="1" applyFill="1" applyBorder="1" applyAlignment="1">
      <x:alignment horizontal="center" vertical="center"/>
    </x:xf>
    <x:xf numFmtId="201" fontId="5" fillId="6" borderId="4" xfId="0" applyNumberFormat="1" applyFont="1" applyFill="1" applyBorder="1" applyAlignment="1">
      <x:alignment horizontal="center" vertical="center"/>
    </x:xf>
    <x:xf numFmtId="201" fontId="5" fillId="6" borderId="5" xfId="0" applyNumberFormat="1" applyFont="1" applyFill="1" applyBorder="1" applyAlignment="1">
      <x:alignment horizontal="center" vertical="center"/>
    </x:xf>
    <x:xf numFmtId="201" fontId="5" fillId="6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2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3" fillId="7" borderId="2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center" vertical="center"/>
    </x:xf>
    <x:xf numFmtId="0" fontId="3" fillId="7" borderId="2" xfId="0" applyNumberFormat="1" applyFont="1" applyFill="1" applyBorder="1" applyAlignment="1">
      <x:alignment horizontal="center" vertical="center"/>
    </x:xf>
    <x:xf numFmtId="0" fontId="5" fillId="7" borderId="0" xfId="0" applyNumberFormat="1" applyFont="1" applyFill="1" applyBorder="1"/>
    <x:xf numFmtId="0" fontId="5" fillId="7" borderId="3" xfId="0" applyNumberFormat="1" applyFont="1" applyFill="1" applyBorder="1"/>
    <x:xf numFmtId="0" fontId="5" fillId="7" borderId="4" xfId="0" applyNumberFormat="1" applyFont="1" applyFill="1" applyBorder="1"/>
    <x:xf numFmtId="0" fontId="5" fillId="7" borderId="5" xfId="0" applyNumberFormat="1" applyFont="1" applyFill="1" applyBorder="1"/>
    <x:xf numFmtId="0" fontId="5" fillId="7" borderId="6" xfId="0" applyNumberFormat="1" applyFont="1" applyFill="1" applyBorder="1"/>
    <x:xf numFmtId="201" fontId="5" fillId="7" borderId="3" xfId="0" applyNumberFormat="1" applyFont="1" applyFill="1" applyBorder="1"/>
    <x:xf numFmtId="201" fontId="5" fillId="7" borderId="4" xfId="0" applyNumberFormat="1" applyFont="1" applyFill="1" applyBorder="1"/>
    <x:xf numFmtId="201" fontId="5" fillId="7" borderId="5" xfId="0" applyNumberFormat="1" applyFont="1" applyFill="1" applyBorder="1"/>
    <x:xf numFmtId="201" fontId="5" fillId="7" borderId="6" xfId="0" applyNumberFormat="1" applyFont="1" applyFill="1" applyBorder="1"/>
    <x:xf numFmtId="201" fontId="5" fillId="7" borderId="3" xfId="0" applyNumberFormat="1" applyFont="1" applyFill="1" applyBorder="1" applyAlignment="1">
      <x:alignment horizontal="center"/>
    </x:xf>
    <x:xf numFmtId="201" fontId="5" fillId="7" borderId="4" xfId="0" applyNumberFormat="1" applyFont="1" applyFill="1" applyBorder="1" applyAlignment="1">
      <x:alignment horizontal="center"/>
    </x:xf>
    <x:xf numFmtId="201" fontId="5" fillId="7" borderId="5" xfId="0" applyNumberFormat="1" applyFont="1" applyFill="1" applyBorder="1" applyAlignment="1">
      <x:alignment horizontal="center"/>
    </x:xf>
    <x:xf numFmtId="201" fontId="5" fillId="7" borderId="6" xfId="0" applyNumberFormat="1" applyFont="1" applyFill="1" applyBorder="1" applyAlignment="1">
      <x:alignment horizontal="center"/>
    </x:xf>
    <x:xf numFmtId="201" fontId="5" fillId="7" borderId="3" xfId="0" applyNumberFormat="1" applyFont="1" applyFill="1" applyBorder="1" applyAlignment="1">
      <x:alignment horizontal="center" vertical="center"/>
    </x:xf>
    <x:xf numFmtId="201" fontId="5" fillId="7" borderId="4" xfId="0" applyNumberFormat="1" applyFont="1" applyFill="1" applyBorder="1" applyAlignment="1">
      <x:alignment horizontal="center" vertical="center"/>
    </x:xf>
    <x:xf numFmtId="201" fontId="5" fillId="7" borderId="5" xfId="0" applyNumberFormat="1" applyFont="1" applyFill="1" applyBorder="1" applyAlignment="1">
      <x:alignment horizontal="center" vertical="center"/>
    </x:xf>
    <x:xf numFmtId="201" fontId="5" fillId="7" borderId="6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3" xfId="0" applyNumberFormat="1" applyFont="1" applyFill="1" applyBorder="1" applyAlignment="1">
      <x:alignment wrapText="1"/>
    </x:xf>
    <x:xf numFmtId="0" fontId="7" fillId="8" borderId="7" xfId="0" applyNumberFormat="1" applyFont="1" applyFill="1" applyBorder="1" applyAlignment="1">
      <x:alignment wrapText="1"/>
    </x:xf>
    <x:xf numFmtId="0" fontId="7" fillId="8" borderId="4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/>
    <x:xf numFmtId="0" fontId="0" fillId="0" borderId="9" xfId="0" applyNumberFormat="1" applyFont="1" applyFill="1" applyBorder="1"/>
    <x:xf numFmtId="0" fontId="0" fillId="0" borderId="5" xfId="0" applyNumberFormat="1" applyFont="1" applyFill="1" applyBorder="1"/>
    <x:xf numFmtId="0" fontId="0" fillId="0" borderId="10" xfId="0" applyNumberFormat="1" applyFont="1" applyFill="1" applyBorder="1"/>
    <x:xf numFmtId="0" fontId="0" fillId="0" borderId="6" xfId="0" applyNumberFormat="1" applyFont="1" applyFill="1" applyBorder="1"/>
    <x:xf numFmtId="201" fontId="0" fillId="0" borderId="0" xfId="0" applyNumberFormat="1" applyFont="1" applyFill="1" applyBorder="1"/>
    <x:xf numFmtId="201" fontId="0" fillId="0" borderId="10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0" xfId="0" applyNumberFormat="1" applyFont="1" applyFill="1" applyBorder="1"/>
    <x:xf numFmtId="0" fontId="9" fillId="4" borderId="0" xfId="0" applyNumberFormat="1" applyFont="1" applyFill="1" applyBorder="1"/>
    <x:xf numFmtId="200" fontId="9" fillId="4" borderId="0" xfId="0" applyNumberFormat="1" applyFont="1" applyFill="1" applyBorder="1"/>
    <x:xf numFmtId="200" fontId="9" fillId="4" borderId="0" xfId="0" applyNumberFormat="1" applyFont="1" applyFill="1" applyBorder="1" applyAlignment="1">
      <x:alignment horizontal="center"/>
    </x:xf>
    <x:xf numFmtId="0" fontId="7" fillId="8" borderId="0" xfId="0" applyNumberFormat="1" applyFont="1" applyFill="1" applyBorder="1" applyAlignment="1">
      <x:alignment vertical="center" wrapText="1"/>
    </x:xf>
    <x:xf numFmtId="202" fontId="0" fillId="6" borderId="0" xfId="0" applyNumberFormat="1" applyFont="1" applyFill="1" applyBorder="1"/>
    <x:xf numFmtId="202" fontId="0" fillId="6" borderId="0" xfId="0" applyNumberFormat="1" applyFont="1" applyFill="1" applyBorder="1" applyAlignment="1">
      <x:alignment horizontal="right"/>
    </x:xf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vertical="top" wrapText="1"/>
    </x:xf>
    <x:xf numFmtId="203" fontId="0" fillId="10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83F04"/>
      </x:font>
      <x:fill>
        <x:patternFill patternType="solid">
          <x:bgColor rgb="FFFCE5CD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37f7bb48304d1c" /><Relationship Type="http://schemas.openxmlformats.org/officeDocument/2006/relationships/theme" Target="/xl/theme/theme1.xml" Id="R3d064012892948e8" /><Relationship Type="http://schemas.openxmlformats.org/officeDocument/2006/relationships/sharedStrings" Target="/xl/sharedStrings.xml" Id="R74949daf761941a6" /><Relationship Type="http://schemas.openxmlformats.org/officeDocument/2006/relationships/worksheet" Target="/xl/worksheets/sheet1.xml" Id="R6452f199c08d45bb" /><Relationship Type="http://schemas.openxmlformats.org/officeDocument/2006/relationships/worksheet" Target="/xl/worksheets/sheet2.xml" Id="R38173be58aab48e0" /><Relationship Type="http://schemas.openxmlformats.org/officeDocument/2006/relationships/worksheet" Target="/xl/worksheets/sheet3.xml" Id="R78f43d86c9ea49bc" /><Relationship Type="http://schemas.openxmlformats.org/officeDocument/2006/relationships/worksheet" Target="/xl/worksheets/sheet4.xml" Id="R954fecad938e4cdd" /><Relationship Type="http://schemas.openxmlformats.org/officeDocument/2006/relationships/worksheet" Target="/xl/worksheets/sheet5.xml" Id="R5f2c47ccb5874caf" /><Relationship Type="http://schemas.openxmlformats.org/officeDocument/2006/relationships/worksheet" Target="/xl/worksheets/sheet6.xml" Id="R5b1c73b5519049ac" /></Relationships>
</file>

<file path=xl/tables/table1.xml><?xml version="1.0" encoding="utf-8"?>
<x:table xmlns:x="http://schemas.openxmlformats.org/spreadsheetml/2006/main" id="3" name="ProjectsOverview" displayName="ProjectsOverview" ref="A5:P16" headerRowCount="1" totalsRowCount="0" totalsRowShown="0">
  <x:autoFilter ref="A5:P16"/>
  <x:tableColumns count="16">
    <x:tableColumn id="1" name="Developer"/>
    <x:tableColumn id="2" name="Názov projektu"/>
    <x:tableColumn id="3" name="1-izbové €/m²"/>
    <x:tableColumn id="4" name="2-izbové €/m²"/>
    <x:tableColumn id="5" name="3-izbové €/m²"/>
    <x:tableColumn id="6" name="Priemer projektu €/m²"/>
    <x:tableColumn id="7" name="Parkovanie"/>
    <x:tableColumn id="8" name="Cena parkovania"/>
    <x:tableColumn id="9" name="Kobka"/>
    <x:tableColumn id="10" name="Cena kobky"/>
    <x:tableColumn id="11" name="Spoločný priestor"/>
    <x:tableColumn id="12" name="Priestor na bicykle"/>
    <x:tableColumn id="13" name="Financovanie"/>
    <x:tableColumn id="14" name="Vyššia časť sa platí"/>
    <x:tableColumn id="15" name="Kolaudácia"/>
    <x:tableColumn id="16" name="Zdroj / overeni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DailyDevelopers" displayName="DailyDevelopers" ref="A4:G45" headerRowCount="1" totalsRowCount="0" totalsRowShown="0">
  <x:tableColumns count="7">
    <x:tableColumn id="1" name="Dátum"/>
    <x:tableColumn id="2" name="Developer"/>
    <x:tableColumn id="3" name="Dostupné byty"/>
    <x:tableColumn id="4" name="Počet projektov"/>
    <x:tableColumn id="5" name="Všetky jednotky"/>
    <x:tableColumn id="6" name="Prenesené projekty"/>
    <x:tableColumn id="7" name="Kvalita dá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DailyProjects" displayName="DailyProjects" ref="A4:L48" headerRowCount="1" totalsRowCount="0" totalsRowShown="0">
  <x:tableColumns count="12">
    <x:tableColumn id="1" name="Dátum"/>
    <x:tableColumn id="2" name="Projekt"/>
    <x:tableColumn id="3" name="Developer"/>
    <x:tableColumn id="4" name="Dostupné byty"/>
    <x:tableColumn id="5" name="1-izbové €/m²"/>
    <x:tableColumn id="6" name="2-izbové €/m²"/>
    <x:tableColumn id="7" name="3-izbové €/m²"/>
    <x:tableColumn id="8" name="Priemer projektu €/m²"/>
    <x:tableColumn id="9" name="Všetky jednotky"/>
    <x:tableColumn id="10" name="Zdrojový dátum"/>
    <x:tableColumn id="11" name="Kvalita dát"/>
    <x:tableColumn id="12" name="ID projektu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vailableDates" displayName="AvailableDates" ref="A4:A9" headerRowCount="1" totalsRowCount="0" totalsRowShown="0">
  <x:tableColumns count="1">
    <x:tableColumn id="1" name="Dátu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bfd8e6ff0146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a8705bc3c046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7a3bdfdb1114c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762194bf0540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16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8" hidden="0" customWidth="1"/>
  </x:cols>
  <x:sheetData>
    <x:row r="1" ht="42" customHeight="1">
      <x:c r="A1" s="3" t="str">
        <x:v>Developeri – dostupné byty</x:v>
      </x:c>
      <x:c r="B1" s="3"/>
      <x:c r="C1" s="3"/>
      <x:c r="D1" s="3"/>
      <x:c r="E1" s="3"/>
      <x:c r="F1" s="3"/>
      <x:c r="G1" s="3"/>
      <x:c r="H1" s="3"/>
    </x:row>
    <x:row r="2" ht="26" customHeight="1">
      <x:c r="A2" s="6" t="str">
        <x:v>Denný počet voľných bytov podľa developera z projektov, ktoré aktuálne sledujeme.</x:v>
      </x:c>
      <x:c r="B2" s="6"/>
      <x:c r="C2" s="6"/>
      <x:c r="D2" s="6"/>
      <x:c r="E2" s="6"/>
      <x:c r="F2" s="6"/>
      <x:c r="G2" s="6"/>
      <x:c r="H2" s="6"/>
    </x:row>
    <x:row r="4">
      <x:c r="A4" s="11" t="str">
        <x:v>Vybraný deň</x:v>
      </x:c>
      <x:c r="B4" s="12"/>
      <x:c r="C4" s="36" t="str">
        <x:v>Dostupné byty</x:v>
      </x:c>
      <x:c r="D4" s="37"/>
      <x:c r="E4" s="61" t="str">
        <x:v>Sledovaní developeri</x:v>
      </x:c>
      <x:c r="F4" s="62"/>
      <x:c r="G4" s="86" t="str">
        <x:v>Zahrnuté projekty</x:v>
      </x:c>
      <x:c r="H4" s="87"/>
    </x:row>
    <x:row r="5">
      <x:c r="A5" s="26" t="n">
        <x:v>46254</x:v>
      </x:c>
      <x:c r="B5" s="27"/>
      <x:c r="C5" s="51" t="n">
        <x:f>SUM(C11:C20)</x:f>
        <x:v>608</x:v>
      </x:c>
      <x:c r="D5" s="52"/>
      <x:c r="E5" s="76" t="n">
        <x:f>COUNTA(A11:A20)</x:f>
        <x:v>10</x:v>
      </x:c>
      <x:c r="F5" s="77"/>
      <x:c r="G5" s="101" t="n">
        <x:f>SUM(B11:B20)</x:f>
        <x:v>11</x:v>
      </x:c>
      <x:c r="H5" s="102"/>
    </x:row>
    <x:row r="6">
      <x:c r="A6" s="28"/>
      <x:c r="B6" s="29"/>
      <x:c r="C6" s="53"/>
      <x:c r="D6" s="54"/>
      <x:c r="E6" s="78"/>
      <x:c r="F6" s="79"/>
      <x:c r="G6" s="103"/>
      <x:c r="H6" s="104"/>
    </x:row>
    <x:row r="8">
      <x:c r="A8" s="105" t="str">
        <x:v>Predchádzajúci sledovaný deň:</x:v>
      </x:c>
      <x:c r="B8" s="106" t="n">
        <x:f>IFERROR(INDEX('Dátumy'!$A$5:$A9,MATCH($A$5,'Dátumy'!$A$5:$A9,0)-1),"")</x:f>
        <x:v>46253</x:v>
      </x:c>
    </x:row>
    <x:row r="10" ht="30" customHeight="1">
      <x:c r="A10" s="110" t="str">
        <x:v>Developer</x:v>
      </x:c>
      <x:c r="B10" s="111" t="str">
        <x:v>Projekty</x:v>
      </x:c>
      <x:c r="C10" s="111" t="str">
        <x:v>Dostupné</x:v>
      </x:c>
      <x:c r="D10" s="111" t="str">
        <x:v>Predošlý deň</x:v>
      </x:c>
      <x:c r="E10" s="111" t="str">
        <x:v>Zmena</x:v>
      </x:c>
      <x:c r="F10" s="112" t="str">
        <x:v>Kvalita dát</x:v>
      </x:c>
    </x:row>
    <x:row r="11" ht="25" customHeight="1">
      <x:c r="A11" s="113" t="str">
        <x:v>Alto Real Estate</x:v>
      </x:c>
      <x:c r="B11" s="119" t="n">
        <x:f>SUMIFS('Denne developeri'!$D$5:$D$45,'Denne developeri'!$B$5:$B$45,$A11,'Denne developeri'!$A$5:$A$45,$A$5)</x:f>
        <x:v>1</x:v>
      </x:c>
      <x:c r="C11" s="119" t="n">
        <x:f>SUMIFS('Denne developeri'!$C$5:$C$45,'Denne developeri'!$B$5:$B$45,$A11,'Denne developeri'!$A$5:$A$45,$A$5)</x:f>
        <x:v>47</x:v>
      </x:c>
      <x:c r="D11" s="119" t="n">
        <x:f>IF($B$8="","",SUMIFS('Denne developeri'!$C$5:$C$45,'Denne developeri'!$B$5:$B$45,$A11,'Denne developeri'!$A$5:$A$45,$B$8))</x:f>
        <x:v>46</x:v>
      </x:c>
      <x:c r="E11" s="119" t="n">
        <x:f>IF(D11="","",C11-D11)</x:f>
        <x:v>1</x:v>
      </x:c>
      <x:c r="F11" s="115" t="str">
        <x:f>IF(COUNTIFS('Denne developeri'!$B$5:$B$45,$A11,'Denne developeri'!$A$5:$A$45,$A$5,'Denne developeri'!$G$5:$G$45,"carried_forward")&gt;0,"prenesené","aktuálne")</x:f>
        <x:v>aktuálne</x:v>
      </x:c>
    </x:row>
    <x:row r="12" ht="25" customHeight="1">
      <x:c r="A12" s="113" t="str">
        <x:v>CRESCO Real Estate</x:v>
      </x:c>
      <x:c r="B12" s="119" t="n">
        <x:f>SUMIFS('Denne developeri'!$D$5:$D$45,'Denne developeri'!$B$5:$B$45,$A12,'Denne developeri'!$A$5:$A$45,$A$5)</x:f>
        <x:v>2</x:v>
      </x:c>
      <x:c r="C12" s="119" t="n">
        <x:f>SUMIFS('Denne developeri'!$C$5:$C$45,'Denne developeri'!$B$5:$B$45,$A12,'Denne developeri'!$A$5:$A$45,$A$5)</x:f>
        <x:v>67</x:v>
      </x:c>
      <x:c r="D12" s="119" t="n">
        <x:f>IF($B$8="","",SUMIFS('Denne developeri'!$C$5:$C$45,'Denne developeri'!$B$5:$B$45,$A12,'Denne developeri'!$A$5:$A$45,$B$8))</x:f>
        <x:v>66</x:v>
      </x:c>
      <x:c r="E12" s="119" t="n">
        <x:f>IF(D12="","",C12-D12)</x:f>
        <x:v>1</x:v>
      </x:c>
      <x:c r="F12" s="115" t="str">
        <x:f>IF(COUNTIFS('Denne developeri'!$B$5:$B$45,$A12,'Denne developeri'!$A$5:$A$45,$A$5,'Denne developeri'!$G$5:$G$45,"carried_forward")&gt;0,"prenesené","aktuálne")</x:f>
        <x:v>aktuálne</x:v>
      </x:c>
    </x:row>
    <x:row r="13" ht="25" customHeight="1">
      <x:c r="A13" s="113" t="str">
        <x:v>EDVIN Properties</x:v>
      </x:c>
      <x:c r="B13" s="119" t="n">
        <x:f>SUMIFS('Denne developeri'!$D$5:$D$45,'Denne developeri'!$B$5:$B$45,$A13,'Denne developeri'!$A$5:$A$45,$A$5)</x:f>
        <x:v>1</x:v>
      </x:c>
      <x:c r="C13" s="119" t="n">
        <x:f>SUMIFS('Denne developeri'!$C$5:$C$45,'Denne developeri'!$B$5:$B$45,$A13,'Denne developeri'!$A$5:$A$45,$A$5)</x:f>
        <x:v>28</x:v>
      </x:c>
      <x:c r="D13" s="119" t="n">
        <x:f>IF($B$8="","",SUMIFS('Denne developeri'!$C$5:$C$45,'Denne developeri'!$B$5:$B$45,$A13,'Denne developeri'!$A$5:$A$45,$B$8))</x:f>
        <x:v>28</x:v>
      </x:c>
      <x:c r="E13" s="119" t="n">
        <x:f>IF(D13="","",C13-D13)</x:f>
        <x:v>0</x:v>
      </x:c>
      <x:c r="F13" s="115" t="str">
        <x:f>IF(COUNTIFS('Denne developeri'!$B$5:$B$45,$A13,'Denne developeri'!$A$5:$A$45,$A$5,'Denne developeri'!$G$5:$G$45,"carried_forward")&gt;0,"prenesené","aktuálne")</x:f>
        <x:v>aktuálne</x:v>
      </x:c>
    </x:row>
    <x:row r="14" ht="25" customHeight="1">
      <x:c r="A14" s="113" t="str">
        <x:v>Immocap</x:v>
      </x:c>
      <x:c r="B14" s="119" t="n">
        <x:f>SUMIFS('Denne developeri'!$D$5:$D$45,'Denne developeri'!$B$5:$B$45,$A14,'Denne developeri'!$A$5:$A$45,$A$5)</x:f>
        <x:v>1</x:v>
      </x:c>
      <x:c r="C14" s="119" t="n">
        <x:f>SUMIFS('Denne developeri'!$C$5:$C$45,'Denne developeri'!$B$5:$B$45,$A14,'Denne developeri'!$A$5:$A$45,$A$5)</x:f>
        <x:v>25</x:v>
      </x:c>
      <x:c r="D14" s="119" t="n">
        <x:f>IF($B$8="","",SUMIFS('Denne developeri'!$C$5:$C$45,'Denne developeri'!$B$5:$B$45,$A14,'Denne developeri'!$A$5:$A$45,$B$8))</x:f>
        <x:v>25</x:v>
      </x:c>
      <x:c r="E14" s="119" t="n">
        <x:f>IF(D14="","",C14-D14)</x:f>
        <x:v>0</x:v>
      </x:c>
      <x:c r="F14" s="115" t="str">
        <x:f>IF(COUNTIFS('Denne developeri'!$B$5:$B$45,$A14,'Denne developeri'!$A$5:$A$45,$A$5,'Denne developeri'!$G$5:$G$45,"carried_forward")&gt;0,"prenesené","aktuálne")</x:f>
        <x:v>aktuálne</x:v>
      </x:c>
    </x:row>
    <x:row r="15" ht="25" customHeight="1">
      <x:c r="A15" s="113" t="str">
        <x:v>INTRADE Group</x:v>
      </x:c>
      <x:c r="B15" s="119" t="n">
        <x:f>SUMIFS('Denne developeri'!$D$5:$D$45,'Denne developeri'!$B$5:$B$45,$A15,'Denne developeri'!$A$5:$A$45,$A$5)</x:f>
        <x:v>1</x:v>
      </x:c>
      <x:c r="C15" s="119" t="n">
        <x:f>SUMIFS('Denne developeri'!$C$5:$C$45,'Denne developeri'!$B$5:$B$45,$A15,'Denne developeri'!$A$5:$A$45,$A$5)</x:f>
        <x:v>75</x:v>
      </x:c>
      <x:c r="D15" s="119" t="n">
        <x:f>IF($B$8="","",SUMIFS('Denne developeri'!$C$5:$C$45,'Denne developeri'!$B$5:$B$45,$A15,'Denne developeri'!$A$5:$A$45,$B$8))</x:f>
        <x:v>75</x:v>
      </x:c>
      <x:c r="E15" s="119" t="n">
        <x:f>IF(D15="","",C15-D15)</x:f>
        <x:v>0</x:v>
      </x:c>
      <x:c r="F15" s="115" t="str">
        <x:f>IF(COUNTIFS('Denne developeri'!$B$5:$B$45,$A15,'Denne developeri'!$A$5:$A$45,$A$5,'Denne developeri'!$G$5:$G$45,"carried_forward")&gt;0,"prenesené","aktuálne")</x:f>
        <x:v>aktuálne</x:v>
      </x:c>
    </x:row>
    <x:row r="16" ht="25" customHeight="1">
      <x:c r="A16" s="113" t="str">
        <x:v>JTRE</x:v>
      </x:c>
      <x:c r="B16" s="119" t="n">
        <x:f>SUMIFS('Denne developeri'!$D$5:$D$45,'Denne developeri'!$B$5:$B$45,$A16,'Denne developeri'!$A$5:$A$45,$A$5)</x:f>
        <x:v>1</x:v>
      </x:c>
      <x:c r="C16" s="119" t="n">
        <x:f>SUMIFS('Denne developeri'!$C$5:$C$45,'Denne developeri'!$B$5:$B$45,$A16,'Denne developeri'!$A$5:$A$45,$A$5)</x:f>
        <x:v>155</x:v>
      </x:c>
      <x:c r="D16" s="119" t="n">
        <x:f>IF($B$8="","",SUMIFS('Denne developeri'!$C$5:$C$45,'Denne developeri'!$B$5:$B$45,$A16,'Denne developeri'!$A$5:$A$45,$B$8))</x:f>
        <x:v>155</x:v>
      </x:c>
      <x:c r="E16" s="119" t="n">
        <x:f>IF(D16="","",C16-D16)</x:f>
        <x:v>0</x:v>
      </x:c>
      <x:c r="F16" s="115" t="str">
        <x:f>IF(COUNTIFS('Denne developeri'!$B$5:$B$45,$A16,'Denne developeri'!$A$5:$A$45,$A$5,'Denne developeri'!$G$5:$G$45,"carried_forward")&gt;0,"prenesené","aktuálne")</x:f>
        <x:v>aktuálne</x:v>
      </x:c>
    </x:row>
    <x:row r="17" ht="25" customHeight="1">
      <x:c r="A17" s="113" t="str">
        <x:v>PROFINAL, a.s.</x:v>
      </x:c>
      <x:c r="B17" s="119" t="n">
        <x:f>SUMIFS('Denne developeri'!$D$5:$D$45,'Denne developeri'!$B$5:$B$45,$A17,'Denne developeri'!$A$5:$A$45,$A$5)</x:f>
        <x:v>1</x:v>
      </x:c>
      <x:c r="C17" s="119" t="n">
        <x:f>SUMIFS('Denne developeri'!$C$5:$C$45,'Denne developeri'!$B$5:$B$45,$A17,'Denne developeri'!$A$5:$A$45,$A$5)</x:f>
        <x:v>47</x:v>
      </x:c>
      <x:c r="D17" s="119" t="n">
        <x:f>IF($B$8="","",SUMIFS('Denne developeri'!$C$5:$C$45,'Denne developeri'!$B$5:$B$45,$A17,'Denne developeri'!$A$5:$A$45,$B$8))</x:f>
        <x:v>47</x:v>
      </x:c>
      <x:c r="E17" s="119" t="n">
        <x:f>IF(D17="","",C17-D17)</x:f>
        <x:v>0</x:v>
      </x:c>
      <x:c r="F17" s="115" t="str">
        <x:f>IF(COUNTIFS('Denne developeri'!$B$5:$B$45,$A17,'Denne developeri'!$A$5:$A$45,$A$5,'Denne developeri'!$G$5:$G$45,"carried_forward")&gt;0,"prenesené","aktuálne")</x:f>
        <x:v>prenesené</x:v>
      </x:c>
    </x:row>
    <x:row r="18" ht="25" customHeight="1">
      <x:c r="A18" s="113" t="str">
        <x:v>SAIDA s.r.o.</x:v>
      </x:c>
      <x:c r="B18" s="119" t="n">
        <x:f>SUMIFS('Denne developeri'!$D$5:$D$45,'Denne developeri'!$B$5:$B$45,$A18,'Denne developeri'!$A$5:$A$45,$A$5)</x:f>
        <x:v>1</x:v>
      </x:c>
      <x:c r="C18" s="119" t="n">
        <x:f>SUMIFS('Denne developeri'!$C$5:$C$45,'Denne developeri'!$B$5:$B$45,$A18,'Denne developeri'!$A$5:$A$45,$A$5)</x:f>
        <x:v>99</x:v>
      </x:c>
      <x:c r="D18" s="119" t="n">
        <x:f>IF($B$8="","",SUMIFS('Denne developeri'!$C$5:$C$45,'Denne developeri'!$B$5:$B$45,$A18,'Denne developeri'!$A$5:$A$45,$B$8))</x:f>
        <x:v>99</x:v>
      </x:c>
      <x:c r="E18" s="119" t="n">
        <x:f>IF(D18="","",C18-D18)</x:f>
        <x:v>0</x:v>
      </x:c>
      <x:c r="F18" s="115" t="str">
        <x:f>IF(COUNTIFS('Denne developeri'!$B$5:$B$45,$A18,'Denne developeri'!$A$5:$A$45,$A$5,'Denne developeri'!$G$5:$G$45,"carried_forward")&gt;0,"prenesené","aktuálne")</x:f>
        <x:v>aktuálne</x:v>
      </x:c>
    </x:row>
    <x:row r="19" ht="25" customHeight="1">
      <x:c r="A19" s="113" t="str">
        <x:v>Tatra Real</x:v>
      </x:c>
      <x:c r="B19" s="119" t="n">
        <x:f>SUMIFS('Denne developeri'!$D$5:$D$45,'Denne developeri'!$B$5:$B$45,$A19,'Denne developeri'!$A$5:$A$45,$A$5)</x:f>
        <x:v>1</x:v>
      </x:c>
      <x:c r="C19" s="119" t="n">
        <x:f>SUMIFS('Denne developeri'!$C$5:$C$45,'Denne developeri'!$B$5:$B$45,$A19,'Denne developeri'!$A$5:$A$45,$A$5)</x:f>
        <x:v>14</x:v>
      </x:c>
      <x:c r="D19" s="119" t="n">
        <x:f>IF($B$8="","",SUMIFS('Denne developeri'!$C$5:$C$45,'Denne developeri'!$B$5:$B$45,$A19,'Denne developeri'!$A$5:$A$45,$B$8))</x:f>
        <x:v>14</x:v>
      </x:c>
      <x:c r="E19" s="119" t="n">
        <x:f>IF(D19="","",C19-D19)</x:f>
        <x:v>0</x:v>
      </x:c>
      <x:c r="F19" s="115" t="str">
        <x:f>IF(COUNTIFS('Denne developeri'!$B$5:$B$45,$A19,'Denne developeri'!$A$5:$A$45,$A$5,'Denne developeri'!$G$5:$G$45,"carried_forward")&gt;0,"prenesené","aktuálne")</x:f>
        <x:v>aktuálne</x:v>
      </x:c>
    </x:row>
    <x:row r="20" ht="25" customHeight="1">
      <x:c r="A20" s="116" t="str">
        <x:v>YIT Slovakia</x:v>
      </x:c>
      <x:c r="B20" s="120" t="n">
        <x:f>SUMIFS('Denne developeri'!$D$5:$D$45,'Denne developeri'!$B$5:$B$45,$A20,'Denne developeri'!$A$5:$A$45,$A$5)</x:f>
        <x:v>1</x:v>
      </x:c>
      <x:c r="C20" s="120" t="n">
        <x:f>SUMIFS('Denne developeri'!$C$5:$C$45,'Denne developeri'!$B$5:$B$45,$A20,'Denne developeri'!$A$5:$A$45,$A$5)</x:f>
        <x:v>51</x:v>
      </x:c>
      <x:c r="D20" s="120" t="n">
        <x:f>IF($B$8="","",SUMIFS('Denne developeri'!$C$5:$C$45,'Denne developeri'!$B$5:$B$45,$A20,'Denne developeri'!$A$5:$A$45,$B$8))</x:f>
        <x:v>52</x:v>
      </x:c>
      <x:c r="E20" s="120" t="n">
        <x:f>IF(D20="","",C20-D20)</x:f>
        <x:v>-1</x:v>
      </x:c>
      <x:c r="F20" s="118" t="str">
        <x:f>IF(COUNTIFS('Denne developeri'!$B$5:$B$45,$A20,'Denne developeri'!$A$5:$A$45,$A$5,'Denne developeri'!$G$5:$G$45,"carried_forward")&gt;0,"prenesené","aktuálne")</x:f>
        <x:v>aktuálne</x:v>
      </x:c>
    </x:row>
    <x:row r="22" ht="34" customHeight="1">
      <x:c r="A22" s="123" t="str">
        <x:v>Definícia: dostupné = status available. Pri výpadku projektu sa použije posledný známy stav a kvalita dát sa označí ako prenesené.</x:v>
      </x:c>
      <x:c r="B22" s="123"/>
      <x:c r="C22" s="123"/>
      <x:c r="D22" s="123"/>
      <x:c r="E22" s="123"/>
      <x:c r="F22" s="123"/>
      <x:c r="G22" s="123"/>
      <x:c r="H22" s="123"/>
    </x:row>
    <x:row r="24" ht="34" customHeight="1">
      <x:c r="A24" s="110" t="str">
        <x:v>Projekt</x:v>
      </x:c>
      <x:c r="B24" s="111" t="str">
        <x:v>Developer</x:v>
      </x:c>
      <x:c r="C24" s="111" t="str">
        <x:v>Dostupné</x:v>
      </x:c>
      <x:c r="D24" s="111" t="str">
        <x:v>1-izbové €/m²</x:v>
      </x:c>
      <x:c r="E24" s="111" t="str">
        <x:v>2-izbové €/m²</x:v>
      </x:c>
      <x:c r="F24" s="111" t="str">
        <x:v>3-izbové €/m²</x:v>
      </x:c>
      <x:c r="G24" s="111" t="str">
        <x:v>Priemer projektu €/m²</x:v>
      </x:c>
      <x:c r="H24" s="112" t="str">
        <x:v>Kvalita dát</x:v>
      </x:c>
    </x:row>
    <x:row r="25" ht="25" customHeight="1">
      <x:c r="A25" s="113" t="str">
        <x:v>ALVY</x:v>
      </x:c>
      <x:c r="B25" s="114" t="str">
        <x:v>Alto Real Estate</x:v>
      </x:c>
      <x:c r="C25" s="119" t="n">
        <x:f>SUMIFS('Denne projekty'!$D$5:$D$48,'Denne projekty'!$B$5:$B$48,$A25,'Denne projekty'!$A$5:$A$48,$A$5)</x:f>
        <x:v>47</x:v>
      </x:c>
      <x:c r="D25" s="124" t="n">
        <x:f>IF(SUMIFS('Denne projekty'!$E$5:$E$48,'Denne projekty'!$B$5:$B$48,$A25,'Denne projekty'!$A$5:$A$48,$A$5)&gt;0,SUMIFS('Denne projekty'!$E$5:$E$48,'Denne projekty'!$B$5:$B$48,$A25,'Denne projekty'!$A$5:$A$48,$A$5),"")</x:f>
        <x:v>6172.53</x:v>
      </x:c>
      <x:c r="E25" s="124" t="n">
        <x:f>IF(SUMIFS('Denne projekty'!$F$5:$F$48,'Denne projekty'!$B$5:$B$48,$A25,'Denne projekty'!$A$5:$A$48,$A$5)&gt;0,SUMIFS('Denne projekty'!$F$5:$F$48,'Denne projekty'!$B$5:$B$48,$A25,'Denne projekty'!$A$5:$A$48,$A$5),"")</x:f>
        <x:v>5750.395624999999</x:v>
      </x:c>
      <x:c r="F25" s="124" t="n">
        <x:f>IF(SUMIFS('Denne projekty'!$G$5:$G$48,'Denne projekty'!$B$5:$B$48,$A25,'Denne projekty'!$A$5:$A$48,$A$5)&gt;0,SUMIFS('Denne projekty'!$G$5:$G$48,'Denne projekty'!$B$5:$B$48,$A25,'Denne projekty'!$A$5:$A$48,$A$5),"")</x:f>
        <x:v>5342.460357142859</x:v>
      </x:c>
      <x:c r="G25" s="124" t="n">
        <x:f>IF(SUMIFS('Denne projekty'!$H$5:$H$48,'Denne projekty'!$B$5:$B$48,$A25,'Denne projekty'!$A$5:$A$48,$A$5)&gt;0,SUMIFS('Denne projekty'!$H$5:$H$48,'Denne projekty'!$B$5:$B$48,$A25,'Denne projekty'!$A$5:$A$48,$A$5),"")</x:f>
        <x:v>5510.608723404256</x:v>
      </x:c>
      <x:c r="H25" s="115" t="str">
        <x:f>IF(COUNTIFS('Denne projekty'!$B$5:$B$48,$A25,'Denne projekty'!$A$5:$A$48,$A$5,'Denne projekty'!$K$5:$K$48,"carried_forward")&gt;0,"prenesené","aktuálne")</x:f>
        <x:v>aktuálne</x:v>
      </x:c>
    </x:row>
    <x:row r="26" ht="25" customHeight="1">
      <x:c r="A26" s="113" t="str">
        <x:v>BAYA</x:v>
      </x:c>
      <x:c r="B26" s="114" t="str">
        <x:v>SAIDA s.r.o.</x:v>
      </x:c>
      <x:c r="C26" s="119" t="n">
        <x:f>SUMIFS('Denne projekty'!$D$5:$D$48,'Denne projekty'!$B$5:$B$48,$A26,'Denne projekty'!$A$5:$A$48,$A$5)</x:f>
        <x:v>99</x:v>
      </x:c>
      <x:c r="D26" s="124" t="n">
        <x:f>IF(SUMIFS('Denne projekty'!$E$5:$E$48,'Denne projekty'!$B$5:$B$48,$A26,'Denne projekty'!$A$5:$A$48,$A$5)&gt;0,SUMIFS('Denne projekty'!$E$5:$E$48,'Denne projekty'!$B$5:$B$48,$A26,'Denne projekty'!$A$5:$A$48,$A$5),"")</x:f>
        <x:v>6623</x:v>
      </x:c>
      <x:c r="E26" s="124" t="n">
        <x:f>IF(SUMIFS('Denne projekty'!$F$5:$F$48,'Denne projekty'!$B$5:$B$48,$A26,'Denne projekty'!$A$5:$A$48,$A$5)&gt;0,SUMIFS('Denne projekty'!$F$5:$F$48,'Denne projekty'!$B$5:$B$48,$A26,'Denne projekty'!$A$5:$A$48,$A$5),"")</x:f>
        <x:v>6246.4</x:v>
      </x:c>
      <x:c r="F26" s="124" t="n">
        <x:f>IF(SUMIFS('Denne projekty'!$G$5:$G$48,'Denne projekty'!$B$5:$B$48,$A26,'Denne projekty'!$A$5:$A$48,$A$5)&gt;0,SUMIFS('Denne projekty'!$G$5:$G$48,'Denne projekty'!$B$5:$B$48,$A26,'Denne projekty'!$A$5:$A$48,$A$5),"")</x:f>
        <x:v>5981.315789473684</x:v>
      </x:c>
      <x:c r="G26" s="124" t="n">
        <x:f>IF(SUMIFS('Denne projekty'!$H$5:$H$48,'Denne projekty'!$B$5:$B$48,$A26,'Denne projekty'!$A$5:$A$48,$A$5)&gt;0,SUMIFS('Denne projekty'!$H$5:$H$48,'Denne projekty'!$B$5:$B$48,$A26,'Denne projekty'!$A$5:$A$48,$A$5),"")</x:f>
        <x:v>6186.060606060606</x:v>
      </x:c>
      <x:c r="H26" s="115" t="str">
        <x:f>IF(COUNTIFS('Denne projekty'!$B$5:$B$48,$A26,'Denne projekty'!$A$5:$A$48,$A$5,'Denne projekty'!$K$5:$K$48,"carried_forward")&gt;0,"prenesené","aktuálne")</x:f>
        <x:v>aktuálne</x:v>
      </x:c>
    </x:row>
    <x:row r="27" ht="25" customHeight="1">
      <x:c r="A27" s="113" t="str">
        <x:v>Downtown Yards</x:v>
      </x:c>
      <x:c r="B27" s="114" t="str">
        <x:v>JTRE</x:v>
      </x:c>
      <x:c r="C27" s="119" t="n">
        <x:f>SUMIFS('Denne projekty'!$D$5:$D$48,'Denne projekty'!$B$5:$B$48,$A27,'Denne projekty'!$A$5:$A$48,$A$5)</x:f>
        <x:v>155</x:v>
      </x:c>
      <x:c r="D27" s="124" t="n">
        <x:f>IF(SUMIFS('Denne projekty'!$E$5:$E$48,'Denne projekty'!$B$5:$B$48,$A27,'Denne projekty'!$A$5:$A$48,$A$5)&gt;0,SUMIFS('Denne projekty'!$E$5:$E$48,'Denne projekty'!$B$5:$B$48,$A27,'Denne projekty'!$A$5:$A$48,$A$5),"")</x:f>
        <x:v>8749.61</x:v>
      </x:c>
      <x:c r="E27" s="124" t="n">
        <x:f>IF(SUMIFS('Denne projekty'!$F$5:$F$48,'Denne projekty'!$B$5:$B$48,$A27,'Denne projekty'!$A$5:$A$48,$A$5)&gt;0,SUMIFS('Denne projekty'!$F$5:$F$48,'Denne projekty'!$B$5:$B$48,$A27,'Denne projekty'!$A$5:$A$48,$A$5),"")</x:f>
        <x:v>6964.37970588235</x:v>
      </x:c>
      <x:c r="F27" s="124" t="n">
        <x:f>IF(SUMIFS('Denne projekty'!$G$5:$G$48,'Denne projekty'!$B$5:$B$48,$A27,'Denne projekty'!$A$5:$A$48,$A$5)&gt;0,SUMIFS('Denne projekty'!$G$5:$G$48,'Denne projekty'!$B$5:$B$48,$A27,'Denne projekty'!$A$5:$A$48,$A$5),"")</x:f>
        <x:v>6787.982753623188</x:v>
      </x:c>
      <x:c r="G27" s="124" t="n">
        <x:f>IF(SUMIFS('Denne projekty'!$H$5:$H$48,'Denne projekty'!$B$5:$B$48,$A27,'Denne projekty'!$A$5:$A$48,$A$5)&gt;0,SUMIFS('Denne projekty'!$H$5:$H$48,'Denne projekty'!$B$5:$B$48,$A27,'Denne projekty'!$A$5:$A$48,$A$5),"")</x:f>
        <x:v>6973.570330578513</x:v>
      </x:c>
      <x:c r="H27" s="115" t="str">
        <x:f>IF(COUNTIFS('Denne projekty'!$B$5:$B$48,$A27,'Denne projekty'!$A$5:$A$48,$A$5,'Denne projekty'!$K$5:$K$48,"carried_forward")&gt;0,"prenesené","aktuálne")</x:f>
        <x:v>aktuálne</x:v>
      </x:c>
    </x:row>
    <x:row r="28" ht="25" customHeight="1">
      <x:c r="A28" s="113" t="str">
        <x:v>Galvania Rezidencie</x:v>
      </x:c>
      <x:c r="B28" s="114" t="str">
        <x:v>Tatra Real</x:v>
      </x:c>
      <x:c r="C28" s="119" t="n">
        <x:f>SUMIFS('Denne projekty'!$D$5:$D$48,'Denne projekty'!$B$5:$B$48,$A28,'Denne projekty'!$A$5:$A$48,$A$5)</x:f>
        <x:v>14</x:v>
      </x:c>
      <x:c r="D28" s="124" t="str">
        <x:f>IF(SUMIFS('Denne projekty'!$E$5:$E$48,'Denne projekty'!$B$5:$B$48,$A28,'Denne projekty'!$A$5:$A$48,$A$5)&gt;0,SUMIFS('Denne projekty'!$E$5:$E$48,'Denne projekty'!$B$5:$B$48,$A28,'Denne projekty'!$A$5:$A$48,$A$5),"")</x:f>
      </x:c>
      <x:c r="E28" s="124" t="n">
        <x:f>IF(SUMIFS('Denne projekty'!$F$5:$F$48,'Denne projekty'!$B$5:$B$48,$A28,'Denne projekty'!$A$5:$A$48,$A$5)&gt;0,SUMIFS('Denne projekty'!$F$5:$F$48,'Denne projekty'!$B$5:$B$48,$A28,'Denne projekty'!$A$5:$A$48,$A$5),"")</x:f>
        <x:v>5719.615</x:v>
      </x:c>
      <x:c r="F28" s="124" t="n">
        <x:f>IF(SUMIFS('Denne projekty'!$G$5:$G$48,'Denne projekty'!$B$5:$B$48,$A28,'Denne projekty'!$A$5:$A$48,$A$5)&gt;0,SUMIFS('Denne projekty'!$G$5:$G$48,'Denne projekty'!$B$5:$B$48,$A28,'Denne projekty'!$A$5:$A$48,$A$5),"")</x:f>
        <x:v>6175.15</x:v>
      </x:c>
      <x:c r="G28" s="124" t="n">
        <x:f>IF(SUMIFS('Denne projekty'!$H$5:$H$48,'Denne projekty'!$B$5:$B$48,$A28,'Denne projekty'!$A$5:$A$48,$A$5)&gt;0,SUMIFS('Denne projekty'!$H$5:$H$48,'Denne projekty'!$B$5:$B$48,$A28,'Denne projekty'!$A$5:$A$48,$A$5),"")</x:f>
        <x:v>5871.459999999999</x:v>
      </x:c>
      <x:c r="H28" s="115" t="str">
        <x:f>IF(COUNTIFS('Denne projekty'!$B$5:$B$48,$A28,'Denne projekty'!$A$5:$A$48,$A$5,'Denne projekty'!$K$5:$K$48,"carried_forward")&gt;0,"prenesené","aktuálne")</x:f>
        <x:v>aktuálne</x:v>
      </x:c>
    </x:row>
    <x:row r="29" ht="25" customHeight="1">
      <x:c r="A29" s="113" t="str">
        <x:v>Jašik Ružinov</x:v>
      </x:c>
      <x:c r="B29" s="114" t="str">
        <x:v>CRESCO Real Estate</x:v>
      </x:c>
      <x:c r="C29" s="119" t="n">
        <x:f>SUMIFS('Denne projekty'!$D$5:$D$48,'Denne projekty'!$B$5:$B$48,$A29,'Denne projekty'!$A$5:$A$48,$A$5)</x:f>
        <x:v>32</x:v>
      </x:c>
      <x:c r="D29" s="124" t="n">
        <x:f>IF(SUMIFS('Denne projekty'!$E$5:$E$48,'Denne projekty'!$B$5:$B$48,$A29,'Denne projekty'!$A$5:$A$48,$A$5)&gt;0,SUMIFS('Denne projekty'!$E$5:$E$48,'Denne projekty'!$B$5:$B$48,$A29,'Denne projekty'!$A$5:$A$48,$A$5),"")</x:f>
        <x:v>5707.8933333333325</x:v>
      </x:c>
      <x:c r="E29" s="124" t="n">
        <x:f>IF(SUMIFS('Denne projekty'!$F$5:$F$48,'Denne projekty'!$B$5:$B$48,$A29,'Denne projekty'!$A$5:$A$48,$A$5)&gt;0,SUMIFS('Denne projekty'!$F$5:$F$48,'Denne projekty'!$B$5:$B$48,$A29,'Denne projekty'!$A$5:$A$48,$A$5),"")</x:f>
        <x:v>5802.043125</x:v>
      </x:c>
      <x:c r="F29" s="124" t="n">
        <x:f>IF(SUMIFS('Denne projekty'!$G$5:$G$48,'Denne projekty'!$B$5:$B$48,$A29,'Denne projekty'!$A$5:$A$48,$A$5)&gt;0,SUMIFS('Denne projekty'!$G$5:$G$48,'Denne projekty'!$B$5:$B$48,$A29,'Denne projekty'!$A$5:$A$48,$A$5),"")</x:f>
        <x:v>5777.75</x:v>
      </x:c>
      <x:c r="G29" s="124" t="n">
        <x:f>IF(SUMIFS('Denne projekty'!$H$5:$H$48,'Denne projekty'!$B$5:$B$48,$A29,'Denne projekty'!$A$5:$A$48,$A$5)&gt;0,SUMIFS('Denne projekty'!$H$5:$H$48,'Denne projekty'!$B$5:$B$48,$A29,'Denne projekty'!$A$5:$A$48,$A$5),"")</x:f>
        <x:v>5770.007419354839</x:v>
      </x:c>
      <x:c r="H29" s="115" t="str">
        <x:f>IF(COUNTIFS('Denne projekty'!$B$5:$B$48,$A29,'Denne projekty'!$A$5:$A$48,$A$5,'Denne projekty'!$K$5:$K$48,"carried_forward")&gt;0,"prenesené","aktuálne")</x:f>
        <x:v>aktuálne</x:v>
      </x:c>
    </x:row>
    <x:row r="30" ht="25" customHeight="1">
      <x:c r="A30" s="113" t="str">
        <x:v>Kvarter</x:v>
      </x:c>
      <x:c r="B30" s="114" t="str">
        <x:v>Immocap</x:v>
      </x:c>
      <x:c r="C30" s="119" t="n">
        <x:f>SUMIFS('Denne projekty'!$D$5:$D$48,'Denne projekty'!$B$5:$B$48,$A30,'Denne projekty'!$A$5:$A$48,$A$5)</x:f>
        <x:v>25</x:v>
      </x:c>
      <x:c r="D30" s="124" t="str">
        <x:f>IF(SUMIFS('Denne projekty'!$E$5:$E$48,'Denne projekty'!$B$5:$B$48,$A30,'Denne projekty'!$A$5:$A$48,$A$5)&gt;0,SUMIFS('Denne projekty'!$E$5:$E$48,'Denne projekty'!$B$5:$B$48,$A30,'Denne projekty'!$A$5:$A$48,$A$5),"")</x:f>
      </x:c>
      <x:c r="E30" s="124" t="str">
        <x:f>IF(SUMIFS('Denne projekty'!$F$5:$F$48,'Denne projekty'!$B$5:$B$48,$A30,'Denne projekty'!$A$5:$A$48,$A$5)&gt;0,SUMIFS('Denne projekty'!$F$5:$F$48,'Denne projekty'!$B$5:$B$48,$A30,'Denne projekty'!$A$5:$A$48,$A$5),"")</x:f>
      </x:c>
      <x:c r="F30" s="124" t="str">
        <x:f>IF(SUMIFS('Denne projekty'!$G$5:$G$48,'Denne projekty'!$B$5:$B$48,$A30,'Denne projekty'!$A$5:$A$48,$A$5)&gt;0,SUMIFS('Denne projekty'!$G$5:$G$48,'Denne projekty'!$B$5:$B$48,$A30,'Denne projekty'!$A$5:$A$48,$A$5),"")</x:f>
      </x:c>
      <x:c r="G30" s="124" t="str">
        <x:f>IF(SUMIFS('Denne projekty'!$H$5:$H$48,'Denne projekty'!$B$5:$B$48,$A30,'Denne projekty'!$A$5:$A$48,$A$5)&gt;0,SUMIFS('Denne projekty'!$H$5:$H$48,'Denne projekty'!$B$5:$B$48,$A30,'Denne projekty'!$A$5:$A$48,$A$5),"")</x:f>
      </x:c>
      <x:c r="H30" s="115" t="str">
        <x:f>IF(COUNTIFS('Denne projekty'!$B$5:$B$48,$A30,'Denne projekty'!$A$5:$A$48,$A$5,'Denne projekty'!$K$5:$K$48,"carried_forward")&gt;0,"prenesené","aktuálne")</x:f>
        <x:v>aktuálne</x:v>
      </x:c>
    </x:row>
    <x:row r="31" ht="25" customHeight="1">
      <x:c r="A31" s="113" t="str">
        <x:v>Milrose</x:v>
      </x:c>
      <x:c r="B31" s="114" t="str">
        <x:v>INTRADE Group</x:v>
      </x:c>
      <x:c r="C31" s="119" t="n">
        <x:f>SUMIFS('Denne projekty'!$D$5:$D$48,'Denne projekty'!$B$5:$B$48,$A31,'Denne projekty'!$A$5:$A$48,$A$5)</x:f>
        <x:v>75</x:v>
      </x:c>
      <x:c r="D31" s="124" t="str">
        <x:f>IF(SUMIFS('Denne projekty'!$E$5:$E$48,'Denne projekty'!$B$5:$B$48,$A31,'Denne projekty'!$A$5:$A$48,$A$5)&gt;0,SUMIFS('Denne projekty'!$E$5:$E$48,'Denne projekty'!$B$5:$B$48,$A31,'Denne projekty'!$A$5:$A$48,$A$5),"")</x:f>
      </x:c>
      <x:c r="E31" s="124" t="str">
        <x:f>IF(SUMIFS('Denne projekty'!$F$5:$F$48,'Denne projekty'!$B$5:$B$48,$A31,'Denne projekty'!$A$5:$A$48,$A$5)&gt;0,SUMIFS('Denne projekty'!$F$5:$F$48,'Denne projekty'!$B$5:$B$48,$A31,'Denne projekty'!$A$5:$A$48,$A$5),"")</x:f>
      </x:c>
      <x:c r="F31" s="124" t="str">
        <x:f>IF(SUMIFS('Denne projekty'!$G$5:$G$48,'Denne projekty'!$B$5:$B$48,$A31,'Denne projekty'!$A$5:$A$48,$A$5)&gt;0,SUMIFS('Denne projekty'!$G$5:$G$48,'Denne projekty'!$B$5:$B$48,$A31,'Denne projekty'!$A$5:$A$48,$A$5),"")</x:f>
      </x:c>
      <x:c r="G31" s="124" t="str">
        <x:f>IF(SUMIFS('Denne projekty'!$H$5:$H$48,'Denne projekty'!$B$5:$B$48,$A31,'Denne projekty'!$A$5:$A$48,$A$5)&gt;0,SUMIFS('Denne projekty'!$H$5:$H$48,'Denne projekty'!$B$5:$B$48,$A31,'Denne projekty'!$A$5:$A$48,$A$5),"")</x:f>
      </x:c>
      <x:c r="H31" s="115" t="str">
        <x:f>IF(COUNTIFS('Denne projekty'!$B$5:$B$48,$A31,'Denne projekty'!$A$5:$A$48,$A$5,'Denne projekty'!$K$5:$K$48,"carried_forward")&gt;0,"prenesené","aktuálne")</x:f>
        <x:v>aktuálne</x:v>
      </x:c>
    </x:row>
    <x:row r="32" ht="25" customHeight="1">
      <x:c r="A32" s="113" t="str">
        <x:v>Mýtna 37</x:v>
      </x:c>
      <x:c r="B32" s="114" t="str">
        <x:v>EDVIN Properties</x:v>
      </x:c>
      <x:c r="C32" s="119" t="n">
        <x:f>SUMIFS('Denne projekty'!$D$5:$D$48,'Denne projekty'!$B$5:$B$48,$A32,'Denne projekty'!$A$5:$A$48,$A$5)</x:f>
        <x:v>28</x:v>
      </x:c>
      <x:c r="D32" s="124" t="n">
        <x:f>IF(SUMIFS('Denne projekty'!$E$5:$E$48,'Denne projekty'!$B$5:$B$48,$A32,'Denne projekty'!$A$5:$A$48,$A$5)&gt;0,SUMIFS('Denne projekty'!$E$5:$E$48,'Denne projekty'!$B$5:$B$48,$A32,'Denne projekty'!$A$5:$A$48,$A$5),"")</x:f>
        <x:v>7043.145833333333</x:v>
      </x:c>
      <x:c r="E32" s="124" t="n">
        <x:f>IF(SUMIFS('Denne projekty'!$F$5:$F$48,'Denne projekty'!$B$5:$B$48,$A32,'Denne projekty'!$A$5:$A$48,$A$5)&gt;0,SUMIFS('Denne projekty'!$F$5:$F$48,'Denne projekty'!$B$5:$B$48,$A32,'Denne projekty'!$A$5:$A$48,$A$5),"")</x:f>
        <x:v>7367.9710000000005</x:v>
      </x:c>
      <x:c r="F32" s="124" t="n">
        <x:f>IF(SUMIFS('Denne projekty'!$G$5:$G$48,'Denne projekty'!$B$5:$B$48,$A32,'Denne projekty'!$A$5:$A$48,$A$5)&gt;0,SUMIFS('Denne projekty'!$G$5:$G$48,'Denne projekty'!$B$5:$B$48,$A32,'Denne projekty'!$A$5:$A$48,$A$5),"")</x:f>
        <x:v>6565.916</x:v>
      </x:c>
      <x:c r="G32" s="124" t="n">
        <x:f>IF(SUMIFS('Denne projekty'!$H$5:$H$48,'Denne projekty'!$B$5:$B$48,$A32,'Denne projekty'!$A$5:$A$48,$A$5)&gt;0,SUMIFS('Denne projekty'!$H$5:$H$48,'Denne projekty'!$B$5:$B$48,$A32,'Denne projekty'!$A$5:$A$48,$A$5),"")</x:f>
        <x:v>7087.81857142857</x:v>
      </x:c>
      <x:c r="H32" s="115" t="str">
        <x:f>IF(COUNTIFS('Denne projekty'!$B$5:$B$48,$A32,'Denne projekty'!$A$5:$A$48,$A$5,'Denne projekty'!$K$5:$K$48,"carried_forward")&gt;0,"prenesené","aktuálne")</x:f>
        <x:v>aktuálne</x:v>
      </x:c>
    </x:row>
    <x:row r="33" ht="25" customHeight="1">
      <x:c r="A33" s="113" t="str">
        <x:v>NUPPU</x:v>
      </x:c>
      <x:c r="B33" s="114" t="str">
        <x:v>YIT Slovakia</x:v>
      </x:c>
      <x:c r="C33" s="119" t="n">
        <x:f>SUMIFS('Denne projekty'!$D$5:$D$48,'Denne projekty'!$B$5:$B$48,$A33,'Denne projekty'!$A$5:$A$48,$A$5)</x:f>
        <x:v>51</x:v>
      </x:c>
      <x:c r="D33" s="124" t="n">
        <x:f>IF(SUMIFS('Denne projekty'!$E$5:$E$48,'Denne projekty'!$B$5:$B$48,$A33,'Denne projekty'!$A$5:$A$48,$A$5)&gt;0,SUMIFS('Denne projekty'!$E$5:$E$48,'Denne projekty'!$B$5:$B$48,$A33,'Denne projekty'!$A$5:$A$48,$A$5),"")</x:f>
        <x:v>6852.32</x:v>
      </x:c>
      <x:c r="E33" s="124" t="n">
        <x:f>IF(SUMIFS('Denne projekty'!$F$5:$F$48,'Denne projekty'!$B$5:$B$48,$A33,'Denne projekty'!$A$5:$A$48,$A$5)&gt;0,SUMIFS('Denne projekty'!$F$5:$F$48,'Denne projekty'!$B$5:$B$48,$A33,'Denne projekty'!$A$5:$A$48,$A$5),"")</x:f>
        <x:v>5817.372105263159</x:v>
      </x:c>
      <x:c r="F33" s="124" t="n">
        <x:f>IF(SUMIFS('Denne projekty'!$G$5:$G$48,'Denne projekty'!$B$5:$B$48,$A33,'Denne projekty'!$A$5:$A$48,$A$5)&gt;0,SUMIFS('Denne projekty'!$G$5:$G$48,'Denne projekty'!$B$5:$B$48,$A33,'Denne projekty'!$A$5:$A$48,$A$5),"")</x:f>
        <x:v>5306.23214285714</x:v>
      </x:c>
      <x:c r="G33" s="124" t="n">
        <x:f>IF(SUMIFS('Denne projekty'!$H$5:$H$48,'Denne projekty'!$B$5:$B$48,$A33,'Denne projekty'!$A$5:$A$48,$A$5)&gt;0,SUMIFS('Denne projekty'!$H$5:$H$48,'Denne projekty'!$B$5:$B$48,$A33,'Denne projekty'!$A$5:$A$48,$A$5),"")</x:f>
        <x:v>5617.918627450978</x:v>
      </x:c>
      <x:c r="H33" s="115" t="str">
        <x:f>IF(COUNTIFS('Denne projekty'!$B$5:$B$48,$A33,'Denne projekty'!$A$5:$A$48,$A$5,'Denne projekty'!$K$5:$K$48,"carried_forward")&gt;0,"prenesené","aktuálne")</x:f>
        <x:v>aktuálne</x:v>
      </x:c>
    </x:row>
    <x:row r="34" ht="25" customHeight="1">
      <x:c r="A34" s="113" t="str">
        <x:v>Slnečná Strana</x:v>
      </x:c>
      <x:c r="B34" s="114" t="str">
        <x:v>PROFINAL, a.s.</x:v>
      </x:c>
      <x:c r="C34" s="119" t="n">
        <x:f>SUMIFS('Denne projekty'!$D$5:$D$48,'Denne projekty'!$B$5:$B$48,$A34,'Denne projekty'!$A$5:$A$48,$A$5)</x:f>
        <x:v>47</x:v>
      </x:c>
      <x:c r="D34" s="124" t="n">
        <x:f>IF(SUMIFS('Denne projekty'!$E$5:$E$48,'Denne projekty'!$B$5:$B$48,$A34,'Denne projekty'!$A$5:$A$48,$A$5)&gt;0,SUMIFS('Denne projekty'!$E$5:$E$48,'Denne projekty'!$B$5:$B$48,$A34,'Denne projekty'!$A$5:$A$48,$A$5),"")</x:f>
        <x:v>5385.9175</x:v>
      </x:c>
      <x:c r="E34" s="124" t="n">
        <x:f>IF(SUMIFS('Denne projekty'!$F$5:$F$48,'Denne projekty'!$B$5:$B$48,$A34,'Denne projekty'!$A$5:$A$48,$A$5)&gt;0,SUMIFS('Denne projekty'!$F$5:$F$48,'Denne projekty'!$B$5:$B$48,$A34,'Denne projekty'!$A$5:$A$48,$A$5),"")</x:f>
        <x:v>5368.3065384615375</x:v>
      </x:c>
      <x:c r="F34" s="124" t="str">
        <x:f>IF(SUMIFS('Denne projekty'!$G$5:$G$48,'Denne projekty'!$B$5:$B$48,$A34,'Denne projekty'!$A$5:$A$48,$A$5)&gt;0,SUMIFS('Denne projekty'!$G$5:$G$48,'Denne projekty'!$B$5:$B$48,$A34,'Denne projekty'!$A$5:$A$48,$A$5),"")</x:f>
      </x:c>
      <x:c r="G34" s="124" t="n">
        <x:f>IF(SUMIFS('Denne projekty'!$H$5:$H$48,'Denne projekty'!$B$5:$B$48,$A34,'Denne projekty'!$A$5:$A$48,$A$5)&gt;0,SUMIFS('Denne projekty'!$H$5:$H$48,'Denne projekty'!$B$5:$B$48,$A34,'Denne projekty'!$A$5:$A$48,$A$5),"")</x:f>
        <x:v>5490.997560975611</x:v>
      </x:c>
      <x:c r="H34" s="115" t="str">
        <x:f>IF(COUNTIFS('Denne projekty'!$B$5:$B$48,$A34,'Denne projekty'!$A$5:$A$48,$A$5,'Denne projekty'!$K$5:$K$48,"carried_forward")&gt;0,"prenesené","aktuálne")</x:f>
        <x:v>prenesené</x:v>
      </x:c>
    </x:row>
    <x:row r="35" ht="25" customHeight="1">
      <x:c r="A35" s="116" t="str">
        <x:v>Tíšiny</x:v>
      </x:c>
      <x:c r="B35" s="117" t="str">
        <x:v>CRESCO Real Estate</x:v>
      </x:c>
      <x:c r="C35" s="120" t="n">
        <x:f>SUMIFS('Denne projekty'!$D$5:$D$48,'Denne projekty'!$B$5:$B$48,$A35,'Denne projekty'!$A$5:$A$48,$A$5)</x:f>
        <x:v>35</x:v>
      </x:c>
      <x:c r="D35" s="125" t="str">
        <x:f>IF(SUMIFS('Denne projekty'!$E$5:$E$48,'Denne projekty'!$B$5:$B$48,$A35,'Denne projekty'!$A$5:$A$48,$A$5)&gt;0,SUMIFS('Denne projekty'!$E$5:$E$48,'Denne projekty'!$B$5:$B$48,$A35,'Denne projekty'!$A$5:$A$48,$A$5),"")</x:f>
      </x:c>
      <x:c r="E35" s="125" t="n">
        <x:f>IF(SUMIFS('Denne projekty'!$F$5:$F$48,'Denne projekty'!$B$5:$B$48,$A35,'Denne projekty'!$A$5:$A$48,$A$5)&gt;0,SUMIFS('Denne projekty'!$F$5:$F$48,'Denne projekty'!$B$5:$B$48,$A35,'Denne projekty'!$A$5:$A$48,$A$5),"")</x:f>
        <x:v>6426.167142857142</x:v>
      </x:c>
      <x:c r="F35" s="125" t="n">
        <x:f>IF(SUMIFS('Denne projekty'!$G$5:$G$48,'Denne projekty'!$B$5:$B$48,$A35,'Denne projekty'!$A$5:$A$48,$A$5)&gt;0,SUMIFS('Denne projekty'!$G$5:$G$48,'Denne projekty'!$B$5:$B$48,$A35,'Denne projekty'!$A$5:$A$48,$A$5),"")</x:f>
        <x:v>6799.4</x:v>
      </x:c>
      <x:c r="G35" s="125" t="n">
        <x:f>IF(SUMIFS('Denne projekty'!$H$5:$H$48,'Denne projekty'!$B$5:$B$48,$A35,'Denne projekty'!$A$5:$A$48,$A$5)&gt;0,SUMIFS('Denne projekty'!$H$5:$H$48,'Denne projekty'!$B$5:$B$48,$A35,'Denne projekty'!$A$5:$A$48,$A$5),"")</x:f>
        <x:v>6516.303124999999</x:v>
      </x:c>
      <x:c r="H35" s="118" t="str">
        <x:f>IF(COUNTIFS('Denne projekty'!$B$5:$B$48,$A35,'Denne projekty'!$A$5:$A$48,$A$5,'Denne projekty'!$K$5:$K$48,"carried_forward")&gt;0,"prenesené","aktuálne")</x:f>
        <x:v>aktuálne</x:v>
      </x:c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  <x:mergeCell ref="A22:H22"/>
  </x:mergeCells>
  <x:conditionalFormatting sqref="E11:E20">
    <x:cfRule type="cellIs" dxfId="0" priority="1" operator="lessThan">
      <x:formula>0</x:formula>
    </x:cfRule>
    <x:cfRule type="cellIs" dxfId="1" priority="2" operator="greaterThan">
      <x:formula>0</x:formula>
    </x:cfRule>
  </x:conditionalFormatting>
  <x:conditionalFormatting sqref="F11:F20">
    <x:cfRule type="containsText" dxfId="2" priority="3" operator="containsText" text="prenesené"/>
  </x:conditionalFormatting>
  <x:conditionalFormatting sqref="H25:H35">
    <x:cfRule type="containsText" dxfId="3" priority="4" operator="containsText" text="prenesené"/>
  </x:conditionalFormatting>
  <x:dataValidations count="1">
    <x:dataValidation type="list" sqref="A5">
      <x:formula1>'Dátumy'!$A$5:$A9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21" hidden="0" customWidth="1"/>
    <x:col min="7" max="7" width="26" hidden="0" customWidth="1"/>
    <x:col min="8" max="8" width="18" hidden="0" customWidth="1"/>
    <x:col min="9" max="9" width="26" hidden="0" customWidth="1"/>
    <x:col min="10" max="10" width="18" hidden="0" customWidth="1"/>
    <x:col min="11" max="11" width="32" hidden="0" customWidth="1"/>
    <x:col min="12" max="12" width="28" hidden="0" customWidth="1"/>
    <x:col min="13" max="13" width="36" hidden="0" customWidth="1"/>
    <x:col min="14" max="14" width="30" hidden="0" customWidth="1"/>
    <x:col min="15" max="15" width="28" hidden="0" customWidth="1"/>
    <x:col min="16" max="16" width="48" hidden="0" customWidth="1"/>
  </x:cols>
  <x:sheetData>
    <x:row r="1" ht="42" customHeight="1">
      <x:c r="A1" s="3" t="str">
        <x:v>Developeri a projekty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6" customHeight="1">
      <x:c r="A2" s="6" t="str">
        <x:v>Aktuálne cenové priemery a overené podmienky jednotlivých projektov. Zdrojové odkazy boli kontrolované 2026-08-20.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>
      <x:c r="A3" s="105" t="str">
        <x:v>Dátum cien</x:v>
      </x:c>
      <x:c r="B3" s="128" t="n">
        <x:v>46254</x:v>
      </x:c>
    </x:row>
    <x:row r="5" ht="38" customHeight="1">
      <x:c r="A5" s="129" t="str">
        <x:v>Developer</x:v>
      </x:c>
      <x:c r="B5" s="129" t="str">
        <x:v>Názov projektu</x:v>
      </x:c>
      <x:c r="C5" s="129" t="str">
        <x:v>1-izbové €/m²</x:v>
      </x:c>
      <x:c r="D5" s="129" t="str">
        <x:v>2-izbové €/m²</x:v>
      </x:c>
      <x:c r="E5" s="129" t="str">
        <x:v>3-izbové €/m²</x:v>
      </x:c>
      <x:c r="F5" s="129" t="str">
        <x:v>Priemer projektu €/m²</x:v>
      </x:c>
      <x:c r="G5" s="129" t="str">
        <x:v>Parkovanie</x:v>
      </x:c>
      <x:c r="H5" s="129" t="str">
        <x:v>Cena parkovania</x:v>
      </x:c>
      <x:c r="I5" s="129" t="str">
        <x:v>Kobka</x:v>
      </x:c>
      <x:c r="J5" s="129" t="str">
        <x:v>Cena kobky</x:v>
      </x:c>
      <x:c r="K5" s="129" t="str">
        <x:v>Spoločný priestor</x:v>
      </x:c>
      <x:c r="L5" s="129" t="str">
        <x:v>Priestor na bicykle</x:v>
      </x:c>
      <x:c r="M5" s="129" t="str">
        <x:v>Financovanie</x:v>
      </x:c>
      <x:c r="N5" s="129" t="str">
        <x:v>Vyššia časť sa platí</x:v>
      </x:c>
      <x:c r="O5" s="129" t="str">
        <x:v>Kolaudácia</x:v>
      </x:c>
      <x:c r="P5" s="129" t="str">
        <x:v>Zdroj / overenie</x:v>
      </x:c>
    </x:row>
    <x:row r="6" ht="58" customHeight="1">
      <x:c r="A6" t="str">
        <x:v>Alto Real Estate</x:v>
      </x:c>
      <x:c r="B6" t="str">
        <x:v>ALVY</x:v>
      </x:c>
      <x:c r="C6" s="131" t="n">
        <x:f>IF(SUMIFS('Denne projekty'!$E$5:$E$48,'Denne projekty'!$B$5:$B$48,$B6,'Denne projekty'!$A$5:$A$48,$B$3)&gt;0,SUMIFS('Denne projekty'!$E$5:$E$48,'Denne projekty'!$B$5:$B$48,$B6,'Denne projekty'!$A$5:$A$48,$B$3),"")</x:f>
        <x:v>6172.53</x:v>
      </x:c>
      <x:c r="D6" s="131" t="n">
        <x:f>IF(SUMIFS('Denne projekty'!$F$5:$F$48,'Denne projekty'!$B$5:$B$48,$B6,'Denne projekty'!$A$5:$A$48,$B$3)&gt;0,SUMIFS('Denne projekty'!$F$5:$F$48,'Denne projekty'!$B$5:$B$48,$B6,'Denne projekty'!$A$5:$A$48,$B$3),"")</x:f>
        <x:v>5750.395624999999</x:v>
      </x:c>
      <x:c r="E6" s="131" t="n">
        <x:f>IF(SUMIFS('Denne projekty'!$G$5:$G$48,'Denne projekty'!$B$5:$B$48,$B6,'Denne projekty'!$A$5:$A$48,$B$3)&gt;0,SUMIFS('Denne projekty'!$G$5:$G$48,'Denne projekty'!$B$5:$B$48,$B6,'Denne projekty'!$A$5:$A$48,$B$3),"")</x:f>
        <x:v>5342.460357142859</x:v>
      </x:c>
      <x:c r="F6" s="131" t="n">
        <x:f>IF(SUMIFS('Denne projekty'!$H$5:$H$48,'Denne projekty'!$B$5:$B$48,$B6,'Denne projekty'!$A$5:$A$48,$B$3)&gt;0,SUMIFS('Denne projekty'!$H$5:$H$48,'Denne projekty'!$B$5:$B$48,$B6,'Denne projekty'!$A$5:$A$48,$B$3),"")</x:f>
        <x:v>5510.608723404256</x:v>
      </x:c>
      <x:c r="G6" s="134" t="str">
        <x:v>Pridelené ku každému bytu, dokupuje sa</x:v>
      </x:c>
      <x:c r="H6" s="135" t="str">
        <x:v>Nezistené</x:v>
      </x:c>
      <x:c r="I6" s="134" t="str">
        <x:v>Pridelená ku každému bytu, dokupuje sa</x:v>
      </x:c>
      <x:c r="J6" s="135" t="str">
        <x:v>Nezistené</x:v>
      </x:c>
      <x:c r="K6" s="134" t="str">
        <x:v>Nezistené</x:v>
      </x:c>
      <x:c r="L6" s="134" t="str">
        <x:v>Nezistené</x:v>
      </x:c>
      <x:c r="M6" s="134" t="str">
        <x:v>Nezistené</x:v>
      </x:c>
      <x:c r="N6" s="134" t="str">
        <x:v>Nezistené</x:v>
      </x:c>
      <x:c r="O6" s="134" t="str">
        <x:v>Nezistené</x:v>
      </x:c>
      <x:c r="P6" s="134" t="str">
        <x:v>https://www.alvy.sk/cennik</x:v>
      </x:c>
    </x:row>
    <x:row r="7" ht="58" customHeight="1">
      <x:c r="A7" t="str">
        <x:v>SAIDA s.r.o.</x:v>
      </x:c>
      <x:c r="B7" t="str">
        <x:v>BAYA</x:v>
      </x:c>
      <x:c r="C7" s="131" t="n">
        <x:f>IF(SUMIFS('Denne projekty'!$E$5:$E$48,'Denne projekty'!$B$5:$B$48,$B7,'Denne projekty'!$A$5:$A$48,$B$3)&gt;0,SUMIFS('Denne projekty'!$E$5:$E$48,'Denne projekty'!$B$5:$B$48,$B7,'Denne projekty'!$A$5:$A$48,$B$3),"")</x:f>
        <x:v>6623</x:v>
      </x:c>
      <x:c r="D7" s="131" t="n">
        <x:f>IF(SUMIFS('Denne projekty'!$F$5:$F$48,'Denne projekty'!$B$5:$B$48,$B7,'Denne projekty'!$A$5:$A$48,$B$3)&gt;0,SUMIFS('Denne projekty'!$F$5:$F$48,'Denne projekty'!$B$5:$B$48,$B7,'Denne projekty'!$A$5:$A$48,$B$3),"")</x:f>
        <x:v>6246.4</x:v>
      </x:c>
      <x:c r="E7" s="131" t="n">
        <x:f>IF(SUMIFS('Denne projekty'!$G$5:$G$48,'Denne projekty'!$B$5:$B$48,$B7,'Denne projekty'!$A$5:$A$48,$B$3)&gt;0,SUMIFS('Denne projekty'!$G$5:$G$48,'Denne projekty'!$B$5:$B$48,$B7,'Denne projekty'!$A$5:$A$48,$B$3),"")</x:f>
        <x:v>5981.315789473684</x:v>
      </x:c>
      <x:c r="F7" s="131" t="n">
        <x:f>IF(SUMIFS('Denne projekty'!$H$5:$H$48,'Denne projekty'!$B$5:$B$48,$B7,'Denne projekty'!$A$5:$A$48,$B$3)&gt;0,SUMIFS('Denne projekty'!$H$5:$H$48,'Denne projekty'!$B$5:$B$48,$B7,'Denne projekty'!$A$5:$A$48,$B$3),"")</x:f>
        <x:v>6186.060606060606</x:v>
      </x:c>
      <x:c r="G7" s="134" t="str">
        <x:v>Voliteľné, projekt ráta s miestom ku každému bytu</x:v>
      </x:c>
      <x:c r="H7" s="135" t="str">
        <x:v>Od 34 000 €</x:v>
      </x:c>
      <x:c r="I7" s="134" t="str">
        <x:v>Voliteľná pivničná kobka</x:v>
      </x:c>
      <x:c r="J7" s="135" t="str">
        <x:v>Od 13 284 €</x:v>
      </x:c>
      <x:c r="K7" s="134" t="str">
        <x:v>Nezistené</x:v>
      </x:c>
      <x:c r="L7" s="134" t="str">
        <x:v>Nezistené</x:v>
      </x:c>
      <x:c r="M7" s="134" t="str">
        <x:v>Hypotéka cez partnerského špecialistu Generali</x:v>
      </x:c>
      <x:c r="N7" s="134" t="str">
        <x:v>Nezistené</x:v>
      </x:c>
      <x:c r="O7" s="134" t="str">
        <x:v>2027</x:v>
      </x:c>
      <x:c r="P7" s="134" t="str">
        <x:v>https://www.baya.btk.sk/sk/o-projekte</x:v>
      </x:c>
    </x:row>
    <x:row r="8" ht="58" customHeight="1">
      <x:c r="A8" t="str">
        <x:v>JTRE</x:v>
      </x:c>
      <x:c r="B8" t="str">
        <x:v>Downtown Yards</x:v>
      </x:c>
      <x:c r="C8" s="131" t="n">
        <x:f>IF(SUMIFS('Denne projekty'!$E$5:$E$48,'Denne projekty'!$B$5:$B$48,$B8,'Denne projekty'!$A$5:$A$48,$B$3)&gt;0,SUMIFS('Denne projekty'!$E$5:$E$48,'Denne projekty'!$B$5:$B$48,$B8,'Denne projekty'!$A$5:$A$48,$B$3),"")</x:f>
        <x:v>8749.61</x:v>
      </x:c>
      <x:c r="D8" s="131" t="n">
        <x:f>IF(SUMIFS('Denne projekty'!$F$5:$F$48,'Denne projekty'!$B$5:$B$48,$B8,'Denne projekty'!$A$5:$A$48,$B$3)&gt;0,SUMIFS('Denne projekty'!$F$5:$F$48,'Denne projekty'!$B$5:$B$48,$B8,'Denne projekty'!$A$5:$A$48,$B$3),"")</x:f>
        <x:v>6964.37970588235</x:v>
      </x:c>
      <x:c r="E8" s="131" t="n">
        <x:f>IF(SUMIFS('Denne projekty'!$G$5:$G$48,'Denne projekty'!$B$5:$B$48,$B8,'Denne projekty'!$A$5:$A$48,$B$3)&gt;0,SUMIFS('Denne projekty'!$G$5:$G$48,'Denne projekty'!$B$5:$B$48,$B8,'Denne projekty'!$A$5:$A$48,$B$3),"")</x:f>
        <x:v>6787.982753623188</x:v>
      </x:c>
      <x:c r="F8" s="131" t="n">
        <x:f>IF(SUMIFS('Denne projekty'!$H$5:$H$48,'Denne projekty'!$B$5:$B$48,$B8,'Denne projekty'!$A$5:$A$48,$B$3)&gt;0,SUMIFS('Denne projekty'!$H$5:$H$48,'Denne projekty'!$B$5:$B$48,$B8,'Denne projekty'!$A$5:$A$48,$B$3),"")</x:f>
        <x:v>6973.570330578513</x:v>
      </x:c>
      <x:c r="G8" s="134" t="str">
        <x:v>Dostatok parkovacích miest</x:v>
      </x:c>
      <x:c r="H8" s="135" t="str">
        <x:v>Nezistené</x:v>
      </x:c>
      <x:c r="I8" s="134" t="str">
        <x:v>Nezistené</x:v>
      </x:c>
      <x:c r="J8" s="135" t="str">
        <x:v>Nezistené</x:v>
      </x:c>
      <x:c r="K8" s="134" t="str">
        <x:v>6 100 m² zelene, vnútorné dvory a komunitný klub</x:v>
      </x:c>
      <x:c r="L8" s="134" t="str">
        <x:v>Cyklotrasa a cyklostojiská v každom vchode</x:v>
      </x:c>
      <x:c r="M8" s="134" t="str">
        <x:v>Hypotekárny servis GEPARD FINANCE</x:v>
      </x:c>
      <x:c r="N8" s="134" t="str">
        <x:v>Nezistené</x:v>
      </x:c>
      <x:c r="O8" s="134" t="str">
        <x:v>1. etapa 2026–2027, podľa bytu 2026/2027</x:v>
      </x:c>
      <x:c r="P8" s="134" t="str">
        <x:v>https://d-y.sk/</x:v>
      </x:c>
    </x:row>
    <x:row r="9" ht="58" customHeight="1">
      <x:c r="A9" t="str">
        <x:v>Tatra Real</x:v>
      </x:c>
      <x:c r="B9" t="str">
        <x:v>Galvania Rezidencie</x:v>
      </x:c>
      <x:c r="C9" s="131" t="str">
        <x:f>IF(SUMIFS('Denne projekty'!$E$5:$E$48,'Denne projekty'!$B$5:$B$48,$B9,'Denne projekty'!$A$5:$A$48,$B$3)&gt;0,SUMIFS('Denne projekty'!$E$5:$E$48,'Denne projekty'!$B$5:$B$48,$B9,'Denne projekty'!$A$5:$A$48,$B$3),"")</x:f>
      </x:c>
      <x:c r="D9" s="131" t="n">
        <x:f>IF(SUMIFS('Denne projekty'!$F$5:$F$48,'Denne projekty'!$B$5:$B$48,$B9,'Denne projekty'!$A$5:$A$48,$B$3)&gt;0,SUMIFS('Denne projekty'!$F$5:$F$48,'Denne projekty'!$B$5:$B$48,$B9,'Denne projekty'!$A$5:$A$48,$B$3),"")</x:f>
        <x:v>5719.615</x:v>
      </x:c>
      <x:c r="E9" s="131" t="n">
        <x:f>IF(SUMIFS('Denne projekty'!$G$5:$G$48,'Denne projekty'!$B$5:$B$48,$B9,'Denne projekty'!$A$5:$A$48,$B$3)&gt;0,SUMIFS('Denne projekty'!$G$5:$G$48,'Denne projekty'!$B$5:$B$48,$B9,'Denne projekty'!$A$5:$A$48,$B$3),"")</x:f>
        <x:v>6175.15</x:v>
      </x:c>
      <x:c r="F9" s="131" t="n">
        <x:f>IF(SUMIFS('Denne projekty'!$H$5:$H$48,'Denne projekty'!$B$5:$B$48,$B9,'Denne projekty'!$A$5:$A$48,$B$3)&gt;0,SUMIFS('Denne projekty'!$H$5:$H$48,'Denne projekty'!$B$5:$B$48,$B9,'Denne projekty'!$A$5:$A$48,$B$3),"")</x:f>
        <x:v>5871.459999999999</x:v>
      </x:c>
      <x:c r="G9" s="134" t="str">
        <x:v>Voliteľné podzemné státie</x:v>
      </x:c>
      <x:c r="H9" s="135" t="str">
        <x:v>Nezistené</x:v>
      </x:c>
      <x:c r="I9" s="134" t="str">
        <x:v>Voliteľná pivničná kobka</x:v>
      </x:c>
      <x:c r="J9" s="135" t="str">
        <x:v>Nezistené</x:v>
      </x:c>
      <x:c r="K9" s="134" t="str">
        <x:v>Súkromný park 6 000 m², oddychové zóny, ihrisko a fitness</x:v>
      </x:c>
      <x:c r="L9" s="134" t="str">
        <x:v>Nezistené</x:v>
      </x:c>
      <x:c r="M9" s="134" t="str">
        <x:v>20/80</x:v>
      </x:c>
      <x:c r="N9" s="134" t="str">
        <x:v>80 % po kolaudácii a zápise bytov na list vlastníctva</x:v>
      </x:c>
      <x:c r="O9" s="134" t="str">
        <x:v>Blok C 4Q 2026–1Q 2027, blok A 3Q 2027–1Q 2028</x:v>
      </x:c>
      <x:c r="P9" s="134" t="str">
        <x:v>https://www.galvania.sk/o-projekte/</x:v>
      </x:c>
    </x:row>
    <x:row r="10" ht="58" customHeight="1">
      <x:c r="A10" t="str">
        <x:v>CRESCO Real Estate</x:v>
      </x:c>
      <x:c r="B10" t="str">
        <x:v>Jašik Ružinov</x:v>
      </x:c>
      <x:c r="C10" s="131" t="n">
        <x:f>IF(SUMIFS('Denne projekty'!$E$5:$E$48,'Denne projekty'!$B$5:$B$48,$B10,'Denne projekty'!$A$5:$A$48,$B$3)&gt;0,SUMIFS('Denne projekty'!$E$5:$E$48,'Denne projekty'!$B$5:$B$48,$B10,'Denne projekty'!$A$5:$A$48,$B$3),"")</x:f>
        <x:v>5707.8933333333325</x:v>
      </x:c>
      <x:c r="D10" s="131" t="n">
        <x:f>IF(SUMIFS('Denne projekty'!$F$5:$F$48,'Denne projekty'!$B$5:$B$48,$B10,'Denne projekty'!$A$5:$A$48,$B$3)&gt;0,SUMIFS('Denne projekty'!$F$5:$F$48,'Denne projekty'!$B$5:$B$48,$B10,'Denne projekty'!$A$5:$A$48,$B$3),"")</x:f>
        <x:v>5802.043125</x:v>
      </x:c>
      <x:c r="E10" s="131" t="n">
        <x:f>IF(SUMIFS('Denne projekty'!$G$5:$G$48,'Denne projekty'!$B$5:$B$48,$B10,'Denne projekty'!$A$5:$A$48,$B$3)&gt;0,SUMIFS('Denne projekty'!$G$5:$G$48,'Denne projekty'!$B$5:$B$48,$B10,'Denne projekty'!$A$5:$A$48,$B$3),"")</x:f>
        <x:v>5777.75</x:v>
      </x:c>
      <x:c r="F10" s="131" t="n">
        <x:f>IF(SUMIFS('Denne projekty'!$H$5:$H$48,'Denne projekty'!$B$5:$B$48,$B10,'Denne projekty'!$A$5:$A$48,$B$3)&gt;0,SUMIFS('Denne projekty'!$H$5:$H$48,'Denne projekty'!$B$5:$B$48,$B10,'Denne projekty'!$A$5:$A$48,$B$3),"")</x:f>
        <x:v>5770.007419354839</x:v>
      </x:c>
      <x:c r="G10" s="134" t="str">
        <x:v>Podzemné aj vonkajšie státia</x:v>
      </x:c>
      <x:c r="H10" s="135" t="str">
        <x:v>Nezistené</x:v>
      </x:c>
      <x:c r="I10" s="134" t="str">
        <x:v>Podľa konkrétnej jednotky</x:v>
      </x:c>
      <x:c r="J10" s="135" t="str">
        <x:v>Nezistené</x:v>
      </x:c>
      <x:c r="K10" s="134" t="str">
        <x:v>Zelený vnútroblok</x:v>
      </x:c>
      <x:c r="L10" s="134" t="str">
        <x:v>Nezistené</x:v>
      </x:c>
      <x:c r="M10" s="134" t="str">
        <x:v>Možná hypotéka, podmienky podľa jednotky a fázy</x:v>
      </x:c>
      <x:c r="N10" s="134" t="str">
        <x:v>Podľa dohodnutého harmonogramu</x:v>
      </x:c>
      <x:c r="O10" s="134" t="str">
        <x:v>Nezistené</x:v>
      </x:c>
      <x:c r="P10" s="134" t="str">
        <x:v>https://jasikruzinov.sk/o-projekte | https://jasikruzinov.sk/faq</x:v>
      </x:c>
    </x:row>
    <x:row r="11" ht="58" customHeight="1">
      <x:c r="A11" t="str">
        <x:v>Immocap</x:v>
      </x:c>
      <x:c r="B11" t="str">
        <x:v>Kvarter</x:v>
      </x:c>
      <x:c r="C11" s="131" t="str">
        <x:f>IF(SUMIFS('Denne projekty'!$E$5:$E$48,'Denne projekty'!$B$5:$B$48,$B11,'Denne projekty'!$A$5:$A$48,$B$3)&gt;0,SUMIFS('Denne projekty'!$E$5:$E$48,'Denne projekty'!$B$5:$B$48,$B11,'Denne projekty'!$A$5:$A$48,$B$3),"")</x:f>
      </x:c>
      <x:c r="D11" s="131" t="str">
        <x:f>IF(SUMIFS('Denne projekty'!$F$5:$F$48,'Denne projekty'!$B$5:$B$48,$B11,'Denne projekty'!$A$5:$A$48,$B$3)&gt;0,SUMIFS('Denne projekty'!$F$5:$F$48,'Denne projekty'!$B$5:$B$48,$B11,'Denne projekty'!$A$5:$A$48,$B$3),"")</x:f>
      </x:c>
      <x:c r="E11" s="131" t="str">
        <x:f>IF(SUMIFS('Denne projekty'!$G$5:$G$48,'Denne projekty'!$B$5:$B$48,$B11,'Denne projekty'!$A$5:$A$48,$B$3)&gt;0,SUMIFS('Denne projekty'!$G$5:$G$48,'Denne projekty'!$B$5:$B$48,$B11,'Denne projekty'!$A$5:$A$48,$B$3),"")</x:f>
      </x:c>
      <x:c r="F11" s="131" t="str">
        <x:f>IF(SUMIFS('Denne projekty'!$H$5:$H$48,'Denne projekty'!$B$5:$B$48,$B11,'Denne projekty'!$A$5:$A$48,$B$3)&gt;0,SUMIFS('Denne projekty'!$H$5:$H$48,'Denne projekty'!$B$5:$B$48,$B11,'Denne projekty'!$A$5:$A$48,$B$3),"")</x:f>
      </x:c>
      <x:c r="G11" s="134" t="str">
        <x:v>Voliteľné veľkometrážne státie ku každému bytu/apartmánu</x:v>
      </x:c>
      <x:c r="H11" s="135" t="str">
        <x:v>Nezistené</x:v>
      </x:c>
      <x:c r="I11" s="134" t="str">
        <x:v>Voliteľný pivničný priestor ku každému bytu/apartmánu</x:v>
      </x:c>
      <x:c r="J11" s="135" t="str">
        <x:v>Nezistené</x:v>
      </x:c>
      <x:c r="K11" s="134" t="str">
        <x:v>Dizajnové átrium, vnútorná pavlač a komunitná strešná terasa</x:v>
      </x:c>
      <x:c r="L11" s="134" t="str">
        <x:v>Cykloparkovisko, servisovňa a umyvárka</x:v>
      </x:c>
      <x:c r="M11" s="134" t="str">
        <x:v>Bez inflačnej doložky, pomoc finančných expertov</x:v>
      </x:c>
      <x:c r="N11" s="134" t="str">
        <x:v>Nezistené</x:v>
      </x:c>
      <x:c r="O11" s="134" t="str">
        <x:v>Jar 2027</x:v>
      </x:c>
      <x:c r="P11" s="134" t="str">
        <x:v>https://kvarter-living.sk/benefity</x:v>
      </x:c>
    </x:row>
    <x:row r="12" ht="58" customHeight="1">
      <x:c r="A12" t="str">
        <x:v>INTRADE Group</x:v>
      </x:c>
      <x:c r="B12" t="str">
        <x:v>Milrose</x:v>
      </x:c>
      <x:c r="C12" s="131" t="str">
        <x:f>IF(SUMIFS('Denne projekty'!$E$5:$E$48,'Denne projekty'!$B$5:$B$48,$B12,'Denne projekty'!$A$5:$A$48,$B$3)&gt;0,SUMIFS('Denne projekty'!$E$5:$E$48,'Denne projekty'!$B$5:$B$48,$B12,'Denne projekty'!$A$5:$A$48,$B$3),"")</x:f>
      </x:c>
      <x:c r="D12" s="131" t="str">
        <x:f>IF(SUMIFS('Denne projekty'!$F$5:$F$48,'Denne projekty'!$B$5:$B$48,$B12,'Denne projekty'!$A$5:$A$48,$B$3)&gt;0,SUMIFS('Denne projekty'!$F$5:$F$48,'Denne projekty'!$B$5:$B$48,$B12,'Denne projekty'!$A$5:$A$48,$B$3),"")</x:f>
      </x:c>
      <x:c r="E12" s="131" t="str">
        <x:f>IF(SUMIFS('Denne projekty'!$G$5:$G$48,'Denne projekty'!$B$5:$B$48,$B12,'Denne projekty'!$A$5:$A$48,$B$3)&gt;0,SUMIFS('Denne projekty'!$G$5:$G$48,'Denne projekty'!$B$5:$B$48,$B12,'Denne projekty'!$A$5:$A$48,$B$3),"")</x:f>
      </x:c>
      <x:c r="F12" s="131" t="str">
        <x:f>IF(SUMIFS('Denne projekty'!$H$5:$H$48,'Denne projekty'!$B$5:$B$48,$B12,'Denne projekty'!$A$5:$A$48,$B$3)&gt;0,SUMIFS('Denne projekty'!$H$5:$H$48,'Denne projekty'!$B$5:$B$48,$B12,'Denne projekty'!$A$5:$A$48,$B$3),"")</x:f>
      </x:c>
      <x:c r="G12" s="134" t="str">
        <x:v>440 podzemných miest pre 301 bytov</x:v>
      </x:c>
      <x:c r="H12" s="135" t="str">
        <x:v>Nezistené</x:v>
      </x:c>
      <x:c r="I12" s="134" t="str">
        <x:v>286 pivničných kobiek pre 301 bytov</x:v>
      </x:c>
      <x:c r="J12" s="135" t="str">
        <x:v>Nezistené</x:v>
      </x:c>
      <x:c r="K12" s="134" t="str">
        <x:v>Nezistené</x:v>
      </x:c>
      <x:c r="L12" s="134" t="str">
        <x:v>Nezistené</x:v>
      </x:c>
      <x:c r="M12" s="134" t="str">
        <x:v>Rezervačný poplatok 15 000 € + prvá splátka od 15 % v 2. polroku 2026</x:v>
      </x:c>
      <x:c r="N12" s="134" t="str">
        <x:v>Zvyšok nezistený</x:v>
      </x:c>
      <x:c r="O12" s="134" t="str">
        <x:v>Q4 2029</x:v>
      </x:c>
      <x:c r="P12" s="134" t="str">
        <x:v>https://milrose.sk/o-projekte/ | https://milrose.sk/byt/byt-c8-01/</x:v>
      </x:c>
    </x:row>
    <x:row r="13" ht="58" customHeight="1">
      <x:c r="A13" t="str">
        <x:v>EDVIN Properties</x:v>
      </x:c>
      <x:c r="B13" t="str">
        <x:v>Mýtna 37</x:v>
      </x:c>
      <x:c r="C13" s="131" t="n">
        <x:f>IF(SUMIFS('Denne projekty'!$E$5:$E$48,'Denne projekty'!$B$5:$B$48,$B13,'Denne projekty'!$A$5:$A$48,$B$3)&gt;0,SUMIFS('Denne projekty'!$E$5:$E$48,'Denne projekty'!$B$5:$B$48,$B13,'Denne projekty'!$A$5:$A$48,$B$3),"")</x:f>
        <x:v>7043.145833333333</x:v>
      </x:c>
      <x:c r="D13" s="131" t="n">
        <x:f>IF(SUMIFS('Denne projekty'!$F$5:$F$48,'Denne projekty'!$B$5:$B$48,$B13,'Denne projekty'!$A$5:$A$48,$B$3)&gt;0,SUMIFS('Denne projekty'!$F$5:$F$48,'Denne projekty'!$B$5:$B$48,$B13,'Denne projekty'!$A$5:$A$48,$B$3),"")</x:f>
        <x:v>7367.9710000000005</x:v>
      </x:c>
      <x:c r="E13" s="131" t="n">
        <x:f>IF(SUMIFS('Denne projekty'!$G$5:$G$48,'Denne projekty'!$B$5:$B$48,$B13,'Denne projekty'!$A$5:$A$48,$B$3)&gt;0,SUMIFS('Denne projekty'!$G$5:$G$48,'Denne projekty'!$B$5:$B$48,$B13,'Denne projekty'!$A$5:$A$48,$B$3),"")</x:f>
        <x:v>6565.916</x:v>
      </x:c>
      <x:c r="F13" s="131" t="n">
        <x:f>IF(SUMIFS('Denne projekty'!$H$5:$H$48,'Denne projekty'!$B$5:$B$48,$B13,'Denne projekty'!$A$5:$A$48,$B$3)&gt;0,SUMIFS('Denne projekty'!$H$5:$H$48,'Denne projekty'!$B$5:$B$48,$B13,'Denne projekty'!$A$5:$A$48,$B$3),"")</x:f>
        <x:v>7087.81857142857</x:v>
      </x:c>
      <x:c r="G13" s="134" t="str">
        <x:v>Povinné dokúpiť k 2kk a 3kk</x:v>
      </x:c>
      <x:c r="H13" s="135" t="str">
        <x:v>Nezistené</x:v>
      </x:c>
      <x:c r="I13" s="134" t="str">
        <x:v>Povinné dokúpiť k 2kk a 3kk</x:v>
      </x:c>
      <x:c r="J13" s="135" t="str">
        <x:v>Nezistené</x:v>
      </x:c>
      <x:c r="K13" s="134" t="str">
        <x:v>Vlastné nádvorie</x:v>
      </x:c>
      <x:c r="L13" s="134" t="str">
        <x:v>Miestnosť pre bicykle a kočíky</x:v>
      </x:c>
      <x:c r="M13" s="134" t="str">
        <x:v>Nezistené</x:v>
      </x:c>
      <x:c r="N13" s="134" t="str">
        <x:v>Nezistené</x:v>
      </x:c>
      <x:c r="O13" s="134" t="str">
        <x:v>Q4 2028</x:v>
      </x:c>
      <x:c r="P13" s="134" t="str">
        <x:v>https://www.mytna37.sk/ponuka | https://www.mytna37.sk/wp-content/uploads/2026/03/mytna-technicky-standard.pdf</x:v>
      </x:c>
    </x:row>
    <x:row r="14" ht="58" customHeight="1">
      <x:c r="A14" t="str">
        <x:v>YIT Slovakia</x:v>
      </x:c>
      <x:c r="B14" t="str">
        <x:v>NUPPU</x:v>
      </x:c>
      <x:c r="C14" s="131" t="n">
        <x:f>IF(SUMIFS('Denne projekty'!$E$5:$E$48,'Denne projekty'!$B$5:$B$48,$B14,'Denne projekty'!$A$5:$A$48,$B$3)&gt;0,SUMIFS('Denne projekty'!$E$5:$E$48,'Denne projekty'!$B$5:$B$48,$B14,'Denne projekty'!$A$5:$A$48,$B$3),"")</x:f>
        <x:v>6852.32</x:v>
      </x:c>
      <x:c r="D14" s="131" t="n">
        <x:f>IF(SUMIFS('Denne projekty'!$F$5:$F$48,'Denne projekty'!$B$5:$B$48,$B14,'Denne projekty'!$A$5:$A$48,$B$3)&gt;0,SUMIFS('Denne projekty'!$F$5:$F$48,'Denne projekty'!$B$5:$B$48,$B14,'Denne projekty'!$A$5:$A$48,$B$3),"")</x:f>
        <x:v>5817.372105263159</x:v>
      </x:c>
      <x:c r="E14" s="131" t="n">
        <x:f>IF(SUMIFS('Denne projekty'!$G$5:$G$48,'Denne projekty'!$B$5:$B$48,$B14,'Denne projekty'!$A$5:$A$48,$B$3)&gt;0,SUMIFS('Denne projekty'!$G$5:$G$48,'Denne projekty'!$B$5:$B$48,$B14,'Denne projekty'!$A$5:$A$48,$B$3),"")</x:f>
        <x:v>5306.23214285714</x:v>
      </x:c>
      <x:c r="F14" s="131" t="n">
        <x:f>IF(SUMIFS('Denne projekty'!$H$5:$H$48,'Denne projekty'!$B$5:$B$48,$B14,'Denne projekty'!$A$5:$A$48,$B$3)&gt;0,SUMIFS('Denne projekty'!$H$5:$H$48,'Denne projekty'!$B$5:$B$48,$B14,'Denne projekty'!$A$5:$A$48,$B$3),"")</x:f>
        <x:v>5617.918627450978</x:v>
      </x:c>
      <x:c r="G14" s="134" t="str">
        <x:v>Voliteľné, možno dokúpiť</x:v>
      </x:c>
      <x:c r="H14" s="135" t="str">
        <x:v>Nezistené</x:v>
      </x:c>
      <x:c r="I14" s="134" t="str">
        <x:v>Pivničná kobka v cene</x:v>
      </x:c>
      <x:c r="J14" s="135" t="str">
        <x:v>V cene</x:v>
      </x:c>
      <x:c r="K14" s="134" t="str">
        <x:v>Nezistené</x:v>
      </x:c>
      <x:c r="L14" s="134" t="str">
        <x:v>Nezistené</x:v>
      </x:c>
      <x:c r="M14" s="134" t="str">
        <x:v>10/90, pri vybraných bytoch aj družstevné bývanie</x:v>
      </x:c>
      <x:c r="N14" s="134" t="str">
        <x:v>90 %, presný termín nezistený</x:v>
      </x:c>
      <x:c r="O14" s="134" t="str">
        <x:v>Magnolia 4 jan/feb 2027, Magnolia 5 marec 2027</x:v>
      </x:c>
      <x:c r="P14" s="134" t="str">
        <x:v>https://www.yit.sk/predaj-bytov/bratislava/ruzinov/nuppu/nuppu-magnolia-4/pdsk105710 | https://www.yit.sk/predaj-bytov/bratislava/ruzinov/nuppu/nuppu-magnolia-5/pdsk107784</x:v>
      </x:c>
    </x:row>
    <x:row r="15" ht="58" customHeight="1">
      <x:c r="A15" t="str">
        <x:v>PROFINAL, a.s.</x:v>
      </x:c>
      <x:c r="B15" t="str">
        <x:v>Slnečná Strana</x:v>
      </x:c>
      <x:c r="C15" s="131" t="n">
        <x:f>IF(SUMIFS('Denne projekty'!$E$5:$E$48,'Denne projekty'!$B$5:$B$48,$B15,'Denne projekty'!$A$5:$A$48,$B$3)&gt;0,SUMIFS('Denne projekty'!$E$5:$E$48,'Denne projekty'!$B$5:$B$48,$B15,'Denne projekty'!$A$5:$A$48,$B$3),"")</x:f>
        <x:v>5385.9175</x:v>
      </x:c>
      <x:c r="D15" s="131" t="n">
        <x:f>IF(SUMIFS('Denne projekty'!$F$5:$F$48,'Denne projekty'!$B$5:$B$48,$B15,'Denne projekty'!$A$5:$A$48,$B$3)&gt;0,SUMIFS('Denne projekty'!$F$5:$F$48,'Denne projekty'!$B$5:$B$48,$B15,'Denne projekty'!$A$5:$A$48,$B$3),"")</x:f>
        <x:v>5368.3065384615375</x:v>
      </x:c>
      <x:c r="E15" s="131" t="str">
        <x:f>IF(SUMIFS('Denne projekty'!$G$5:$G$48,'Denne projekty'!$B$5:$B$48,$B15,'Denne projekty'!$A$5:$A$48,$B$3)&gt;0,SUMIFS('Denne projekty'!$G$5:$G$48,'Denne projekty'!$B$5:$B$48,$B15,'Denne projekty'!$A$5:$A$48,$B$3),"")</x:f>
      </x:c>
      <x:c r="F15" s="131" t="n">
        <x:f>IF(SUMIFS('Denne projekty'!$H$5:$H$48,'Denne projekty'!$B$5:$B$48,$B15,'Denne projekty'!$A$5:$A$48,$B$3)&gt;0,SUMIFS('Denne projekty'!$H$5:$H$48,'Denne projekty'!$B$5:$B$48,$B15,'Denne projekty'!$A$5:$A$48,$B$3),"")</x:f>
        <x:v>5490.997560975611</x:v>
      </x:c>
      <x:c r="G15" s="134" t="str">
        <x:v>Možno prikúpiť vnútorné alebo vonkajšie státie</x:v>
      </x:c>
      <x:c r="H15" s="135" t="str">
        <x:v>Nezistené</x:v>
      </x:c>
      <x:c r="I15" s="134" t="str">
        <x:v>Možno prikúpiť pivničnú kobku</x:v>
      </x:c>
      <x:c r="J15" s="135" t="str">
        <x:v>Nezistené</x:v>
      </x:c>
      <x:c r="K15" s="134" t="str">
        <x:v>Zelená strecha s biozáhradkami, bazén a detské ihrisko</x:v>
      </x:c>
      <x:c r="L15" s="134" t="str">
        <x:v>Cyklodepozit a vonkajšie stojisko, nabíjanie</x:v>
      </x:c>
      <x:c r="M15" s="134" t="str">
        <x:v>Projekt financuje Slovenská sporiteľňa, klientsky model nezistený</x:v>
      </x:c>
      <x:c r="N15" s="134" t="str">
        <x:v>Nezistené</x:v>
      </x:c>
      <x:c r="O15" s="134" t="str">
        <x:v>Október 2026</x:v>
      </x:c>
      <x:c r="P15" s="134" t="str">
        <x:v>https://slnecnastrana.sk/o-projekte/ | https://slnecnastrana.sk/vybavenie-objektu/</x:v>
      </x:c>
    </x:row>
    <x:row r="16" ht="58" customHeight="1">
      <x:c r="A16" t="str">
        <x:v>CRESCO Real Estate</x:v>
      </x:c>
      <x:c r="B16" t="str">
        <x:v>Tíšiny</x:v>
      </x:c>
      <x:c r="C16" s="131" t="str">
        <x:f>IF(SUMIFS('Denne projekty'!$E$5:$E$48,'Denne projekty'!$B$5:$B$48,$B16,'Denne projekty'!$A$5:$A$48,$B$3)&gt;0,SUMIFS('Denne projekty'!$E$5:$E$48,'Denne projekty'!$B$5:$B$48,$B16,'Denne projekty'!$A$5:$A$48,$B$3),"")</x:f>
      </x:c>
      <x:c r="D16" s="131" t="n">
        <x:f>IF(SUMIFS('Denne projekty'!$F$5:$F$48,'Denne projekty'!$B$5:$B$48,$B16,'Denne projekty'!$A$5:$A$48,$B$3)&gt;0,SUMIFS('Denne projekty'!$F$5:$F$48,'Denne projekty'!$B$5:$B$48,$B16,'Denne projekty'!$A$5:$A$48,$B$3),"")</x:f>
        <x:v>6426.167142857142</x:v>
      </x:c>
      <x:c r="E16" s="131" t="n">
        <x:f>IF(SUMIFS('Denne projekty'!$G$5:$G$48,'Denne projekty'!$B$5:$B$48,$B16,'Denne projekty'!$A$5:$A$48,$B$3)&gt;0,SUMIFS('Denne projekty'!$G$5:$G$48,'Denne projekty'!$B$5:$B$48,$B16,'Denne projekty'!$A$5:$A$48,$B$3),"")</x:f>
        <x:v>6799.4</x:v>
      </x:c>
      <x:c r="F16" s="131" t="n">
        <x:f>IF(SUMIFS('Denne projekty'!$H$5:$H$48,'Denne projekty'!$B$5:$B$48,$B16,'Denne projekty'!$A$5:$A$48,$B$3)&gt;0,SUMIFS('Denne projekty'!$H$5:$H$48,'Denne projekty'!$B$5:$B$48,$B16,'Denne projekty'!$A$5:$A$48,$B$3),"")</x:f>
        <x:v>6516.303124999999</x:v>
      </x:c>
      <x:c r="G16" s="134" t="str">
        <x:v>Vnútorné aj vonkajšie miesta</x:v>
      </x:c>
      <x:c r="H16" s="135" t="str">
        <x:v>Nezistené</x:v>
      </x:c>
      <x:c r="I16" s="134" t="str">
        <x:v>Nezistené</x:v>
      </x:c>
      <x:c r="J16" s="135" t="str">
        <x:v>Nezistené</x:v>
      </x:c>
      <x:c r="K16" s="134" t="str">
        <x:v>Nezistené</x:v>
      </x:c>
      <x:c r="L16" s="134" t="str">
        <x:v>Nezistené</x:v>
      </x:c>
      <x:c r="M16" s="134" t="str">
        <x:v>20/80</x:v>
      </x:c>
      <x:c r="N16" s="134" t="str">
        <x:v>80 % po právoplatnosti kolaudačného rozhodnutia</x:v>
      </x:c>
      <x:c r="O16" s="134" t="str">
        <x:v>Žiadosť 4Q 2028, odovzdanie 2Q 2029</x:v>
      </x:c>
      <x:c r="P16" s="134" t="str">
        <x:v>https://www.tisiny.sk/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afbfd8e6ff0146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7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20" hidden="0" customWidth="1"/>
  </x:cols>
  <x:sheetData>
    <x:row r="1" ht="42" customHeight="1">
      <x:c r="A1" s="3" t="str">
        <x:v>Denná história podľa developera</x:v>
      </x:c>
      <x:c r="B1" s="3"/>
      <x:c r="C1" s="3"/>
      <x:c r="D1" s="3"/>
      <x:c r="E1" s="3"/>
      <x:c r="F1" s="3"/>
      <x:c r="G1" s="3"/>
    </x:row>
    <x:row r="2" ht="26" customHeight="1">
      <x:c r="A2" s="6" t="str">
        <x:v>Agregované hodnoty z posledného dostupného snapshotu každého projektu v daný deň.</x:v>
      </x:c>
      <x:c r="B2" s="6"/>
      <x:c r="C2" s="6"/>
      <x:c r="D2" s="6"/>
      <x:c r="E2" s="6"/>
      <x:c r="F2" s="6"/>
      <x:c r="G2" s="6"/>
    </x:row>
    <x:row r="4" ht="30" customHeight="1">
      <x:c r="A4" s="109" t="str">
        <x:v>Dátum</x:v>
      </x:c>
      <x:c r="B4" s="109" t="str">
        <x:v>Developer</x:v>
      </x:c>
      <x:c r="C4" s="109" t="str">
        <x:v>Dostupné byty</x:v>
      </x:c>
      <x:c r="D4" s="109" t="str">
        <x:v>Počet projektov</x:v>
      </x:c>
      <x:c r="E4" s="109" t="str">
        <x:v>Všetky jednotky</x:v>
      </x:c>
      <x:c r="F4" s="109" t="str">
        <x:v>Prenesené projekty</x:v>
      </x:c>
      <x:c r="G4" s="109" t="str">
        <x:v>Kvalita dát</x:v>
      </x:c>
    </x:row>
    <x:row r="5">
      <x:c r="A5" s="106" t="n">
        <x:v>46249</x:v>
      </x:c>
      <x:c r="B5" t="str">
        <x:v>CRESCO Real Estate</x:v>
      </x:c>
      <x:c r="C5" s="119" t="n">
        <x:v>31</x:v>
      </x:c>
      <x:c r="D5" s="119" t="n">
        <x:v>1</x:v>
      </x:c>
      <x:c r="E5" s="119" t="n">
        <x:v>64</x:v>
      </x:c>
      <x:c r="F5" s="119" t="n">
        <x:v>0</x:v>
      </x:c>
      <x:c r="G5" t="str">
        <x:v>fresh</x:v>
      </x:c>
    </x:row>
    <x:row r="6">
      <x:c r="A6" s="106" t="n">
        <x:v>46249</x:v>
      </x:c>
      <x:c r="B6" t="str">
        <x:v>Immocap</x:v>
      </x:c>
      <x:c r="C6" s="119" t="n">
        <x:v>26</x:v>
      </x:c>
      <x:c r="D6" s="119" t="n">
        <x:v>1</x:v>
      </x:c>
      <x:c r="E6" s="119" t="n">
        <x:v>83</x:v>
      </x:c>
      <x:c r="F6" s="119" t="n">
        <x:v>0</x:v>
      </x:c>
      <x:c r="G6" t="str">
        <x:v>fresh</x:v>
      </x:c>
    </x:row>
    <x:row r="7">
      <x:c r="A7" s="106" t="n">
        <x:v>46249</x:v>
      </x:c>
      <x:c r="B7" t="str">
        <x:v>PROFINAL, a.s.</x:v>
      </x:c>
      <x:c r="C7" s="119" t="n">
        <x:v>47</x:v>
      </x:c>
      <x:c r="D7" s="119" t="n">
        <x:v>1</x:v>
      </x:c>
      <x:c r="E7" s="119" t="n">
        <x:v>81</x:v>
      </x:c>
      <x:c r="F7" s="119" t="n">
        <x:v>0</x:v>
      </x:c>
      <x:c r="G7" t="str">
        <x:v>fresh</x:v>
      </x:c>
    </x:row>
    <x:row r="8">
      <x:c r="A8" s="106" t="n">
        <x:v>46249</x:v>
      </x:c>
      <x:c r="B8" t="str">
        <x:v>Tatra Real</x:v>
      </x:c>
      <x:c r="C8" s="119" t="n">
        <x:v>15</x:v>
      </x:c>
      <x:c r="D8" s="119" t="n">
        <x:v>1</x:v>
      </x:c>
      <x:c r="E8" s="119" t="n">
        <x:v>302</x:v>
      </x:c>
      <x:c r="F8" s="119" t="n">
        <x:v>0</x:v>
      </x:c>
      <x:c r="G8" t="str">
        <x:v>fresh</x:v>
      </x:c>
    </x:row>
    <x:row r="9">
      <x:c r="A9" s="106" t="n">
        <x:v>46251</x:v>
      </x:c>
      <x:c r="B9" t="str">
        <x:v>Alto Real Estate</x:v>
      </x:c>
      <x:c r="C9" s="119" t="n">
        <x:v>46</x:v>
      </x:c>
      <x:c r="D9" s="119" t="n">
        <x:v>1</x:v>
      </x:c>
      <x:c r="E9" s="119" t="n">
        <x:v>206</x:v>
      </x:c>
      <x:c r="F9" s="119" t="n">
        <x:v>0</x:v>
      </x:c>
      <x:c r="G9" t="str">
        <x:v>fresh</x:v>
      </x:c>
    </x:row>
    <x:row r="10">
      <x:c r="A10" s="106" t="n">
        <x:v>46251</x:v>
      </x:c>
      <x:c r="B10" t="str">
        <x:v>CRESCO Real Estate</x:v>
      </x:c>
      <x:c r="C10" s="119" t="n">
        <x:v>31</x:v>
      </x:c>
      <x:c r="D10" s="119" t="n">
        <x:v>1</x:v>
      </x:c>
      <x:c r="E10" s="119" t="n">
        <x:v>64</x:v>
      </x:c>
      <x:c r="F10" s="119" t="n">
        <x:v>0</x:v>
      </x:c>
      <x:c r="G10" t="str">
        <x:v>fresh</x:v>
      </x:c>
    </x:row>
    <x:row r="11">
      <x:c r="A11" s="106" t="n">
        <x:v>46251</x:v>
      </x:c>
      <x:c r="B11" t="str">
        <x:v>Immocap</x:v>
      </x:c>
      <x:c r="C11" s="119" t="n">
        <x:v>25</x:v>
      </x:c>
      <x:c r="D11" s="119" t="n">
        <x:v>1</x:v>
      </x:c>
      <x:c r="E11" s="119" t="n">
        <x:v>83</x:v>
      </x:c>
      <x:c r="F11" s="119" t="n">
        <x:v>0</x:v>
      </x:c>
      <x:c r="G11" t="str">
        <x:v>fresh</x:v>
      </x:c>
    </x:row>
    <x:row r="12">
      <x:c r="A12" s="106" t="n">
        <x:v>46251</x:v>
      </x:c>
      <x:c r="B12" t="str">
        <x:v>PROFINAL, a.s.</x:v>
      </x:c>
      <x:c r="C12" s="119" t="n">
        <x:v>47</x:v>
      </x:c>
      <x:c r="D12" s="119" t="n">
        <x:v>1</x:v>
      </x:c>
      <x:c r="E12" s="119" t="n">
        <x:v>81</x:v>
      </x:c>
      <x:c r="F12" s="119" t="n">
        <x:v>0</x:v>
      </x:c>
      <x:c r="G12" t="str">
        <x:v>fresh</x:v>
      </x:c>
    </x:row>
    <x:row r="13">
      <x:c r="A13" s="106" t="n">
        <x:v>46251</x:v>
      </x:c>
      <x:c r="B13" t="str">
        <x:v>SAIDA s.r.o.</x:v>
      </x:c>
      <x:c r="C13" s="119" t="n">
        <x:v>99</x:v>
      </x:c>
      <x:c r="D13" s="119" t="n">
        <x:v>1</x:v>
      </x:c>
      <x:c r="E13" s="119" t="n">
        <x:v>163</x:v>
      </x:c>
      <x:c r="F13" s="119" t="n">
        <x:v>0</x:v>
      </x:c>
      <x:c r="G13" t="str">
        <x:v>fresh</x:v>
      </x:c>
    </x:row>
    <x:row r="14">
      <x:c r="A14" s="106" t="n">
        <x:v>46251</x:v>
      </x:c>
      <x:c r="B14" t="str">
        <x:v>Tatra Real</x:v>
      </x:c>
      <x:c r="C14" s="119" t="n">
        <x:v>14</x:v>
      </x:c>
      <x:c r="D14" s="119" t="n">
        <x:v>1</x:v>
      </x:c>
      <x:c r="E14" s="119" t="n">
        <x:v>302</x:v>
      </x:c>
      <x:c r="F14" s="119" t="n">
        <x:v>0</x:v>
      </x:c>
      <x:c r="G14" t="str">
        <x:v>fresh</x:v>
      </x:c>
    </x:row>
    <x:row r="15">
      <x:c r="A15" s="106" t="n">
        <x:v>46251</x:v>
      </x:c>
      <x:c r="B15" t="str">
        <x:v>YIT Slovakia</x:v>
      </x:c>
      <x:c r="C15" s="119" t="n">
        <x:v>53</x:v>
      </x:c>
      <x:c r="D15" s="119" t="n">
        <x:v>1</x:v>
      </x:c>
      <x:c r="E15" s="119" t="n">
        <x:v>58</x:v>
      </x:c>
      <x:c r="F15" s="119" t="n">
        <x:v>0</x:v>
      </x:c>
      <x:c r="G15" t="str">
        <x:v>fresh</x:v>
      </x:c>
    </x:row>
    <x:row r="16">
      <x:c r="A16" s="106" t="n">
        <x:v>46252</x:v>
      </x:c>
      <x:c r="B16" t="str">
        <x:v>Alto Real Estate</x:v>
      </x:c>
      <x:c r="C16" s="119" t="n">
        <x:v>46</x:v>
      </x:c>
      <x:c r="D16" s="119" t="n">
        <x:v>1</x:v>
      </x:c>
      <x:c r="E16" s="119" t="n">
        <x:v>206</x:v>
      </x:c>
      <x:c r="F16" s="119" t="n">
        <x:v>0</x:v>
      </x:c>
      <x:c r="G16" t="str">
        <x:v>fresh</x:v>
      </x:c>
    </x:row>
    <x:row r="17">
      <x:c r="A17" s="106" t="n">
        <x:v>46252</x:v>
      </x:c>
      <x:c r="B17" t="str">
        <x:v>CRESCO Real Estate</x:v>
      </x:c>
      <x:c r="C17" s="119" t="n">
        <x:v>66</x:v>
      </x:c>
      <x:c r="D17" s="119" t="n">
        <x:v>2</x:v>
      </x:c>
      <x:c r="E17" s="119" t="n">
        <x:v>102</x:v>
      </x:c>
      <x:c r="F17" s="119" t="n">
        <x:v>0</x:v>
      </x:c>
      <x:c r="G17" t="str">
        <x:v>fresh</x:v>
      </x:c>
    </x:row>
    <x:row r="18">
      <x:c r="A18" s="106" t="n">
        <x:v>46252</x:v>
      </x:c>
      <x:c r="B18" t="str">
        <x:v>EDVIN Properties</x:v>
      </x:c>
      <x:c r="C18" s="119" t="n">
        <x:v>28</x:v>
      </x:c>
      <x:c r="D18" s="119" t="n">
        <x:v>1</x:v>
      </x:c>
      <x:c r="E18" s="119" t="n">
        <x:v>69</x:v>
      </x:c>
      <x:c r="F18" s="119" t="n">
        <x:v>0</x:v>
      </x:c>
      <x:c r="G18" t="str">
        <x:v>fresh</x:v>
      </x:c>
    </x:row>
    <x:row r="19">
      <x:c r="A19" s="106" t="n">
        <x:v>46252</x:v>
      </x:c>
      <x:c r="B19" t="str">
        <x:v>Immocap</x:v>
      </x:c>
      <x:c r="C19" s="119" t="n">
        <x:v>25</x:v>
      </x:c>
      <x:c r="D19" s="119" t="n">
        <x:v>1</x:v>
      </x:c>
      <x:c r="E19" s="119" t="n">
        <x:v>83</x:v>
      </x:c>
      <x:c r="F19" s="119" t="n">
        <x:v>0</x:v>
      </x:c>
      <x:c r="G19" t="str">
        <x:v>fresh</x:v>
      </x:c>
    </x:row>
    <x:row r="20">
      <x:c r="A20" s="106" t="n">
        <x:v>46252</x:v>
      </x:c>
      <x:c r="B20" t="str">
        <x:v>INTRADE Group</x:v>
      </x:c>
      <x:c r="C20" s="119" t="n">
        <x:v>76</x:v>
      </x:c>
      <x:c r="D20" s="119" t="n">
        <x:v>1</x:v>
      </x:c>
      <x:c r="E20" s="119" t="n">
        <x:v>178</x:v>
      </x:c>
      <x:c r="F20" s="119" t="n">
        <x:v>0</x:v>
      </x:c>
      <x:c r="G20" t="str">
        <x:v>fresh</x:v>
      </x:c>
    </x:row>
    <x:row r="21">
      <x:c r="A21" s="106" t="n">
        <x:v>46252</x:v>
      </x:c>
      <x:c r="B21" t="str">
        <x:v>JTRE</x:v>
      </x:c>
      <x:c r="C21" s="119" t="n">
        <x:v>154</x:v>
      </x:c>
      <x:c r="D21" s="119" t="n">
        <x:v>1</x:v>
      </x:c>
      <x:c r="E21" s="119" t="n">
        <x:v>507</x:v>
      </x:c>
      <x:c r="F21" s="119" t="n">
        <x:v>0</x:v>
      </x:c>
      <x:c r="G21" t="str">
        <x:v>fresh</x:v>
      </x:c>
    </x:row>
    <x:row r="22">
      <x:c r="A22" s="106" t="n">
        <x:v>46252</x:v>
      </x:c>
      <x:c r="B22" t="str">
        <x:v>PROFINAL, a.s.</x:v>
      </x:c>
      <x:c r="C22" s="119" t="n">
        <x:v>47</x:v>
      </x:c>
      <x:c r="D22" s="119" t="n">
        <x:v>1</x:v>
      </x:c>
      <x:c r="E22" s="119" t="n">
        <x:v>81</x:v>
      </x:c>
      <x:c r="F22" s="119" t="n">
        <x:v>0</x:v>
      </x:c>
      <x:c r="G22" t="str">
        <x:v>fresh</x:v>
      </x:c>
    </x:row>
    <x:row r="23">
      <x:c r="A23" s="106" t="n">
        <x:v>46252</x:v>
      </x:c>
      <x:c r="B23" t="str">
        <x:v>SAIDA s.r.o.</x:v>
      </x:c>
      <x:c r="C23" s="119" t="n">
        <x:v>99</x:v>
      </x:c>
      <x:c r="D23" s="119" t="n">
        <x:v>1</x:v>
      </x:c>
      <x:c r="E23" s="119" t="n">
        <x:v>163</x:v>
      </x:c>
      <x:c r="F23" s="119" t="n">
        <x:v>0</x:v>
      </x:c>
      <x:c r="G23" t="str">
        <x:v>fresh</x:v>
      </x:c>
    </x:row>
    <x:row r="24">
      <x:c r="A24" s="106" t="n">
        <x:v>46252</x:v>
      </x:c>
      <x:c r="B24" t="str">
        <x:v>Tatra Real</x:v>
      </x:c>
      <x:c r="C24" s="119" t="n">
        <x:v>14</x:v>
      </x:c>
      <x:c r="D24" s="119" t="n">
        <x:v>1</x:v>
      </x:c>
      <x:c r="E24" s="119" t="n">
        <x:v>302</x:v>
      </x:c>
      <x:c r="F24" s="119" t="n">
        <x:v>0</x:v>
      </x:c>
      <x:c r="G24" t="str">
        <x:v>fresh</x:v>
      </x:c>
    </x:row>
    <x:row r="25">
      <x:c r="A25" s="106" t="n">
        <x:v>46252</x:v>
      </x:c>
      <x:c r="B25" t="str">
        <x:v>YIT Slovakia</x:v>
      </x:c>
      <x:c r="C25" s="119" t="n">
        <x:v>53</x:v>
      </x:c>
      <x:c r="D25" s="119" t="n">
        <x:v>1</x:v>
      </x:c>
      <x:c r="E25" s="119" t="n">
        <x:v>58</x:v>
      </x:c>
      <x:c r="F25" s="119" t="n">
        <x:v>0</x:v>
      </x:c>
      <x:c r="G25" t="str">
        <x:v>fresh</x:v>
      </x:c>
    </x:row>
    <x:row r="26">
      <x:c r="A26" s="106" t="n">
        <x:v>46253</x:v>
      </x:c>
      <x:c r="B26" t="str">
        <x:v>Alto Real Estate</x:v>
      </x:c>
      <x:c r="C26" s="119" t="n">
        <x:v>46</x:v>
      </x:c>
      <x:c r="D26" s="119" t="n">
        <x:v>1</x:v>
      </x:c>
      <x:c r="E26" s="119" t="n">
        <x:v>206</x:v>
      </x:c>
      <x:c r="F26" s="119" t="n">
        <x:v>0</x:v>
      </x:c>
      <x:c r="G26" t="str">
        <x:v>fresh</x:v>
      </x:c>
    </x:row>
    <x:row r="27">
      <x:c r="A27" s="106" t="n">
        <x:v>46253</x:v>
      </x:c>
      <x:c r="B27" t="str">
        <x:v>CRESCO Real Estate</x:v>
      </x:c>
      <x:c r="C27" s="119" t="n">
        <x:v>66</x:v>
      </x:c>
      <x:c r="D27" s="119" t="n">
        <x:v>2</x:v>
      </x:c>
      <x:c r="E27" s="119" t="n">
        <x:v>102</x:v>
      </x:c>
      <x:c r="F27" s="119" t="n">
        <x:v>0</x:v>
      </x:c>
      <x:c r="G27" t="str">
        <x:v>fresh</x:v>
      </x:c>
    </x:row>
    <x:row r="28">
      <x:c r="A28" s="106" t="n">
        <x:v>46253</x:v>
      </x:c>
      <x:c r="B28" t="str">
        <x:v>EDVIN Properties</x:v>
      </x:c>
      <x:c r="C28" s="119" t="n">
        <x:v>28</x:v>
      </x:c>
      <x:c r="D28" s="119" t="n">
        <x:v>1</x:v>
      </x:c>
      <x:c r="E28" s="119" t="n">
        <x:v>69</x:v>
      </x:c>
      <x:c r="F28" s="119" t="n">
        <x:v>0</x:v>
      </x:c>
      <x:c r="G28" t="str">
        <x:v>fresh</x:v>
      </x:c>
    </x:row>
    <x:row r="29">
      <x:c r="A29" s="106" t="n">
        <x:v>46253</x:v>
      </x:c>
      <x:c r="B29" t="str">
        <x:v>Immocap</x:v>
      </x:c>
      <x:c r="C29" s="119" t="n">
        <x:v>25</x:v>
      </x:c>
      <x:c r="D29" s="119" t="n">
        <x:v>1</x:v>
      </x:c>
      <x:c r="E29" s="119" t="n">
        <x:v>83</x:v>
      </x:c>
      <x:c r="F29" s="119" t="n">
        <x:v>0</x:v>
      </x:c>
      <x:c r="G29" t="str">
        <x:v>fresh</x:v>
      </x:c>
    </x:row>
    <x:row r="30">
      <x:c r="A30" s="106" t="n">
        <x:v>46253</x:v>
      </x:c>
      <x:c r="B30" t="str">
        <x:v>INTRADE Group</x:v>
      </x:c>
      <x:c r="C30" s="119" t="n">
        <x:v>75</x:v>
      </x:c>
      <x:c r="D30" s="119" t="n">
        <x:v>1</x:v>
      </x:c>
      <x:c r="E30" s="119" t="n">
        <x:v>178</x:v>
      </x:c>
      <x:c r="F30" s="119" t="n">
        <x:v>0</x:v>
      </x:c>
      <x:c r="G30" t="str">
        <x:v>fresh</x:v>
      </x:c>
    </x:row>
    <x:row r="31">
      <x:c r="A31" s="106" t="n">
        <x:v>46253</x:v>
      </x:c>
      <x:c r="B31" t="str">
        <x:v>JTRE</x:v>
      </x:c>
      <x:c r="C31" s="119" t="n">
        <x:v>155</x:v>
      </x:c>
      <x:c r="D31" s="119" t="n">
        <x:v>1</x:v>
      </x:c>
      <x:c r="E31" s="119" t="n">
        <x:v>507</x:v>
      </x:c>
      <x:c r="F31" s="119" t="n">
        <x:v>0</x:v>
      </x:c>
      <x:c r="G31" t="str">
        <x:v>fresh</x:v>
      </x:c>
    </x:row>
    <x:row r="32">
      <x:c r="A32" s="106" t="n">
        <x:v>46253</x:v>
      </x:c>
      <x:c r="B32" t="str">
        <x:v>PROFINAL, a.s.</x:v>
      </x:c>
      <x:c r="C32" s="119" t="n">
        <x:v>47</x:v>
      </x:c>
      <x:c r="D32" s="119" t="n">
        <x:v>1</x:v>
      </x:c>
      <x:c r="E32" s="119" t="n">
        <x:v>81</x:v>
      </x:c>
      <x:c r="F32" s="119" t="n">
        <x:v>0</x:v>
      </x:c>
      <x:c r="G32" t="str">
        <x:v>fresh</x:v>
      </x:c>
    </x:row>
    <x:row r="33">
      <x:c r="A33" s="106" t="n">
        <x:v>46253</x:v>
      </x:c>
      <x:c r="B33" t="str">
        <x:v>SAIDA s.r.o.</x:v>
      </x:c>
      <x:c r="C33" s="119" t="n">
        <x:v>99</x:v>
      </x:c>
      <x:c r="D33" s="119" t="n">
        <x:v>1</x:v>
      </x:c>
      <x:c r="E33" s="119" t="n">
        <x:v>163</x:v>
      </x:c>
      <x:c r="F33" s="119" t="n">
        <x:v>0</x:v>
      </x:c>
      <x:c r="G33" t="str">
        <x:v>fresh</x:v>
      </x:c>
    </x:row>
    <x:row r="34">
      <x:c r="A34" s="106" t="n">
        <x:v>46253</x:v>
      </x:c>
      <x:c r="B34" t="str">
        <x:v>Tatra Real</x:v>
      </x:c>
      <x:c r="C34" s="119" t="n">
        <x:v>14</x:v>
      </x:c>
      <x:c r="D34" s="119" t="n">
        <x:v>1</x:v>
      </x:c>
      <x:c r="E34" s="119" t="n">
        <x:v>302</x:v>
      </x:c>
      <x:c r="F34" s="119" t="n">
        <x:v>0</x:v>
      </x:c>
      <x:c r="G34" t="str">
        <x:v>fresh</x:v>
      </x:c>
    </x:row>
    <x:row r="35">
      <x:c r="A35" s="106" t="n">
        <x:v>46253</x:v>
      </x:c>
      <x:c r="B35" t="str">
        <x:v>YIT Slovakia</x:v>
      </x:c>
      <x:c r="C35" s="119" t="n">
        <x:v>52</x:v>
      </x:c>
      <x:c r="D35" s="119" t="n">
        <x:v>1</x:v>
      </x:c>
      <x:c r="E35" s="119" t="n">
        <x:v>58</x:v>
      </x:c>
      <x:c r="F35" s="119" t="n">
        <x:v>0</x:v>
      </x:c>
      <x:c r="G35" t="str">
        <x:v>fresh</x:v>
      </x:c>
    </x:row>
    <x:row r="36">
      <x:c r="A36" s="106" t="n">
        <x:v>46254</x:v>
      </x:c>
      <x:c r="B36" t="str">
        <x:v>Alto Real Estate</x:v>
      </x:c>
      <x:c r="C36" s="119" t="n">
        <x:v>47</x:v>
      </x:c>
      <x:c r="D36" s="119" t="n">
        <x:v>1</x:v>
      </x:c>
      <x:c r="E36" s="119" t="n">
        <x:v>206</x:v>
      </x:c>
      <x:c r="F36" s="119" t="n">
        <x:v>0</x:v>
      </x:c>
      <x:c r="G36" t="str">
        <x:v>fresh</x:v>
      </x:c>
    </x:row>
    <x:row r="37">
      <x:c r="A37" s="106" t="n">
        <x:v>46254</x:v>
      </x:c>
      <x:c r="B37" t="str">
        <x:v>CRESCO Real Estate</x:v>
      </x:c>
      <x:c r="C37" s="119" t="n">
        <x:v>67</x:v>
      </x:c>
      <x:c r="D37" s="119" t="n">
        <x:v>2</x:v>
      </x:c>
      <x:c r="E37" s="119" t="n">
        <x:v>102</x:v>
      </x:c>
      <x:c r="F37" s="119" t="n">
        <x:v>0</x:v>
      </x:c>
      <x:c r="G37" t="str">
        <x:v>fresh</x:v>
      </x:c>
    </x:row>
    <x:row r="38">
      <x:c r="A38" s="106" t="n">
        <x:v>46254</x:v>
      </x:c>
      <x:c r="B38" t="str">
        <x:v>EDVIN Properties</x:v>
      </x:c>
      <x:c r="C38" s="119" t="n">
        <x:v>28</x:v>
      </x:c>
      <x:c r="D38" s="119" t="n">
        <x:v>1</x:v>
      </x:c>
      <x:c r="E38" s="119" t="n">
        <x:v>69</x:v>
      </x:c>
      <x:c r="F38" s="119" t="n">
        <x:v>0</x:v>
      </x:c>
      <x:c r="G38" t="str">
        <x:v>fresh</x:v>
      </x:c>
    </x:row>
    <x:row r="39">
      <x:c r="A39" s="106" t="n">
        <x:v>46254</x:v>
      </x:c>
      <x:c r="B39" t="str">
        <x:v>Immocap</x:v>
      </x:c>
      <x:c r="C39" s="119" t="n">
        <x:v>25</x:v>
      </x:c>
      <x:c r="D39" s="119" t="n">
        <x:v>1</x:v>
      </x:c>
      <x:c r="E39" s="119" t="n">
        <x:v>83</x:v>
      </x:c>
      <x:c r="F39" s="119" t="n">
        <x:v>0</x:v>
      </x:c>
      <x:c r="G39" t="str">
        <x:v>fresh</x:v>
      </x:c>
    </x:row>
    <x:row r="40">
      <x:c r="A40" s="106" t="n">
        <x:v>46254</x:v>
      </x:c>
      <x:c r="B40" t="str">
        <x:v>INTRADE Group</x:v>
      </x:c>
      <x:c r="C40" s="119" t="n">
        <x:v>75</x:v>
      </x:c>
      <x:c r="D40" s="119" t="n">
        <x:v>1</x:v>
      </x:c>
      <x:c r="E40" s="119" t="n">
        <x:v>178</x:v>
      </x:c>
      <x:c r="F40" s="119" t="n">
        <x:v>0</x:v>
      </x:c>
      <x:c r="G40" t="str">
        <x:v>fresh</x:v>
      </x:c>
    </x:row>
    <x:row r="41">
      <x:c r="A41" s="106" t="n">
        <x:v>46254</x:v>
      </x:c>
      <x:c r="B41" t="str">
        <x:v>JTRE</x:v>
      </x:c>
      <x:c r="C41" s="119" t="n">
        <x:v>155</x:v>
      </x:c>
      <x:c r="D41" s="119" t="n">
        <x:v>1</x:v>
      </x:c>
      <x:c r="E41" s="119" t="n">
        <x:v>507</x:v>
      </x:c>
      <x:c r="F41" s="119" t="n">
        <x:v>0</x:v>
      </x:c>
      <x:c r="G41" t="str">
        <x:v>fresh</x:v>
      </x:c>
    </x:row>
    <x:row r="42">
      <x:c r="A42" s="106" t="n">
        <x:v>46254</x:v>
      </x:c>
      <x:c r="B42" t="str">
        <x:v>PROFINAL, a.s.</x:v>
      </x:c>
      <x:c r="C42" s="119" t="n">
        <x:v>47</x:v>
      </x:c>
      <x:c r="D42" s="119" t="n">
        <x:v>1</x:v>
      </x:c>
      <x:c r="E42" s="119" t="n">
        <x:v>81</x:v>
      </x:c>
      <x:c r="F42" s="119" t="n">
        <x:v>1</x:v>
      </x:c>
      <x:c r="G42" t="str">
        <x:v>carried_forward</x:v>
      </x:c>
    </x:row>
    <x:row r="43">
      <x:c r="A43" s="106" t="n">
        <x:v>46254</x:v>
      </x:c>
      <x:c r="B43" t="str">
        <x:v>SAIDA s.r.o.</x:v>
      </x:c>
      <x:c r="C43" s="119" t="n">
        <x:v>99</x:v>
      </x:c>
      <x:c r="D43" s="119" t="n">
        <x:v>1</x:v>
      </x:c>
      <x:c r="E43" s="119" t="n">
        <x:v>163</x:v>
      </x:c>
      <x:c r="F43" s="119" t="n">
        <x:v>0</x:v>
      </x:c>
      <x:c r="G43" t="str">
        <x:v>fresh</x:v>
      </x:c>
    </x:row>
    <x:row r="44">
      <x:c r="A44" s="106" t="n">
        <x:v>46254</x:v>
      </x:c>
      <x:c r="B44" t="str">
        <x:v>Tatra Real</x:v>
      </x:c>
      <x:c r="C44" s="119" t="n">
        <x:v>14</x:v>
      </x:c>
      <x:c r="D44" s="119" t="n">
        <x:v>1</x:v>
      </x:c>
      <x:c r="E44" s="119" t="n">
        <x:v>302</x:v>
      </x:c>
      <x:c r="F44" s="119" t="n">
        <x:v>0</x:v>
      </x:c>
      <x:c r="G44" t="str">
        <x:v>fresh</x:v>
      </x:c>
    </x:row>
    <x:row r="45">
      <x:c r="A45" s="106" t="n">
        <x:v>46254</x:v>
      </x:c>
      <x:c r="B45" t="str">
        <x:v>YIT Slovakia</x:v>
      </x:c>
      <x:c r="C45" s="119" t="n">
        <x:v>51</x:v>
      </x:c>
      <x:c r="D45" s="119" t="n">
        <x:v>1</x:v>
      </x:c>
      <x:c r="E45" s="119" t="n">
        <x:v>58</x:v>
      </x:c>
      <x:c r="F45" s="119" t="n">
        <x:v>0</x:v>
      </x:c>
      <x:c r="G45" t="str">
        <x:v>fresh</x:v>
      </x:c>
    </x:row>
  </x:sheetData>
  <x:mergeCells>
    <x:mergeCell ref="A1:G1"/>
    <x:mergeCell ref="A2:G2"/>
  </x:mergeCells>
  <x:conditionalFormatting sqref="G5:G45">
    <x:cfRule type="containsText" dxfId="4" priority="1" operator="containsText" text="carried_forward"/>
  </x:conditionalFormatting>
  <x:pageMargins left="0.7" right="0.7" top="0.75" bottom="0.75" header="0.3" footer="0.3"/>
  <x:tableParts count="1">
    <x:tablePart xmlns:r="http://schemas.openxmlformats.org/officeDocument/2006/relationships" r:id="Re8a8705bc3c046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2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1" hidden="0" customWidth="1"/>
    <x:col min="9" max="9" width="18" hidden="0" customWidth="1"/>
    <x:col min="10" max="10" width="17" hidden="0" customWidth="1"/>
    <x:col min="11" max="11" width="20" hidden="0" customWidth="1"/>
    <x:col min="12" max="12" width="23" hidden="0" customWidth="1"/>
  </x:cols>
  <x:sheetData>
    <x:row r="1" ht="42" customHeight="1">
      <x:c r="A1" s="3" t="str">
        <x:v>Denná história podľa projektu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6" customHeight="1">
      <x:c r="A2" s="6" t="str">
        <x:v>Auditný detail: dostupnosť, priemerné ceny za m² a dátum skutočného zdrojového snapshotu.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4" customHeight="1">
      <x:c r="A4" s="109" t="str">
        <x:v>Dátum</x:v>
      </x:c>
      <x:c r="B4" s="109" t="str">
        <x:v>Projekt</x:v>
      </x:c>
      <x:c r="C4" s="109" t="str">
        <x:v>Developer</x:v>
      </x:c>
      <x:c r="D4" s="109" t="str">
        <x:v>Dostupné byty</x:v>
      </x:c>
      <x:c r="E4" s="109" t="str">
        <x:v>1-izbové €/m²</x:v>
      </x:c>
      <x:c r="F4" s="109" t="str">
        <x:v>2-izbové €/m²</x:v>
      </x:c>
      <x:c r="G4" s="109" t="str">
        <x:v>3-izbové €/m²</x:v>
      </x:c>
      <x:c r="H4" s="109" t="str">
        <x:v>Priemer projektu €/m²</x:v>
      </x:c>
      <x:c r="I4" s="109" t="str">
        <x:v>Všetky jednotky</x:v>
      </x:c>
      <x:c r="J4" s="109" t="str">
        <x:v>Zdrojový dátum</x:v>
      </x:c>
      <x:c r="K4" s="109" t="str">
        <x:v>Kvalita dát</x:v>
      </x:c>
      <x:c r="L4" s="109" t="str">
        <x:v>ID projektu</x:v>
      </x:c>
    </x:row>
    <x:row r="5">
      <x:c r="A5" s="106" t="n">
        <x:v>46249</x:v>
      </x:c>
      <x:c r="B5" t="str">
        <x:v>Galvania Rezidencie</x:v>
      </x:c>
      <x:c r="C5" t="str">
        <x:v>Tatra Real</x:v>
      </x:c>
      <x:c r="D5" s="119" t="n">
        <x:v>15</x:v>
      </x:c>
      <x:c r="E5" s="124"/>
      <x:c r="F5" s="124" t="n">
        <x:v>5719.615</x:v>
      </x:c>
      <x:c r="G5" s="124" t="n">
        <x:v>6175.15</x:v>
      </x:c>
      <x:c r="H5" s="124" t="n">
        <x:v>5871.459999999999</x:v>
      </x:c>
      <x:c r="I5" s="119" t="n">
        <x:v>302</x:v>
      </x:c>
      <x:c r="J5" s="106" t="n">
        <x:v>46249</x:v>
      </x:c>
      <x:c r="K5" t="str">
        <x:v>fresh</x:v>
      </x:c>
      <x:c r="L5" t="str">
        <x:v>galvania_rezidencie</x:v>
      </x:c>
    </x:row>
    <x:row r="6">
      <x:c r="A6" s="106" t="n">
        <x:v>46249</x:v>
      </x:c>
      <x:c r="B6" t="str">
        <x:v>Jašik Ružinov</x:v>
      </x:c>
      <x:c r="C6" t="str">
        <x:v>CRESCO Real Estate</x:v>
      </x:c>
      <x:c r="D6" s="119" t="n">
        <x:v>31</x:v>
      </x:c>
      <x:c r="E6" s="124" t="n">
        <x:v>5707.8933333333325</x:v>
      </x:c>
      <x:c r="F6" s="124" t="n">
        <x:v>5802.043125</x:v>
      </x:c>
      <x:c r="G6" s="124" t="n">
        <x:v>5824.512</x:v>
      </x:c>
      <x:c r="H6" s="124" t="n">
        <x:v>5777.543000000001</x:v>
      </x:c>
      <x:c r="I6" s="119" t="n">
        <x:v>64</x:v>
      </x:c>
      <x:c r="J6" s="106" t="n">
        <x:v>46249</x:v>
      </x:c>
      <x:c r="K6" t="str">
        <x:v>fresh</x:v>
      </x:c>
      <x:c r="L6" t="str">
        <x:v>jasik_ruzinov</x:v>
      </x:c>
    </x:row>
    <x:row r="7">
      <x:c r="A7" s="106" t="n">
        <x:v>46249</x:v>
      </x:c>
      <x:c r="B7" t="str">
        <x:v>Slnečná Strana</x:v>
      </x:c>
      <x:c r="C7" t="str">
        <x:v>PROFINAL, a.s.</x:v>
      </x:c>
      <x:c r="D7" s="119" t="n">
        <x:v>47</x:v>
      </x:c>
      <x:c r="E7" s="124" t="n">
        <x:v>5385.9175</x:v>
      </x:c>
      <x:c r="F7" s="124" t="n">
        <x:v>5368.3065384615375</x:v>
      </x:c>
      <x:c r="G7" s="124"/>
      <x:c r="H7" s="124" t="n">
        <x:v>5490.997560975611</x:v>
      </x:c>
      <x:c r="I7" s="119" t="n">
        <x:v>81</x:v>
      </x:c>
      <x:c r="J7" s="106" t="n">
        <x:v>46249</x:v>
      </x:c>
      <x:c r="K7" t="str">
        <x:v>fresh</x:v>
      </x:c>
      <x:c r="L7" t="str">
        <x:v>slnecna_strana</x:v>
      </x:c>
    </x:row>
    <x:row r="8">
      <x:c r="A8" s="106" t="n">
        <x:v>46249</x:v>
      </x:c>
      <x:c r="B8" t="str">
        <x:v>Kvarter</x:v>
      </x:c>
      <x:c r="C8" t="str">
        <x:v>Immocap</x:v>
      </x:c>
      <x:c r="D8" s="119" t="n">
        <x:v>26</x:v>
      </x:c>
      <x:c r="E8" s="124"/>
      <x:c r="F8" s="124"/>
      <x:c r="G8" s="124"/>
      <x:c r="H8" s="124"/>
      <x:c r="I8" s="119" t="n">
        <x:v>83</x:v>
      </x:c>
      <x:c r="J8" s="106" t="n">
        <x:v>46249</x:v>
      </x:c>
      <x:c r="K8" t="str">
        <x:v>fresh</x:v>
      </x:c>
      <x:c r="L8" t="str">
        <x:v>kvarter</x:v>
      </x:c>
    </x:row>
    <x:row r="9">
      <x:c r="A9" s="106" t="n">
        <x:v>46251</x:v>
      </x:c>
      <x:c r="B9" t="str">
        <x:v>Galvania Rezidencie</x:v>
      </x:c>
      <x:c r="C9" t="str">
        <x:v>Tatra Real</x:v>
      </x:c>
      <x:c r="D9" s="119" t="n">
        <x:v>14</x:v>
      </x:c>
      <x:c r="E9" s="124"/>
      <x:c r="F9" s="124" t="n">
        <x:v>5719.615</x:v>
      </x:c>
      <x:c r="G9" s="124" t="n">
        <x:v>6175.15</x:v>
      </x:c>
      <x:c r="H9" s="124" t="n">
        <x:v>5871.459999999999</x:v>
      </x:c>
      <x:c r="I9" s="119" t="n">
        <x:v>302</x:v>
      </x:c>
      <x:c r="J9" s="106" t="n">
        <x:v>46251</x:v>
      </x:c>
      <x:c r="K9" t="str">
        <x:v>fresh</x:v>
      </x:c>
      <x:c r="L9" t="str">
        <x:v>galvania_rezidencie</x:v>
      </x:c>
    </x:row>
    <x:row r="10">
      <x:c r="A10" s="106" t="n">
        <x:v>46251</x:v>
      </x:c>
      <x:c r="B10" t="str">
        <x:v>Jašik Ružinov</x:v>
      </x:c>
      <x:c r="C10" t="str">
        <x:v>CRESCO Real Estate</x:v>
      </x:c>
      <x:c r="D10" s="119" t="n">
        <x:v>31</x:v>
      </x:c>
      <x:c r="E10" s="124" t="n">
        <x:v>5707.8933333333325</x:v>
      </x:c>
      <x:c r="F10" s="124" t="n">
        <x:v>5802.043125</x:v>
      </x:c>
      <x:c r="G10" s="124" t="n">
        <x:v>5824.512</x:v>
      </x:c>
      <x:c r="H10" s="124" t="n">
        <x:v>5777.543000000001</x:v>
      </x:c>
      <x:c r="I10" s="119" t="n">
        <x:v>64</x:v>
      </x:c>
      <x:c r="J10" s="106" t="n">
        <x:v>46251</x:v>
      </x:c>
      <x:c r="K10" t="str">
        <x:v>fresh</x:v>
      </x:c>
      <x:c r="L10" t="str">
        <x:v>jasik_ruzinov</x:v>
      </x:c>
    </x:row>
    <x:row r="11">
      <x:c r="A11" s="106" t="n">
        <x:v>46251</x:v>
      </x:c>
      <x:c r="B11" t="str">
        <x:v>Slnečná Strana</x:v>
      </x:c>
      <x:c r="C11" t="str">
        <x:v>PROFINAL, a.s.</x:v>
      </x:c>
      <x:c r="D11" s="119" t="n">
        <x:v>47</x:v>
      </x:c>
      <x:c r="E11" s="124" t="n">
        <x:v>5385.9175</x:v>
      </x:c>
      <x:c r="F11" s="124" t="n">
        <x:v>5368.3065384615375</x:v>
      </x:c>
      <x:c r="G11" s="124"/>
      <x:c r="H11" s="124" t="n">
        <x:v>5490.997560975611</x:v>
      </x:c>
      <x:c r="I11" s="119" t="n">
        <x:v>81</x:v>
      </x:c>
      <x:c r="J11" s="106" t="n">
        <x:v>46251</x:v>
      </x:c>
      <x:c r="K11" t="str">
        <x:v>fresh</x:v>
      </x:c>
      <x:c r="L11" t="str">
        <x:v>slnecna_strana</x:v>
      </x:c>
    </x:row>
    <x:row r="12">
      <x:c r="A12" s="106" t="n">
        <x:v>46251</x:v>
      </x:c>
      <x:c r="B12" t="str">
        <x:v>Kvarter</x:v>
      </x:c>
      <x:c r="C12" t="str">
        <x:v>Immocap</x:v>
      </x:c>
      <x:c r="D12" s="119" t="n">
        <x:v>25</x:v>
      </x:c>
      <x:c r="E12" s="124"/>
      <x:c r="F12" s="124"/>
      <x:c r="G12" s="124"/>
      <x:c r="H12" s="124"/>
      <x:c r="I12" s="119" t="n">
        <x:v>83</x:v>
      </x:c>
      <x:c r="J12" s="106" t="n">
        <x:v>46251</x:v>
      </x:c>
      <x:c r="K12" t="str">
        <x:v>fresh</x:v>
      </x:c>
      <x:c r="L12" t="str">
        <x:v>kvarter</x:v>
      </x:c>
    </x:row>
    <x:row r="13">
      <x:c r="A13" s="106" t="n">
        <x:v>46251</x:v>
      </x:c>
      <x:c r="B13" t="str">
        <x:v>NUPPU</x:v>
      </x:c>
      <x:c r="C13" t="str">
        <x:v>YIT Slovakia</x:v>
      </x:c>
      <x:c r="D13" s="119" t="n">
        <x:v>53</x:v>
      </x:c>
      <x:c r="E13" s="124" t="n">
        <x:v>6799.802000000001</x:v>
      </x:c>
      <x:c r="F13" s="124" t="n">
        <x:v>5806.577000000001</x:v>
      </x:c>
      <x:c r="G13" s="124" t="n">
        <x:v>5306.23214285714</x:v>
      </x:c>
      <x:c r="H13" s="124" t="n">
        <x:v>5635.94433962264</x:v>
      </x:c>
      <x:c r="I13" s="119" t="n">
        <x:v>58</x:v>
      </x:c>
      <x:c r="J13" s="106" t="n">
        <x:v>46251</x:v>
      </x:c>
      <x:c r="K13" t="str">
        <x:v>fresh</x:v>
      </x:c>
      <x:c r="L13" t="str">
        <x:v>nuppu</x:v>
      </x:c>
    </x:row>
    <x:row r="14">
      <x:c r="A14" s="106" t="n">
        <x:v>46251</x:v>
      </x:c>
      <x:c r="B14" t="str">
        <x:v>ALVY</x:v>
      </x:c>
      <x:c r="C14" t="str">
        <x:v>Alto Real Estate</x:v>
      </x:c>
      <x:c r="D14" s="119" t="n">
        <x:v>46</x:v>
      </x:c>
      <x:c r="E14" s="124" t="n">
        <x:v>6172.53</x:v>
      </x:c>
      <x:c r="F14" s="124" t="n">
        <x:v>5717.900666666666</x:v>
      </x:c>
      <x:c r="G14" s="124" t="n">
        <x:v>5342.460357142859</x:v>
      </x:c>
      <x:c r="H14" s="124" t="n">
        <x:v>5494.799782608697</x:v>
      </x:c>
      <x:c r="I14" s="119" t="n">
        <x:v>206</x:v>
      </x:c>
      <x:c r="J14" s="106" t="n">
        <x:v>46251</x:v>
      </x:c>
      <x:c r="K14" t="str">
        <x:v>fresh</x:v>
      </x:c>
      <x:c r="L14" t="str">
        <x:v>alvy</x:v>
      </x:c>
    </x:row>
    <x:row r="15">
      <x:c r="A15" s="106" t="n">
        <x:v>46251</x:v>
      </x:c>
      <x:c r="B15" t="str">
        <x:v>BAYA</x:v>
      </x:c>
      <x:c r="C15" t="str">
        <x:v>SAIDA s.r.o.</x:v>
      </x:c>
      <x:c r="D15" s="119" t="n">
        <x:v>99</x:v>
      </x:c>
      <x:c r="E15" s="124" t="n">
        <x:v>6623</x:v>
      </x:c>
      <x:c r="F15" s="124" t="n">
        <x:v>6246.4</x:v>
      </x:c>
      <x:c r="G15" s="124" t="n">
        <x:v>5981.315789473684</x:v>
      </x:c>
      <x:c r="H15" s="124" t="n">
        <x:v>6186.060606060606</x:v>
      </x:c>
      <x:c r="I15" s="119" t="n">
        <x:v>163</x:v>
      </x:c>
      <x:c r="J15" s="106" t="n">
        <x:v>46251</x:v>
      </x:c>
      <x:c r="K15" t="str">
        <x:v>fresh</x:v>
      </x:c>
      <x:c r="L15" t="str">
        <x:v>baya</x:v>
      </x:c>
    </x:row>
    <x:row r="16">
      <x:c r="A16" s="106" t="n">
        <x:v>46252</x:v>
      </x:c>
      <x:c r="B16" t="str">
        <x:v>Galvania Rezidencie</x:v>
      </x:c>
      <x:c r="C16" t="str">
        <x:v>Tatra Real</x:v>
      </x:c>
      <x:c r="D16" s="119" t="n">
        <x:v>14</x:v>
      </x:c>
      <x:c r="E16" s="124"/>
      <x:c r="F16" s="124" t="n">
        <x:v>5719.615</x:v>
      </x:c>
      <x:c r="G16" s="124" t="n">
        <x:v>6175.15</x:v>
      </x:c>
      <x:c r="H16" s="124" t="n">
        <x:v>5871.459999999999</x:v>
      </x:c>
      <x:c r="I16" s="119" t="n">
        <x:v>302</x:v>
      </x:c>
      <x:c r="J16" s="106" t="n">
        <x:v>46252</x:v>
      </x:c>
      <x:c r="K16" t="str">
        <x:v>fresh</x:v>
      </x:c>
      <x:c r="L16" t="str">
        <x:v>galvania_rezidencie</x:v>
      </x:c>
    </x:row>
    <x:row r="17">
      <x:c r="A17" s="106" t="n">
        <x:v>46252</x:v>
      </x:c>
      <x:c r="B17" t="str">
        <x:v>Jašik Ružinov</x:v>
      </x:c>
      <x:c r="C17" t="str">
        <x:v>CRESCO Real Estate</x:v>
      </x:c>
      <x:c r="D17" s="119" t="n">
        <x:v>31</x:v>
      </x:c>
      <x:c r="E17" s="124" t="n">
        <x:v>5707.8933333333325</x:v>
      </x:c>
      <x:c r="F17" s="124" t="n">
        <x:v>5802.043125</x:v>
      </x:c>
      <x:c r="G17" s="124" t="n">
        <x:v>5824.512</x:v>
      </x:c>
      <x:c r="H17" s="124" t="n">
        <x:v>5777.543000000001</x:v>
      </x:c>
      <x:c r="I17" s="119" t="n">
        <x:v>64</x:v>
      </x:c>
      <x:c r="J17" s="106" t="n">
        <x:v>46252</x:v>
      </x:c>
      <x:c r="K17" t="str">
        <x:v>fresh</x:v>
      </x:c>
      <x:c r="L17" t="str">
        <x:v>jasik_ruzinov</x:v>
      </x:c>
    </x:row>
    <x:row r="18">
      <x:c r="A18" s="106" t="n">
        <x:v>46252</x:v>
      </x:c>
      <x:c r="B18" t="str">
        <x:v>Slnečná Strana</x:v>
      </x:c>
      <x:c r="C18" t="str">
        <x:v>PROFINAL, a.s.</x:v>
      </x:c>
      <x:c r="D18" s="119" t="n">
        <x:v>47</x:v>
      </x:c>
      <x:c r="E18" s="124" t="n">
        <x:v>5385.9175</x:v>
      </x:c>
      <x:c r="F18" s="124" t="n">
        <x:v>5368.3065384615375</x:v>
      </x:c>
      <x:c r="G18" s="124"/>
      <x:c r="H18" s="124" t="n">
        <x:v>5490.997560975611</x:v>
      </x:c>
      <x:c r="I18" s="119" t="n">
        <x:v>81</x:v>
      </x:c>
      <x:c r="J18" s="106" t="n">
        <x:v>46252</x:v>
      </x:c>
      <x:c r="K18" t="str">
        <x:v>fresh</x:v>
      </x:c>
      <x:c r="L18" t="str">
        <x:v>slnecna_strana</x:v>
      </x:c>
    </x:row>
    <x:row r="19">
      <x:c r="A19" s="106" t="n">
        <x:v>46252</x:v>
      </x:c>
      <x:c r="B19" t="str">
        <x:v>Kvarter</x:v>
      </x:c>
      <x:c r="C19" t="str">
        <x:v>Immocap</x:v>
      </x:c>
      <x:c r="D19" s="119" t="n">
        <x:v>25</x:v>
      </x:c>
      <x:c r="E19" s="124"/>
      <x:c r="F19" s="124"/>
      <x:c r="G19" s="124"/>
      <x:c r="H19" s="124"/>
      <x:c r="I19" s="119" t="n">
        <x:v>83</x:v>
      </x:c>
      <x:c r="J19" s="106" t="n">
        <x:v>46252</x:v>
      </x:c>
      <x:c r="K19" t="str">
        <x:v>fresh</x:v>
      </x:c>
      <x:c r="L19" t="str">
        <x:v>kvarter</x:v>
      </x:c>
    </x:row>
    <x:row r="20">
      <x:c r="A20" s="106" t="n">
        <x:v>46252</x:v>
      </x:c>
      <x:c r="B20" t="str">
        <x:v>NUPPU</x:v>
      </x:c>
      <x:c r="C20" t="str">
        <x:v>YIT Slovakia</x:v>
      </x:c>
      <x:c r="D20" s="119" t="n">
        <x:v>53</x:v>
      </x:c>
      <x:c r="E20" s="124" t="n">
        <x:v>6799.802000000001</x:v>
      </x:c>
      <x:c r="F20" s="124" t="n">
        <x:v>5806.577000000001</x:v>
      </x:c>
      <x:c r="G20" s="124" t="n">
        <x:v>5306.23214285714</x:v>
      </x:c>
      <x:c r="H20" s="124" t="n">
        <x:v>5635.94433962264</x:v>
      </x:c>
      <x:c r="I20" s="119" t="n">
        <x:v>58</x:v>
      </x:c>
      <x:c r="J20" s="106" t="n">
        <x:v>46252</x:v>
      </x:c>
      <x:c r="K20" t="str">
        <x:v>fresh</x:v>
      </x:c>
      <x:c r="L20" t="str">
        <x:v>nuppu</x:v>
      </x:c>
    </x:row>
    <x:row r="21">
      <x:c r="A21" s="106" t="n">
        <x:v>46252</x:v>
      </x:c>
      <x:c r="B21" t="str">
        <x:v>ALVY</x:v>
      </x:c>
      <x:c r="C21" t="str">
        <x:v>Alto Real Estate</x:v>
      </x:c>
      <x:c r="D21" s="119" t="n">
        <x:v>46</x:v>
      </x:c>
      <x:c r="E21" s="124" t="n">
        <x:v>6172.53</x:v>
      </x:c>
      <x:c r="F21" s="124" t="n">
        <x:v>5717.900666666666</x:v>
      </x:c>
      <x:c r="G21" s="124" t="n">
        <x:v>5342.460357142859</x:v>
      </x:c>
      <x:c r="H21" s="124" t="n">
        <x:v>5494.799782608697</x:v>
      </x:c>
      <x:c r="I21" s="119" t="n">
        <x:v>206</x:v>
      </x:c>
      <x:c r="J21" s="106" t="n">
        <x:v>46252</x:v>
      </x:c>
      <x:c r="K21" t="str">
        <x:v>fresh</x:v>
      </x:c>
      <x:c r="L21" t="str">
        <x:v>alvy</x:v>
      </x:c>
    </x:row>
    <x:row r="22">
      <x:c r="A22" s="106" t="n">
        <x:v>46252</x:v>
      </x:c>
      <x:c r="B22" t="str">
        <x:v>BAYA</x:v>
      </x:c>
      <x:c r="C22" t="str">
        <x:v>SAIDA s.r.o.</x:v>
      </x:c>
      <x:c r="D22" s="119" t="n">
        <x:v>99</x:v>
      </x:c>
      <x:c r="E22" s="124" t="n">
        <x:v>6623</x:v>
      </x:c>
      <x:c r="F22" s="124" t="n">
        <x:v>6246.4</x:v>
      </x:c>
      <x:c r="G22" s="124" t="n">
        <x:v>5981.315789473684</x:v>
      </x:c>
      <x:c r="H22" s="124" t="n">
        <x:v>6186.060606060606</x:v>
      </x:c>
      <x:c r="I22" s="119" t="n">
        <x:v>163</x:v>
      </x:c>
      <x:c r="J22" s="106" t="n">
        <x:v>46252</x:v>
      </x:c>
      <x:c r="K22" t="str">
        <x:v>fresh</x:v>
      </x:c>
      <x:c r="L22" t="str">
        <x:v>baya</x:v>
      </x:c>
    </x:row>
    <x:row r="23">
      <x:c r="A23" s="106" t="n">
        <x:v>46252</x:v>
      </x:c>
      <x:c r="B23" t="str">
        <x:v>Mýtna 37</x:v>
      </x:c>
      <x:c r="C23" t="str">
        <x:v>EDVIN Properties</x:v>
      </x:c>
      <x:c r="D23" s="119" t="n">
        <x:v>28</x:v>
      </x:c>
      <x:c r="E23" s="124" t="n">
        <x:v>7043.145833333333</x:v>
      </x:c>
      <x:c r="F23" s="124" t="n">
        <x:v>7367.9710000000005</x:v>
      </x:c>
      <x:c r="G23" s="124" t="n">
        <x:v>6565.916</x:v>
      </x:c>
      <x:c r="H23" s="124" t="n">
        <x:v>7087.81857142857</x:v>
      </x:c>
      <x:c r="I23" s="119" t="n">
        <x:v>69</x:v>
      </x:c>
      <x:c r="J23" s="106" t="n">
        <x:v>46252</x:v>
      </x:c>
      <x:c r="K23" t="str">
        <x:v>fresh</x:v>
      </x:c>
      <x:c r="L23" t="str">
        <x:v>mytna_37</x:v>
      </x:c>
    </x:row>
    <x:row r="24">
      <x:c r="A24" s="106" t="n">
        <x:v>46252</x:v>
      </x:c>
      <x:c r="B24" t="str">
        <x:v>Downtown Yards</x:v>
      </x:c>
      <x:c r="C24" t="str">
        <x:v>JTRE</x:v>
      </x:c>
      <x:c r="D24" s="119" t="n">
        <x:v>154</x:v>
      </x:c>
      <x:c r="E24" s="124"/>
      <x:c r="F24" s="124" t="n">
        <x:v>6964.37970588235</x:v>
      </x:c>
      <x:c r="G24" s="124" t="n">
        <x:v>6787.982753623188</x:v>
      </x:c>
      <x:c r="H24" s="124" t="n">
        <x:v>6958.77</x:v>
      </x:c>
      <x:c r="I24" s="119" t="n">
        <x:v>507</x:v>
      </x:c>
      <x:c r="J24" s="106" t="n">
        <x:v>46252</x:v>
      </x:c>
      <x:c r="K24" t="str">
        <x:v>fresh</x:v>
      </x:c>
      <x:c r="L24" t="str">
        <x:v>downtown_yards</x:v>
      </x:c>
    </x:row>
    <x:row r="25">
      <x:c r="A25" s="106" t="n">
        <x:v>46252</x:v>
      </x:c>
      <x:c r="B25" t="str">
        <x:v>Milrose</x:v>
      </x:c>
      <x:c r="C25" t="str">
        <x:v>INTRADE Group</x:v>
      </x:c>
      <x:c r="D25" s="119" t="n">
        <x:v>76</x:v>
      </x:c>
      <x:c r="E25" s="124"/>
      <x:c r="F25" s="124"/>
      <x:c r="G25" s="124"/>
      <x:c r="H25" s="124"/>
      <x:c r="I25" s="119" t="n">
        <x:v>178</x:v>
      </x:c>
      <x:c r="J25" s="106" t="n">
        <x:v>46252</x:v>
      </x:c>
      <x:c r="K25" t="str">
        <x:v>fresh</x:v>
      </x:c>
      <x:c r="L25" t="str">
        <x:v>milrose</x:v>
      </x:c>
    </x:row>
    <x:row r="26">
      <x:c r="A26" s="106" t="n">
        <x:v>46252</x:v>
      </x:c>
      <x:c r="B26" t="str">
        <x:v>Tíšiny</x:v>
      </x:c>
      <x:c r="C26" t="str">
        <x:v>CRESCO Real Estate</x:v>
      </x:c>
      <x:c r="D26" s="119" t="n">
        <x:v>35</x:v>
      </x:c>
      <x:c r="E26" s="124"/>
      <x:c r="F26" s="124" t="n">
        <x:v>6426.167142857142</x:v>
      </x:c>
      <x:c r="G26" s="124" t="n">
        <x:v>6799.4</x:v>
      </x:c>
      <x:c r="H26" s="124" t="n">
        <x:v>6516.3031249999985</x:v>
      </x:c>
      <x:c r="I26" s="119" t="n">
        <x:v>38</x:v>
      </x:c>
      <x:c r="J26" s="106" t="n">
        <x:v>46252</x:v>
      </x:c>
      <x:c r="K26" t="str">
        <x:v>fresh</x:v>
      </x:c>
      <x:c r="L26" t="str">
        <x:v>tisiny</x:v>
      </x:c>
    </x:row>
    <x:row r="27">
      <x:c r="A27" s="106" t="n">
        <x:v>46253</x:v>
      </x:c>
      <x:c r="B27" t="str">
        <x:v>Galvania Rezidencie</x:v>
      </x:c>
      <x:c r="C27" t="str">
        <x:v>Tatra Real</x:v>
      </x:c>
      <x:c r="D27" s="119" t="n">
        <x:v>14</x:v>
      </x:c>
      <x:c r="E27" s="124"/>
      <x:c r="F27" s="124" t="n">
        <x:v>5719.615</x:v>
      </x:c>
      <x:c r="G27" s="124" t="n">
        <x:v>6175.15</x:v>
      </x:c>
      <x:c r="H27" s="124" t="n">
        <x:v>5871.459999999999</x:v>
      </x:c>
      <x:c r="I27" s="119" t="n">
        <x:v>302</x:v>
      </x:c>
      <x:c r="J27" s="106" t="n">
        <x:v>46253</x:v>
      </x:c>
      <x:c r="K27" t="str">
        <x:v>fresh</x:v>
      </x:c>
      <x:c r="L27" t="str">
        <x:v>galvania_rezidencie</x:v>
      </x:c>
    </x:row>
    <x:row r="28">
      <x:c r="A28" s="106" t="n">
        <x:v>46253</x:v>
      </x:c>
      <x:c r="B28" t="str">
        <x:v>Jašik Ružinov</x:v>
      </x:c>
      <x:c r="C28" t="str">
        <x:v>CRESCO Real Estate</x:v>
      </x:c>
      <x:c r="D28" s="119" t="n">
        <x:v>31</x:v>
      </x:c>
      <x:c r="E28" s="124" t="n">
        <x:v>5707.8933333333325</x:v>
      </x:c>
      <x:c r="F28" s="124" t="n">
        <x:v>5802.043125</x:v>
      </x:c>
      <x:c r="G28" s="124" t="n">
        <x:v>5824.512</x:v>
      </x:c>
      <x:c r="H28" s="124" t="n">
        <x:v>5777.543000000001</x:v>
      </x:c>
      <x:c r="I28" s="119" t="n">
        <x:v>64</x:v>
      </x:c>
      <x:c r="J28" s="106" t="n">
        <x:v>46253</x:v>
      </x:c>
      <x:c r="K28" t="str">
        <x:v>fresh</x:v>
      </x:c>
      <x:c r="L28" t="str">
        <x:v>jasik_ruzinov</x:v>
      </x:c>
    </x:row>
    <x:row r="29">
      <x:c r="A29" s="106" t="n">
        <x:v>46253</x:v>
      </x:c>
      <x:c r="B29" t="str">
        <x:v>Slnečná Strana</x:v>
      </x:c>
      <x:c r="C29" t="str">
        <x:v>PROFINAL, a.s.</x:v>
      </x:c>
      <x:c r="D29" s="119" t="n">
        <x:v>47</x:v>
      </x:c>
      <x:c r="E29" s="124" t="n">
        <x:v>5385.9175</x:v>
      </x:c>
      <x:c r="F29" s="124" t="n">
        <x:v>5368.3065384615375</x:v>
      </x:c>
      <x:c r="G29" s="124"/>
      <x:c r="H29" s="124" t="n">
        <x:v>5490.997560975611</x:v>
      </x:c>
      <x:c r="I29" s="119" t="n">
        <x:v>81</x:v>
      </x:c>
      <x:c r="J29" s="106" t="n">
        <x:v>46253</x:v>
      </x:c>
      <x:c r="K29" t="str">
        <x:v>fresh</x:v>
      </x:c>
      <x:c r="L29" t="str">
        <x:v>slnecna_strana</x:v>
      </x:c>
    </x:row>
    <x:row r="30">
      <x:c r="A30" s="106" t="n">
        <x:v>46253</x:v>
      </x:c>
      <x:c r="B30" t="str">
        <x:v>Kvarter</x:v>
      </x:c>
      <x:c r="C30" t="str">
        <x:v>Immocap</x:v>
      </x:c>
      <x:c r="D30" s="119" t="n">
        <x:v>25</x:v>
      </x:c>
      <x:c r="E30" s="124"/>
      <x:c r="F30" s="124"/>
      <x:c r="G30" s="124"/>
      <x:c r="H30" s="124"/>
      <x:c r="I30" s="119" t="n">
        <x:v>83</x:v>
      </x:c>
      <x:c r="J30" s="106" t="n">
        <x:v>46253</x:v>
      </x:c>
      <x:c r="K30" t="str">
        <x:v>fresh</x:v>
      </x:c>
      <x:c r="L30" t="str">
        <x:v>kvarter</x:v>
      </x:c>
    </x:row>
    <x:row r="31">
      <x:c r="A31" s="106" t="n">
        <x:v>46253</x:v>
      </x:c>
      <x:c r="B31" t="str">
        <x:v>NUPPU</x:v>
      </x:c>
      <x:c r="C31" t="str">
        <x:v>YIT Slovakia</x:v>
      </x:c>
      <x:c r="D31" s="119" t="n">
        <x:v>52</x:v>
      </x:c>
      <x:c r="E31" s="124" t="n">
        <x:v>6852.32</x:v>
      </x:c>
      <x:c r="F31" s="124" t="n">
        <x:v>5806.577000000001</x:v>
      </x:c>
      <x:c r="G31" s="124" t="n">
        <x:v>5306.23214285714</x:v>
      </x:c>
      <x:c r="H31" s="124" t="n">
        <x:v>5617.602307692307</x:v>
      </x:c>
      <x:c r="I31" s="119" t="n">
        <x:v>58</x:v>
      </x:c>
      <x:c r="J31" s="106" t="n">
        <x:v>46253</x:v>
      </x:c>
      <x:c r="K31" t="str">
        <x:v>fresh</x:v>
      </x:c>
      <x:c r="L31" t="str">
        <x:v>nuppu</x:v>
      </x:c>
    </x:row>
    <x:row r="32">
      <x:c r="A32" s="106" t="n">
        <x:v>46253</x:v>
      </x:c>
      <x:c r="B32" t="str">
        <x:v>ALVY</x:v>
      </x:c>
      <x:c r="C32" t="str">
        <x:v>Alto Real Estate</x:v>
      </x:c>
      <x:c r="D32" s="119" t="n">
        <x:v>46</x:v>
      </x:c>
      <x:c r="E32" s="124" t="n">
        <x:v>6172.53</x:v>
      </x:c>
      <x:c r="F32" s="124" t="n">
        <x:v>5717.900666666666</x:v>
      </x:c>
      <x:c r="G32" s="124" t="n">
        <x:v>5342.460357142859</x:v>
      </x:c>
      <x:c r="H32" s="124" t="n">
        <x:v>5494.799782608697</x:v>
      </x:c>
      <x:c r="I32" s="119" t="n">
        <x:v>206</x:v>
      </x:c>
      <x:c r="J32" s="106" t="n">
        <x:v>46253</x:v>
      </x:c>
      <x:c r="K32" t="str">
        <x:v>fresh</x:v>
      </x:c>
      <x:c r="L32" t="str">
        <x:v>alvy</x:v>
      </x:c>
    </x:row>
    <x:row r="33">
      <x:c r="A33" s="106" t="n">
        <x:v>46253</x:v>
      </x:c>
      <x:c r="B33" t="str">
        <x:v>BAYA</x:v>
      </x:c>
      <x:c r="C33" t="str">
        <x:v>SAIDA s.r.o.</x:v>
      </x:c>
      <x:c r="D33" s="119" t="n">
        <x:v>99</x:v>
      </x:c>
      <x:c r="E33" s="124" t="n">
        <x:v>6623</x:v>
      </x:c>
      <x:c r="F33" s="124" t="n">
        <x:v>6246.4</x:v>
      </x:c>
      <x:c r="G33" s="124" t="n">
        <x:v>5981.315789473684</x:v>
      </x:c>
      <x:c r="H33" s="124" t="n">
        <x:v>6186.060606060606</x:v>
      </x:c>
      <x:c r="I33" s="119" t="n">
        <x:v>163</x:v>
      </x:c>
      <x:c r="J33" s="106" t="n">
        <x:v>46253</x:v>
      </x:c>
      <x:c r="K33" t="str">
        <x:v>fresh</x:v>
      </x:c>
      <x:c r="L33" t="str">
        <x:v>baya</x:v>
      </x:c>
    </x:row>
    <x:row r="34">
      <x:c r="A34" s="106" t="n">
        <x:v>46253</x:v>
      </x:c>
      <x:c r="B34" t="str">
        <x:v>Mýtna 37</x:v>
      </x:c>
      <x:c r="C34" t="str">
        <x:v>EDVIN Properties</x:v>
      </x:c>
      <x:c r="D34" s="119" t="n">
        <x:v>28</x:v>
      </x:c>
      <x:c r="E34" s="124" t="n">
        <x:v>7043.145833333333</x:v>
      </x:c>
      <x:c r="F34" s="124" t="n">
        <x:v>7367.9710000000005</x:v>
      </x:c>
      <x:c r="G34" s="124" t="n">
        <x:v>6565.916</x:v>
      </x:c>
      <x:c r="H34" s="124" t="n">
        <x:v>7087.81857142857</x:v>
      </x:c>
      <x:c r="I34" s="119" t="n">
        <x:v>69</x:v>
      </x:c>
      <x:c r="J34" s="106" t="n">
        <x:v>46253</x:v>
      </x:c>
      <x:c r="K34" t="str">
        <x:v>fresh</x:v>
      </x:c>
      <x:c r="L34" t="str">
        <x:v>mytna_37</x:v>
      </x:c>
    </x:row>
    <x:row r="35">
      <x:c r="A35" s="106" t="n">
        <x:v>46253</x:v>
      </x:c>
      <x:c r="B35" t="str">
        <x:v>Downtown Yards</x:v>
      </x:c>
      <x:c r="C35" t="str">
        <x:v>JTRE</x:v>
      </x:c>
      <x:c r="D35" s="119" t="n">
        <x:v>155</x:v>
      </x:c>
      <x:c r="E35" s="124" t="n">
        <x:v>8749.61</x:v>
      </x:c>
      <x:c r="F35" s="124" t="n">
        <x:v>6964.37970588235</x:v>
      </x:c>
      <x:c r="G35" s="124" t="n">
        <x:v>6787.982753623188</x:v>
      </x:c>
      <x:c r="H35" s="124" t="n">
        <x:v>6973.570330578513</x:v>
      </x:c>
      <x:c r="I35" s="119" t="n">
        <x:v>507</x:v>
      </x:c>
      <x:c r="J35" s="106" t="n">
        <x:v>46253</x:v>
      </x:c>
      <x:c r="K35" t="str">
        <x:v>fresh</x:v>
      </x:c>
      <x:c r="L35" t="str">
        <x:v>downtown_yards</x:v>
      </x:c>
    </x:row>
    <x:row r="36">
      <x:c r="A36" s="106" t="n">
        <x:v>46253</x:v>
      </x:c>
      <x:c r="B36" t="str">
        <x:v>Milrose</x:v>
      </x:c>
      <x:c r="C36" t="str">
        <x:v>INTRADE Group</x:v>
      </x:c>
      <x:c r="D36" s="119" t="n">
        <x:v>75</x:v>
      </x:c>
      <x:c r="E36" s="124"/>
      <x:c r="F36" s="124"/>
      <x:c r="G36" s="124"/>
      <x:c r="H36" s="124"/>
      <x:c r="I36" s="119" t="n">
        <x:v>178</x:v>
      </x:c>
      <x:c r="J36" s="106" t="n">
        <x:v>46253</x:v>
      </x:c>
      <x:c r="K36" t="str">
        <x:v>fresh</x:v>
      </x:c>
      <x:c r="L36" t="str">
        <x:v>milrose</x:v>
      </x:c>
    </x:row>
    <x:row r="37">
      <x:c r="A37" s="106" t="n">
        <x:v>46253</x:v>
      </x:c>
      <x:c r="B37" t="str">
        <x:v>Tíšiny</x:v>
      </x:c>
      <x:c r="C37" t="str">
        <x:v>CRESCO Real Estate</x:v>
      </x:c>
      <x:c r="D37" s="119" t="n">
        <x:v>35</x:v>
      </x:c>
      <x:c r="E37" s="124"/>
      <x:c r="F37" s="124" t="n">
        <x:v>6426.167142857142</x:v>
      </x:c>
      <x:c r="G37" s="124" t="n">
        <x:v>6799.4</x:v>
      </x:c>
      <x:c r="H37" s="124" t="n">
        <x:v>6516.303124999999</x:v>
      </x:c>
      <x:c r="I37" s="119" t="n">
        <x:v>38</x:v>
      </x:c>
      <x:c r="J37" s="106" t="n">
        <x:v>46253</x:v>
      </x:c>
      <x:c r="K37" t="str">
        <x:v>fresh</x:v>
      </x:c>
      <x:c r="L37" t="str">
        <x:v>tisiny</x:v>
      </x:c>
    </x:row>
    <x:row r="38">
      <x:c r="A38" s="106" t="n">
        <x:v>46254</x:v>
      </x:c>
      <x:c r="B38" t="str">
        <x:v>Galvania Rezidencie</x:v>
      </x:c>
      <x:c r="C38" t="str">
        <x:v>Tatra Real</x:v>
      </x:c>
      <x:c r="D38" s="119" t="n">
        <x:v>14</x:v>
      </x:c>
      <x:c r="E38" s="124"/>
      <x:c r="F38" s="124" t="n">
        <x:v>5719.615</x:v>
      </x:c>
      <x:c r="G38" s="124" t="n">
        <x:v>6175.15</x:v>
      </x:c>
      <x:c r="H38" s="124" t="n">
        <x:v>5871.459999999999</x:v>
      </x:c>
      <x:c r="I38" s="119" t="n">
        <x:v>302</x:v>
      </x:c>
      <x:c r="J38" s="106" t="n">
        <x:v>46254</x:v>
      </x:c>
      <x:c r="K38" t="str">
        <x:v>fresh</x:v>
      </x:c>
      <x:c r="L38" t="str">
        <x:v>galvania_rezidencie</x:v>
      </x:c>
    </x:row>
    <x:row r="39">
      <x:c r="A39" s="106" t="n">
        <x:v>46254</x:v>
      </x:c>
      <x:c r="B39" t="str">
        <x:v>Jašik Ružinov</x:v>
      </x:c>
      <x:c r="C39" t="str">
        <x:v>CRESCO Real Estate</x:v>
      </x:c>
      <x:c r="D39" s="119" t="n">
        <x:v>32</x:v>
      </x:c>
      <x:c r="E39" s="124" t="n">
        <x:v>5707.8933333333325</x:v>
      </x:c>
      <x:c r="F39" s="124" t="n">
        <x:v>5802.043125</x:v>
      </x:c>
      <x:c r="G39" s="124" t="n">
        <x:v>5777.75</x:v>
      </x:c>
      <x:c r="H39" s="124" t="n">
        <x:v>5770.007419354839</x:v>
      </x:c>
      <x:c r="I39" s="119" t="n">
        <x:v>64</x:v>
      </x:c>
      <x:c r="J39" s="106" t="n">
        <x:v>46254</x:v>
      </x:c>
      <x:c r="K39" t="str">
        <x:v>fresh</x:v>
      </x:c>
      <x:c r="L39" t="str">
        <x:v>jasik_ruzinov</x:v>
      </x:c>
    </x:row>
    <x:row r="40">
      <x:c r="A40" s="106" t="n">
        <x:v>46254</x:v>
      </x:c>
      <x:c r="B40" t="str">
        <x:v>Slnečná Strana</x:v>
      </x:c>
      <x:c r="C40" t="str">
        <x:v>PROFINAL, a.s.</x:v>
      </x:c>
      <x:c r="D40" s="119" t="n">
        <x:v>47</x:v>
      </x:c>
      <x:c r="E40" s="124" t="n">
        <x:v>5385.9175</x:v>
      </x:c>
      <x:c r="F40" s="124" t="n">
        <x:v>5368.3065384615375</x:v>
      </x:c>
      <x:c r="G40" s="124"/>
      <x:c r="H40" s="124" t="n">
        <x:v>5490.997560975611</x:v>
      </x:c>
      <x:c r="I40" s="119" t="n">
        <x:v>81</x:v>
      </x:c>
      <x:c r="J40" s="106" t="n">
        <x:v>46253</x:v>
      </x:c>
      <x:c r="K40" t="str">
        <x:v>carried_forward</x:v>
      </x:c>
      <x:c r="L40" t="str">
        <x:v>slnecna_strana</x:v>
      </x:c>
    </x:row>
    <x:row r="41">
      <x:c r="A41" s="106" t="n">
        <x:v>46254</x:v>
      </x:c>
      <x:c r="B41" t="str">
        <x:v>Kvarter</x:v>
      </x:c>
      <x:c r="C41" t="str">
        <x:v>Immocap</x:v>
      </x:c>
      <x:c r="D41" s="119" t="n">
        <x:v>25</x:v>
      </x:c>
      <x:c r="E41" s="124"/>
      <x:c r="F41" s="124"/>
      <x:c r="G41" s="124"/>
      <x:c r="H41" s="124"/>
      <x:c r="I41" s="119" t="n">
        <x:v>83</x:v>
      </x:c>
      <x:c r="J41" s="106" t="n">
        <x:v>46254</x:v>
      </x:c>
      <x:c r="K41" t="str">
        <x:v>fresh</x:v>
      </x:c>
      <x:c r="L41" t="str">
        <x:v>kvarter</x:v>
      </x:c>
    </x:row>
    <x:row r="42">
      <x:c r="A42" s="106" t="n">
        <x:v>46254</x:v>
      </x:c>
      <x:c r="B42" t="str">
        <x:v>NUPPU</x:v>
      </x:c>
      <x:c r="C42" t="str">
        <x:v>YIT Slovakia</x:v>
      </x:c>
      <x:c r="D42" s="119" t="n">
        <x:v>51</x:v>
      </x:c>
      <x:c r="E42" s="124" t="n">
        <x:v>6852.32</x:v>
      </x:c>
      <x:c r="F42" s="124" t="n">
        <x:v>5817.372105263159</x:v>
      </x:c>
      <x:c r="G42" s="124" t="n">
        <x:v>5306.23214285714</x:v>
      </x:c>
      <x:c r="H42" s="124" t="n">
        <x:v>5617.918627450978</x:v>
      </x:c>
      <x:c r="I42" s="119" t="n">
        <x:v>58</x:v>
      </x:c>
      <x:c r="J42" s="106" t="n">
        <x:v>46254</x:v>
      </x:c>
      <x:c r="K42" t="str">
        <x:v>fresh</x:v>
      </x:c>
      <x:c r="L42" t="str">
        <x:v>nuppu</x:v>
      </x:c>
    </x:row>
    <x:row r="43">
      <x:c r="A43" s="106" t="n">
        <x:v>46254</x:v>
      </x:c>
      <x:c r="B43" t="str">
        <x:v>ALVY</x:v>
      </x:c>
      <x:c r="C43" t="str">
        <x:v>Alto Real Estate</x:v>
      </x:c>
      <x:c r="D43" s="119" t="n">
        <x:v>47</x:v>
      </x:c>
      <x:c r="E43" s="124" t="n">
        <x:v>6172.53</x:v>
      </x:c>
      <x:c r="F43" s="124" t="n">
        <x:v>5750.395624999999</x:v>
      </x:c>
      <x:c r="G43" s="124" t="n">
        <x:v>5342.460357142859</x:v>
      </x:c>
      <x:c r="H43" s="124" t="n">
        <x:v>5510.608723404256</x:v>
      </x:c>
      <x:c r="I43" s="119" t="n">
        <x:v>206</x:v>
      </x:c>
      <x:c r="J43" s="106" t="n">
        <x:v>46254</x:v>
      </x:c>
      <x:c r="K43" t="str">
        <x:v>fresh</x:v>
      </x:c>
      <x:c r="L43" t="str">
        <x:v>alvy</x:v>
      </x:c>
    </x:row>
    <x:row r="44">
      <x:c r="A44" s="106" t="n">
        <x:v>46254</x:v>
      </x:c>
      <x:c r="B44" t="str">
        <x:v>BAYA</x:v>
      </x:c>
      <x:c r="C44" t="str">
        <x:v>SAIDA s.r.o.</x:v>
      </x:c>
      <x:c r="D44" s="119" t="n">
        <x:v>99</x:v>
      </x:c>
      <x:c r="E44" s="124" t="n">
        <x:v>6623</x:v>
      </x:c>
      <x:c r="F44" s="124" t="n">
        <x:v>6246.4</x:v>
      </x:c>
      <x:c r="G44" s="124" t="n">
        <x:v>5981.315789473684</x:v>
      </x:c>
      <x:c r="H44" s="124" t="n">
        <x:v>6186.060606060606</x:v>
      </x:c>
      <x:c r="I44" s="119" t="n">
        <x:v>163</x:v>
      </x:c>
      <x:c r="J44" s="106" t="n">
        <x:v>46254</x:v>
      </x:c>
      <x:c r="K44" t="str">
        <x:v>fresh</x:v>
      </x:c>
      <x:c r="L44" t="str">
        <x:v>baya</x:v>
      </x:c>
    </x:row>
    <x:row r="45">
      <x:c r="A45" s="106" t="n">
        <x:v>46254</x:v>
      </x:c>
      <x:c r="B45" t="str">
        <x:v>Mýtna 37</x:v>
      </x:c>
      <x:c r="C45" t="str">
        <x:v>EDVIN Properties</x:v>
      </x:c>
      <x:c r="D45" s="119" t="n">
        <x:v>28</x:v>
      </x:c>
      <x:c r="E45" s="124" t="n">
        <x:v>7043.145833333333</x:v>
      </x:c>
      <x:c r="F45" s="124" t="n">
        <x:v>7367.9710000000005</x:v>
      </x:c>
      <x:c r="G45" s="124" t="n">
        <x:v>6565.916</x:v>
      </x:c>
      <x:c r="H45" s="124" t="n">
        <x:v>7087.81857142857</x:v>
      </x:c>
      <x:c r="I45" s="119" t="n">
        <x:v>69</x:v>
      </x:c>
      <x:c r="J45" s="106" t="n">
        <x:v>46254</x:v>
      </x:c>
      <x:c r="K45" t="str">
        <x:v>fresh</x:v>
      </x:c>
      <x:c r="L45" t="str">
        <x:v>mytna_37</x:v>
      </x:c>
    </x:row>
    <x:row r="46">
      <x:c r="A46" s="106" t="n">
        <x:v>46254</x:v>
      </x:c>
      <x:c r="B46" t="str">
        <x:v>Downtown Yards</x:v>
      </x:c>
      <x:c r="C46" t="str">
        <x:v>JTRE</x:v>
      </x:c>
      <x:c r="D46" s="119" t="n">
        <x:v>155</x:v>
      </x:c>
      <x:c r="E46" s="124" t="n">
        <x:v>8749.61</x:v>
      </x:c>
      <x:c r="F46" s="124" t="n">
        <x:v>6964.37970588235</x:v>
      </x:c>
      <x:c r="G46" s="124" t="n">
        <x:v>6787.982753623188</x:v>
      </x:c>
      <x:c r="H46" s="124" t="n">
        <x:v>6973.570330578513</x:v>
      </x:c>
      <x:c r="I46" s="119" t="n">
        <x:v>507</x:v>
      </x:c>
      <x:c r="J46" s="106" t="n">
        <x:v>46254</x:v>
      </x:c>
      <x:c r="K46" t="str">
        <x:v>fresh</x:v>
      </x:c>
      <x:c r="L46" t="str">
        <x:v>downtown_yards</x:v>
      </x:c>
    </x:row>
    <x:row r="47">
      <x:c r="A47" s="106" t="n">
        <x:v>46254</x:v>
      </x:c>
      <x:c r="B47" t="str">
        <x:v>Milrose</x:v>
      </x:c>
      <x:c r="C47" t="str">
        <x:v>INTRADE Group</x:v>
      </x:c>
      <x:c r="D47" s="119" t="n">
        <x:v>75</x:v>
      </x:c>
      <x:c r="E47" s="124"/>
      <x:c r="F47" s="124"/>
      <x:c r="G47" s="124"/>
      <x:c r="H47" s="124"/>
      <x:c r="I47" s="119" t="n">
        <x:v>178</x:v>
      </x:c>
      <x:c r="J47" s="106" t="n">
        <x:v>46254</x:v>
      </x:c>
      <x:c r="K47" t="str">
        <x:v>fresh</x:v>
      </x:c>
      <x:c r="L47" t="str">
        <x:v>milrose</x:v>
      </x:c>
    </x:row>
    <x:row r="48">
      <x:c r="A48" s="106" t="n">
        <x:v>46254</x:v>
      </x:c>
      <x:c r="B48" t="str">
        <x:v>Tíšiny</x:v>
      </x:c>
      <x:c r="C48" t="str">
        <x:v>CRESCO Real Estate</x:v>
      </x:c>
      <x:c r="D48" s="119" t="n">
        <x:v>35</x:v>
      </x:c>
      <x:c r="E48" s="124"/>
      <x:c r="F48" s="124" t="n">
        <x:v>6426.167142857142</x:v>
      </x:c>
      <x:c r="G48" s="124" t="n">
        <x:v>6799.4</x:v>
      </x:c>
      <x:c r="H48" s="124" t="n">
        <x:v>6516.303124999999</x:v>
      </x:c>
      <x:c r="I48" s="119" t="n">
        <x:v>38</x:v>
      </x:c>
      <x:c r="J48" s="106" t="n">
        <x:v>46254</x:v>
      </x:c>
      <x:c r="K48" t="str">
        <x:v>fresh</x:v>
      </x:c>
      <x:c r="L48" t="str">
        <x:v>tisiny</x:v>
      </x:c>
    </x:row>
  </x:sheetData>
  <x:mergeCells>
    <x:mergeCell ref="A1:L1"/>
    <x:mergeCell ref="A2:L2"/>
  </x:mergeCells>
  <x:conditionalFormatting sqref="K5:K48">
    <x:cfRule type="containsText" dxfId="5" priority="1" operator="containsText" text="carried_forward"/>
  </x:conditionalFormatting>
  <x:pageMargins left="0.7" right="0.7" top="0.75" bottom="0.75" header="0.3" footer="0.3"/>
  <x:tableParts count="1">
    <x:tablePart xmlns:r="http://schemas.openxmlformats.org/officeDocument/2006/relationships" r:id="R67a3bdfdb1114c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 ht="42" customHeight="1">
      <x:c r="A1" s="3" t="str">
        <x:v>Dostupné dátumy</x:v>
      </x:c>
      <x:c r="B1" s="3"/>
      <x:c r="C1" s="3"/>
    </x:row>
    <x:row r="2" ht="26" customHeight="1">
      <x:c r="A2" s="6" t="str">
        <x:v>Zoznam používaný rozbaľovacím výberom na liste Prehľad.</x:v>
      </x:c>
      <x:c r="B2" s="6"/>
      <x:c r="C2" s="6"/>
    </x:row>
    <x:row r="4">
      <x:c r="A4" s="106" t="str">
        <x:v>Dátum</x:v>
      </x:c>
    </x:row>
    <x:row r="5">
      <x:c r="A5" s="106" t="n">
        <x:v>46249</x:v>
      </x:c>
    </x:row>
    <x:row r="6">
      <x:c r="A6" s="106" t="n">
        <x:v>46251</x:v>
      </x:c>
    </x:row>
    <x:row r="7">
      <x:c r="A7" s="106" t="n">
        <x:v>46252</x:v>
      </x:c>
    </x:row>
    <x:row r="8">
      <x:c r="A8" s="106" t="n">
        <x:v>46253</x:v>
      </x:c>
    </x:row>
    <x:row r="9">
      <x:c r="A9" s="106" t="n">
        <x:v>46254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1d762194bf05407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2" customHeight="1">
      <x:c r="A1" s="3" t="str">
        <x:v>Ako používať report</x:v>
      </x:c>
      <x:c r="B1" s="3"/>
      <x:c r="C1" s="3"/>
      <x:c r="D1" s="3"/>
      <x:c r="E1" s="3"/>
      <x:c r="F1" s="3"/>
    </x:row>
    <x:row r="2" ht="26" customHeight="1">
      <x:c r="A2" s="6" t="str">
        <x:v>Report sa pri obnove nanovo vytvorí zo všetkých mesačných snapshotov.</x:v>
      </x:c>
      <x:c r="B2" s="6"/>
      <x:c r="C2" s="6"/>
      <x:c r="D2" s="6"/>
      <x:c r="E2" s="6"/>
      <x:c r="F2" s="6"/>
    </x:row>
    <x:row r="4" ht="28" customHeight="1">
      <x:c r="A4" s="108" t="str">
        <x:v>Postup</x:v>
      </x:c>
      <x:c r="B4" s="108"/>
      <x:c r="C4" s="108"/>
      <x:c r="D4" s="108"/>
      <x:c r="E4" s="108"/>
      <x:c r="F4" s="108"/>
    </x:row>
    <x:row r="5" ht="30" customHeight="1">
      <x:c r="A5" s="137" t="str">
        <x:v>1. Na liste Prehľad vyberte deň v modrom poli.</x:v>
      </x:c>
      <x:c r="B5" s="137"/>
      <x:c r="C5" s="137"/>
      <x:c r="D5" s="137"/>
      <x:c r="E5" s="137"/>
      <x:c r="F5" s="137"/>
    </x:row>
    <x:row r="6" ht="30" customHeight="1">
      <x:c r="A6" s="137" t="str">
        <x:v>2. List Projekty obsahuje jeden riadok na projekt, aktuálne priemery €/m² a podmienky z obrázka.</x:v>
      </x:c>
      <x:c r="B6" s="137"/>
      <x:c r="C6" s="137"/>
      <x:c r="D6" s="137"/>
      <x:c r="E6" s="137"/>
      <x:c r="F6" s="137"/>
    </x:row>
    <x:row r="7" ht="30" customHeight="1">
      <x:c r="A7" s="137" t="str">
        <x:v>3. Zmena porovnáva vybraný deň s predchádzajúcim sledovaným dňom.</x:v>
      </x:c>
      <x:c r="B7" s="137"/>
      <x:c r="C7" s="137"/>
      <x:c r="D7" s="137"/>
      <x:c r="E7" s="137"/>
      <x:c r="F7" s="137"/>
    </x:row>
    <x:row r="8" ht="30" customHeight="1">
      <x:c r="A8" s="137" t="str">
        <x:v>4. Záporná zmena znamená menej dostupných bytov; nemusí vždy znamenať predaj.</x:v>
      </x:c>
      <x:c r="B8" s="137"/>
      <x:c r="C8" s="137"/>
      <x:c r="D8" s="137"/>
      <x:c r="E8" s="137"/>
      <x:c r="F8" s="137"/>
    </x:row>
    <x:row r="9" ht="30" customHeight="1">
      <x:c r="A9" s="137" t="str">
        <x:v>5. carried_forward znamená, že projekt v daný deň nemal úspešný snapshot.</x:v>
      </x:c>
      <x:c r="B9" s="137"/>
      <x:c r="C9" s="137"/>
      <x:c r="D9" s="137"/>
      <x:c r="E9" s="137"/>
      <x:c r="F9" s="137"/>
    </x:row>
    <x:row r="10" ht="30" customHeight="1">
      <x:c r="A10" s="137" t="str">
        <x:v>6. Overené podmienky a zdrojové URL sa uchovávajú v data/developers/project_details.csv a denný refresh ich nezmaže.</x:v>
      </x:c>
      <x:c r="B10" s="137"/>
      <x:c r="C10" s="137"/>
      <x:c r="D10" s="137"/>
      <x:c r="E10" s="137"/>
      <x:c r="F10" s="137"/>
    </x:row>
  </x:sheetData>
  <x:mergeCells>
    <x:mergeCell ref="A1:F1"/>
    <x:mergeCell ref="A2:F2"/>
    <x:mergeCell ref="A4:F4"/>
    <x:mergeCell ref="A5:F5"/>
    <x:mergeCell ref="A6:F6"/>
    <x:mergeCell ref="A7:F7"/>
    <x:mergeCell ref="A8:F8"/>
    <x:mergeCell ref="A9:F9"/>
    <x:mergeCell ref="A10:F10"/>
  </x:mergeCells>
  <x:pageMargins left="0.7" right="0.7" top="0.75" bottom="0.75" header="0.3" footer="0.3"/>
</x:worksheet>
</file>